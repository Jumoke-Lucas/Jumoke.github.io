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748b6a44fc20e57/Tech drive/Completed excel training - assignment/"/>
    </mc:Choice>
  </mc:AlternateContent>
  <xr:revisionPtr revIDLastSave="7" documentId="8_{0C11CFAD-AE20-4D3F-AE0A-901257F18D6E}" xr6:coauthVersionLast="47" xr6:coauthVersionMax="47" xr10:uidLastSave="{A4FAAA3D-B617-4077-A53D-0F15AD0F21E7}"/>
  <bookViews>
    <workbookView xWindow="28680" yWindow="-120" windowWidth="29040" windowHeight="15720" firstSheet="7" activeTab="7" xr2:uid="{00000000-000D-0000-FFFF-FFFF00000000}"/>
  </bookViews>
  <sheets>
    <sheet name="Questions" sheetId="2" state="hidden" r:id="rId1"/>
    <sheet name="Data" sheetId="1" state="hidden" r:id="rId2"/>
    <sheet name="Steps" sheetId="4" state="hidden" r:id="rId3"/>
    <sheet name="Number of operations by surgeon" sheetId="5" state="hidden" r:id="rId4"/>
    <sheet name="A&amp;P mortality by surgeon (1)" sheetId="9" state="hidden" r:id="rId5"/>
    <sheet name="A&amp;P mortality by surgeon (2)" sheetId="11" state="hidden" r:id="rId6"/>
    <sheet name="Avg time btw admis and proce" sheetId="17" state="hidden" r:id="rId7"/>
    <sheet name="Dashboard" sheetId="3" r:id="rId8"/>
  </sheets>
  <definedNames>
    <definedName name="_xlnm._FilterDatabase" localSheetId="1" hidden="1">Data!$B$1:$O$1336</definedName>
    <definedName name="Slicer_Operation_Type">#N/A</definedName>
    <definedName name="Slicer_Priority">#N/A</definedName>
    <definedName name="Slicer_Surgeon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I6"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G8" i="1"/>
  <c r="A2"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G2" i="1"/>
  <c r="G3" i="1"/>
  <c r="G4" i="1"/>
  <c r="G5" i="1"/>
  <c r="G6" i="1"/>
  <c r="G7"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alcChain>
</file>

<file path=xl/sharedStrings.xml><?xml version="1.0" encoding="utf-8"?>
<sst xmlns="http://schemas.openxmlformats.org/spreadsheetml/2006/main" count="6819" uniqueCount="107">
  <si>
    <t>salvage</t>
  </si>
  <si>
    <t>Aorta surgery</t>
  </si>
  <si>
    <t>emergency</t>
  </si>
  <si>
    <t>Valve</t>
  </si>
  <si>
    <t>elective</t>
  </si>
  <si>
    <t>Major cardiac</t>
  </si>
  <si>
    <t>urgent</t>
  </si>
  <si>
    <t>None</t>
  </si>
  <si>
    <t>Other</t>
  </si>
  <si>
    <t>Procedure Start Date and Time</t>
  </si>
  <si>
    <t>CABG</t>
  </si>
  <si>
    <t>CABG &amp; Valve</t>
  </si>
  <si>
    <t>Patient Status at Discharge</t>
  </si>
  <si>
    <t>Died</t>
  </si>
  <si>
    <t>Unknown</t>
  </si>
  <si>
    <t>Alive</t>
  </si>
  <si>
    <t>Risk of Death % (Model 1)</t>
  </si>
  <si>
    <t>Risk of Death % (Model 2)</t>
  </si>
  <si>
    <t>ID Number</t>
  </si>
  <si>
    <t>Priority</t>
  </si>
  <si>
    <t>A Abbott</t>
  </si>
  <si>
    <t>B Bryant</t>
  </si>
  <si>
    <t>C Cuthbert</t>
  </si>
  <si>
    <t>E Ellingson</t>
  </si>
  <si>
    <t>C Cheung</t>
  </si>
  <si>
    <t>L LeBlanc</t>
  </si>
  <si>
    <t>G Guy</t>
  </si>
  <si>
    <t>R Rubiella</t>
  </si>
  <si>
    <t>I Ibbotson</t>
  </si>
  <si>
    <t>W Wilkening</t>
  </si>
  <si>
    <t>S Scully</t>
  </si>
  <si>
    <t>H Hodgson</t>
  </si>
  <si>
    <t>C Shasikaran</t>
  </si>
  <si>
    <t xml:space="preserve">K Doran </t>
  </si>
  <si>
    <t>L Shepard</t>
  </si>
  <si>
    <t>F Randle</t>
  </si>
  <si>
    <t>Multiple Surgeon Team</t>
  </si>
  <si>
    <t>Operation Type</t>
  </si>
  <si>
    <t>Surgeon Name</t>
  </si>
  <si>
    <t>Location ID</t>
  </si>
  <si>
    <t xml:space="preserve">Hospital Admit Date </t>
  </si>
  <si>
    <t>Questions</t>
  </si>
  <si>
    <t>1-  Number of operations by each surgeon, grouped by operation type.</t>
  </si>
  <si>
    <t>2-  Actual and Predicted mortality by surgeon.</t>
  </si>
  <si>
    <t>3-  Time between Hospital Admission and Procedure by operation priority</t>
  </si>
  <si>
    <t xml:space="preserve">Creatinine at time of Surgery </t>
  </si>
  <si>
    <t>Height</t>
  </si>
  <si>
    <t>Weight</t>
  </si>
  <si>
    <t>Good</t>
  </si>
  <si>
    <t>Poor</t>
  </si>
  <si>
    <t>Moderate</t>
  </si>
  <si>
    <t>Very Poor</t>
  </si>
  <si>
    <t>Ejection fraction category</t>
  </si>
  <si>
    <t>Ejection Fraction</t>
  </si>
  <si>
    <t>Please prepare some graphs to present this data, and add them to the 'Graphs' tab</t>
  </si>
  <si>
    <t>Patient Age</t>
  </si>
  <si>
    <r>
      <rPr>
        <b/>
        <sz val="12"/>
        <color rgb="FF222222"/>
        <rFont val="Arial"/>
        <family val="2"/>
      </rPr>
      <t>Data Analysis and Validation</t>
    </r>
    <r>
      <rPr>
        <sz val="12"/>
        <color rgb="FF222222"/>
        <rFont val="Arial"/>
        <family val="2"/>
      </rPr>
      <t>: This sample data set consists of a list of cardiac surgery procedures from 2020, the predicted risk of death (mortality) for the patient using 2 different statistical models, and the actual outcome. It also contains some additional details regarding the procedure and the patient</t>
    </r>
  </si>
  <si>
    <t>Highlight any of the data in these fields which would need validating</t>
  </si>
  <si>
    <r>
      <rPr>
        <b/>
        <sz val="12"/>
        <color rgb="FFFF0000"/>
        <rFont val="Arial"/>
        <family val="2"/>
      </rPr>
      <t>Validation Task</t>
    </r>
    <r>
      <rPr>
        <sz val="12"/>
        <color theme="1"/>
        <rFont val="Arial"/>
        <family val="2"/>
      </rPr>
      <t>: The following are recorded on the spreadsheet named Data:
Height (cm)
Weight (kg)
Creatinine (between 60 and 200 is normal)
Ejection fraction (&gt;50 is good, 31-50 is moderate, 21-30 is poor and &lt;21 is very poor)</t>
    </r>
  </si>
  <si>
    <r>
      <rPr>
        <b/>
        <sz val="12"/>
        <color rgb="FFFF0000"/>
        <rFont val="Arial"/>
        <family val="2"/>
      </rPr>
      <t>Data Analysis Task</t>
    </r>
    <r>
      <rPr>
        <sz val="12"/>
        <color rgb="FFFF0000"/>
        <rFont val="Arial"/>
        <family val="2"/>
      </rPr>
      <t>:</t>
    </r>
    <r>
      <rPr>
        <sz val="12"/>
        <color rgb="FF222222"/>
        <rFont val="Arial"/>
        <family val="2"/>
      </rPr>
      <t xml:space="preserve"> We would like you to analyse the data, and present the following:</t>
    </r>
  </si>
  <si>
    <r>
      <t xml:space="preserve">Please return the completed spreadsheet with highlighted data and graphs attached, to sarah.osbourn1@nhs.net and alex.burnet@nhs.net </t>
    </r>
    <r>
      <rPr>
        <b/>
        <sz val="12"/>
        <color rgb="FFFF0000"/>
        <rFont val="Arial"/>
        <family val="2"/>
      </rPr>
      <t>Remember to include your App ID number from your application</t>
    </r>
  </si>
  <si>
    <t>Hospita Admit time</t>
  </si>
  <si>
    <t>Hospital admit date</t>
  </si>
  <si>
    <t>Procedure start time</t>
  </si>
  <si>
    <t>Procedure start date</t>
  </si>
  <si>
    <t xml:space="preserve">Count of how many surgeons </t>
  </si>
  <si>
    <t xml:space="preserve"> </t>
  </si>
  <si>
    <t>Row Labels</t>
  </si>
  <si>
    <t>Grand Total</t>
  </si>
  <si>
    <t>Count of Operation Type</t>
  </si>
  <si>
    <t>Column Labels</t>
  </si>
  <si>
    <t>Actual mortality</t>
  </si>
  <si>
    <t xml:space="preserve">Question 2: </t>
  </si>
  <si>
    <t>step 1 : Create a new colum "Actual Mortality". Died =1, Alive =0</t>
  </si>
  <si>
    <t>Srep 2 : Convert risk of mortality to decimal in new column</t>
  </si>
  <si>
    <t>Risk of death decimal (1)</t>
  </si>
  <si>
    <t>Risk of death decimal (2)</t>
  </si>
  <si>
    <t xml:space="preserve">Step 3 : Create a pivot table </t>
  </si>
  <si>
    <t xml:space="preserve">Uisng formular to calculate how many died per surgeon = </t>
  </si>
  <si>
    <t>Inside pivot:</t>
  </si>
  <si>
    <t>sumof actual death per surgeon in pivot</t>
  </si>
  <si>
    <t>Actual Mortality rate using Model 1</t>
  </si>
  <si>
    <t>Predicted Mortality rate using model 1</t>
  </si>
  <si>
    <t>step 4 a : Actual mortality rate = Actual mortality/no of cases( patient age) - note that excel uses the count of the items when dividing</t>
  </si>
  <si>
    <t xml:space="preserve">b: Predicted mortality rate = sum of risk%/no of cases </t>
  </si>
  <si>
    <t xml:space="preserve">To do setp 4 above, you use the fields, items and set option on pivottable analyze above </t>
  </si>
  <si>
    <t>Add and then ok</t>
  </si>
  <si>
    <t>Actual Mortality rate using model 2</t>
  </si>
  <si>
    <t>Predicted Mortality rate using model 2</t>
  </si>
  <si>
    <t xml:space="preserve">Step 5: o/E ratio (observed/expected) = actual deaths/predicted deaths </t>
  </si>
  <si>
    <t xml:space="preserve">o/e &gt;1 = worse </t>
  </si>
  <si>
    <t>o/e&lt;1 = better</t>
  </si>
  <si>
    <t>O/E ratio</t>
  </si>
  <si>
    <t>actual mortality/risk of death</t>
  </si>
  <si>
    <t>o/e = 1 - as expected</t>
  </si>
  <si>
    <t>Surgeon names</t>
  </si>
  <si>
    <t>Number of Patients</t>
  </si>
  <si>
    <t>Number of Actual mortality</t>
  </si>
  <si>
    <t xml:space="preserve">Number of predicted mortality </t>
  </si>
  <si>
    <t>Number of predicted mortality</t>
  </si>
  <si>
    <t xml:space="preserve">Question 3 : we need to calculate the time difference in a different column  = </t>
  </si>
  <si>
    <t>Procedure datetime - hospital date time</t>
  </si>
  <si>
    <t>Time between admission and procedure</t>
  </si>
  <si>
    <t xml:space="preserve"> Then format the cells correctly - using h:mm</t>
  </si>
  <si>
    <t xml:space="preserve">Then using a pivot table to group this by priority type </t>
  </si>
  <si>
    <t>summarize by average of the time</t>
  </si>
  <si>
    <t>Average of Time between admission and procedure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</si>
</sst>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h:mm;@"/>
    <numFmt numFmtId="165" formatCode="[$-F400]h:mm:ss\ AM/PM"/>
    <numFmt numFmtId="166" formatCode="h:mm;@"/>
    <numFmt numFmtId="167" formatCode="0.0"/>
  </numFmts>
  <fonts count="7" x14ac:knownFonts="1">
    <font>
      <sz val="11"/>
      <color theme="1"/>
      <name val="Calibri"/>
      <family val="2"/>
      <scheme val="minor"/>
    </font>
    <font>
      <b/>
      <sz val="20"/>
      <color theme="1"/>
      <name val="Calibri"/>
      <family val="2"/>
      <scheme val="minor"/>
    </font>
    <font>
      <sz val="12"/>
      <color rgb="FF222222"/>
      <name val="Arial"/>
      <family val="2"/>
    </font>
    <font>
      <b/>
      <sz val="12"/>
      <color rgb="FF222222"/>
      <name val="Arial"/>
      <family val="2"/>
    </font>
    <font>
      <sz val="12"/>
      <color theme="1"/>
      <name val="Arial"/>
      <family val="2"/>
    </font>
    <font>
      <b/>
      <sz val="12"/>
      <color rgb="FFFF0000"/>
      <name val="Arial"/>
      <family val="2"/>
    </font>
    <font>
      <sz val="12"/>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2" fillId="0" borderId="0" xfId="0" applyFont="1" applyAlignment="1">
      <alignment vertical="center" wrapText="1"/>
    </xf>
    <xf numFmtId="0" fontId="2" fillId="0" borderId="0" xfId="0" applyFont="1" applyAlignment="1">
      <alignment wrapText="1"/>
    </xf>
    <xf numFmtId="0" fontId="4" fillId="0" borderId="0" xfId="0" applyFont="1" applyAlignment="1">
      <alignment horizontal="left" vertical="center" indent="2"/>
    </xf>
    <xf numFmtId="0" fontId="4" fillId="0" borderId="0" xfId="0" applyFont="1" applyAlignment="1">
      <alignment vertical="center" wrapText="1"/>
    </xf>
    <xf numFmtId="0" fontId="5" fillId="0" borderId="0" xfId="0" quotePrefix="1" applyFont="1" applyAlignment="1">
      <alignment vertical="top"/>
    </xf>
    <xf numFmtId="0" fontId="5" fillId="0" borderId="0" xfId="0" applyFont="1" applyAlignment="1">
      <alignment vertical="center" wrapText="1"/>
    </xf>
    <xf numFmtId="0" fontId="3" fillId="0" borderId="0" xfId="0" applyFont="1" applyAlignment="1">
      <alignment vertical="center" wrapText="1"/>
    </xf>
    <xf numFmtId="164" fontId="0" fillId="0" borderId="0" xfId="0" applyNumberFormat="1"/>
    <xf numFmtId="1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67" fontId="0" fillId="0" borderId="0" xfId="0" applyNumberFormat="1"/>
    <xf numFmtId="20" fontId="0" fillId="0" borderId="0" xfId="0" applyNumberFormat="1"/>
  </cellXfs>
  <cellStyles count="1">
    <cellStyle name="Normal" xfId="0" builtinId="0"/>
  </cellStyles>
  <dxfs count="16">
    <dxf>
      <fill>
        <patternFill>
          <bgColor rgb="FFFF0000"/>
        </patternFill>
      </fill>
    </dxf>
    <dxf>
      <numFmt numFmtId="25" formatCode="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h:mm;@"/>
    </dxf>
    <dxf>
      <numFmt numFmtId="19" formatCode="m/d/yyyy"/>
    </dxf>
    <dxf>
      <numFmt numFmtId="164" formatCode="m/d/yy\ h:mm;@"/>
    </dxf>
    <dxf>
      <numFmt numFmtId="165" formatCode="[$-F400]h:mm:ss\ AM/PM"/>
    </dxf>
    <dxf>
      <numFmt numFmtId="19" formatCode="m/d/yyyy"/>
    </dxf>
    <dxf>
      <numFmt numFmtId="164" formatCode="m/d/yy\ h:mm;@"/>
    </dxf>
  </dxfs>
  <tableStyles count="1" defaultTableStyle="TableStyleMedium2" defaultPivotStyle="PivotStyleLight16">
    <tableStyle name="Invisible" pivot="0" table="0" count="0" xr9:uid="{E88AA1D5-8A39-49BE-A964-0D8266FF642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Exercise.xlsx]Number of operations by surgeon!PivotTable2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operations by surgeon by operation type</a:t>
            </a:r>
          </a:p>
        </c:rich>
      </c:tx>
      <c:layout>
        <c:manualLayout>
          <c:xMode val="edge"/>
          <c:yMode val="edge"/>
          <c:x val="0.13211789151356079"/>
          <c:y val="2.1164021164021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'Number of operations by surgeon'!$B$3:$B$4</c:f>
              <c:strCache>
                <c:ptCount val="1"/>
                <c:pt idx="0">
                  <c:v>Aorta surgery</c:v>
                </c:pt>
              </c:strCache>
            </c:strRef>
          </c:tx>
          <c:spPr>
            <a:solidFill>
              <a:schemeClr val="accent1"/>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surgeon'!$B$5:$B$22</c:f>
              <c:numCache>
                <c:formatCode>General</c:formatCode>
                <c:ptCount val="17"/>
                <c:pt idx="0">
                  <c:v>11</c:v>
                </c:pt>
                <c:pt idx="1">
                  <c:v>11</c:v>
                </c:pt>
                <c:pt idx="2">
                  <c:v>4</c:v>
                </c:pt>
                <c:pt idx="4">
                  <c:v>3</c:v>
                </c:pt>
                <c:pt idx="5">
                  <c:v>1</c:v>
                </c:pt>
                <c:pt idx="6">
                  <c:v>5</c:v>
                </c:pt>
                <c:pt idx="7">
                  <c:v>3</c:v>
                </c:pt>
                <c:pt idx="8">
                  <c:v>12</c:v>
                </c:pt>
                <c:pt idx="9">
                  <c:v>2</c:v>
                </c:pt>
                <c:pt idx="11">
                  <c:v>49</c:v>
                </c:pt>
                <c:pt idx="12">
                  <c:v>2</c:v>
                </c:pt>
                <c:pt idx="13">
                  <c:v>7</c:v>
                </c:pt>
                <c:pt idx="14">
                  <c:v>6</c:v>
                </c:pt>
                <c:pt idx="15">
                  <c:v>5</c:v>
                </c:pt>
                <c:pt idx="16">
                  <c:v>1</c:v>
                </c:pt>
              </c:numCache>
            </c:numRef>
          </c:val>
          <c:extLst>
            <c:ext xmlns:c16="http://schemas.microsoft.com/office/drawing/2014/chart" uri="{C3380CC4-5D6E-409C-BE32-E72D297353CC}">
              <c16:uniqueId val="{00000000-4113-4BF1-80C4-6FD10CD95072}"/>
            </c:ext>
          </c:extLst>
        </c:ser>
        <c:ser>
          <c:idx val="1"/>
          <c:order val="1"/>
          <c:tx>
            <c:strRef>
              <c:f>'Number of operations by surgeon'!$C$3:$C$4</c:f>
              <c:strCache>
                <c:ptCount val="1"/>
                <c:pt idx="0">
                  <c:v>CABG</c:v>
                </c:pt>
              </c:strCache>
            </c:strRef>
          </c:tx>
          <c:spPr>
            <a:solidFill>
              <a:schemeClr val="accent2"/>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surgeon'!$C$5:$C$22</c:f>
              <c:numCache>
                <c:formatCode>General</c:formatCode>
                <c:ptCount val="17"/>
                <c:pt idx="0">
                  <c:v>29</c:v>
                </c:pt>
                <c:pt idx="1">
                  <c:v>50</c:v>
                </c:pt>
                <c:pt idx="2">
                  <c:v>27</c:v>
                </c:pt>
                <c:pt idx="3">
                  <c:v>1</c:v>
                </c:pt>
                <c:pt idx="4">
                  <c:v>6</c:v>
                </c:pt>
                <c:pt idx="5">
                  <c:v>7</c:v>
                </c:pt>
                <c:pt idx="6">
                  <c:v>33</c:v>
                </c:pt>
                <c:pt idx="7">
                  <c:v>9</c:v>
                </c:pt>
                <c:pt idx="8">
                  <c:v>89</c:v>
                </c:pt>
                <c:pt idx="9">
                  <c:v>37</c:v>
                </c:pt>
                <c:pt idx="10">
                  <c:v>7</c:v>
                </c:pt>
                <c:pt idx="11">
                  <c:v>48</c:v>
                </c:pt>
                <c:pt idx="12">
                  <c:v>15</c:v>
                </c:pt>
                <c:pt idx="13">
                  <c:v>6</c:v>
                </c:pt>
                <c:pt idx="14">
                  <c:v>59</c:v>
                </c:pt>
                <c:pt idx="15">
                  <c:v>43</c:v>
                </c:pt>
                <c:pt idx="16">
                  <c:v>2</c:v>
                </c:pt>
              </c:numCache>
            </c:numRef>
          </c:val>
          <c:extLst>
            <c:ext xmlns:c16="http://schemas.microsoft.com/office/drawing/2014/chart" uri="{C3380CC4-5D6E-409C-BE32-E72D297353CC}">
              <c16:uniqueId val="{00000001-4113-4BF1-80C4-6FD10CD95072}"/>
            </c:ext>
          </c:extLst>
        </c:ser>
        <c:ser>
          <c:idx val="2"/>
          <c:order val="2"/>
          <c:tx>
            <c:strRef>
              <c:f>'Number of operations by surgeon'!$D$3:$D$4</c:f>
              <c:strCache>
                <c:ptCount val="1"/>
                <c:pt idx="0">
                  <c:v>CABG &amp; Valve</c:v>
                </c:pt>
              </c:strCache>
            </c:strRef>
          </c:tx>
          <c:spPr>
            <a:solidFill>
              <a:schemeClr val="accent3"/>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surgeon'!$D$5:$D$22</c:f>
              <c:numCache>
                <c:formatCode>General</c:formatCode>
                <c:ptCount val="17"/>
                <c:pt idx="0">
                  <c:v>17</c:v>
                </c:pt>
                <c:pt idx="1">
                  <c:v>20</c:v>
                </c:pt>
                <c:pt idx="2">
                  <c:v>9</c:v>
                </c:pt>
                <c:pt idx="3">
                  <c:v>1</c:v>
                </c:pt>
                <c:pt idx="4">
                  <c:v>4</c:v>
                </c:pt>
                <c:pt idx="5">
                  <c:v>1</c:v>
                </c:pt>
                <c:pt idx="6">
                  <c:v>18</c:v>
                </c:pt>
                <c:pt idx="7">
                  <c:v>16</c:v>
                </c:pt>
                <c:pt idx="8">
                  <c:v>28</c:v>
                </c:pt>
                <c:pt idx="9">
                  <c:v>20</c:v>
                </c:pt>
                <c:pt idx="10">
                  <c:v>16</c:v>
                </c:pt>
                <c:pt idx="11">
                  <c:v>24</c:v>
                </c:pt>
                <c:pt idx="12">
                  <c:v>31</c:v>
                </c:pt>
                <c:pt idx="13">
                  <c:v>7</c:v>
                </c:pt>
                <c:pt idx="14">
                  <c:v>20</c:v>
                </c:pt>
                <c:pt idx="15">
                  <c:v>12</c:v>
                </c:pt>
                <c:pt idx="16">
                  <c:v>3</c:v>
                </c:pt>
              </c:numCache>
            </c:numRef>
          </c:val>
          <c:extLst>
            <c:ext xmlns:c16="http://schemas.microsoft.com/office/drawing/2014/chart" uri="{C3380CC4-5D6E-409C-BE32-E72D297353CC}">
              <c16:uniqueId val="{00000002-4113-4BF1-80C4-6FD10CD95072}"/>
            </c:ext>
          </c:extLst>
        </c:ser>
        <c:ser>
          <c:idx val="3"/>
          <c:order val="3"/>
          <c:tx>
            <c:strRef>
              <c:f>'Number of operations by surgeon'!$E$3:$E$4</c:f>
              <c:strCache>
                <c:ptCount val="1"/>
                <c:pt idx="0">
                  <c:v>Major cardiac</c:v>
                </c:pt>
              </c:strCache>
            </c:strRef>
          </c:tx>
          <c:spPr>
            <a:solidFill>
              <a:schemeClr val="accent4"/>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surgeon'!$E$5:$E$22</c:f>
              <c:numCache>
                <c:formatCode>General</c:formatCode>
                <c:ptCount val="17"/>
                <c:pt idx="0">
                  <c:v>1</c:v>
                </c:pt>
                <c:pt idx="1">
                  <c:v>5</c:v>
                </c:pt>
                <c:pt idx="6">
                  <c:v>5</c:v>
                </c:pt>
                <c:pt idx="7">
                  <c:v>2</c:v>
                </c:pt>
                <c:pt idx="8">
                  <c:v>4</c:v>
                </c:pt>
                <c:pt idx="9">
                  <c:v>2</c:v>
                </c:pt>
                <c:pt idx="11">
                  <c:v>2</c:v>
                </c:pt>
                <c:pt idx="12">
                  <c:v>1</c:v>
                </c:pt>
                <c:pt idx="16">
                  <c:v>1</c:v>
                </c:pt>
              </c:numCache>
            </c:numRef>
          </c:val>
          <c:extLst>
            <c:ext xmlns:c16="http://schemas.microsoft.com/office/drawing/2014/chart" uri="{C3380CC4-5D6E-409C-BE32-E72D297353CC}">
              <c16:uniqueId val="{00000003-4113-4BF1-80C4-6FD10CD95072}"/>
            </c:ext>
          </c:extLst>
        </c:ser>
        <c:ser>
          <c:idx val="4"/>
          <c:order val="4"/>
          <c:tx>
            <c:strRef>
              <c:f>'Number of operations by surgeon'!$F$3:$F$4</c:f>
              <c:strCache>
                <c:ptCount val="1"/>
                <c:pt idx="0">
                  <c:v>None</c:v>
                </c:pt>
              </c:strCache>
            </c:strRef>
          </c:tx>
          <c:spPr>
            <a:solidFill>
              <a:schemeClr val="accent5"/>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surgeon'!$F$5:$F$22</c:f>
              <c:numCache>
                <c:formatCode>General</c:formatCode>
                <c:ptCount val="17"/>
                <c:pt idx="1">
                  <c:v>1</c:v>
                </c:pt>
                <c:pt idx="7">
                  <c:v>1</c:v>
                </c:pt>
                <c:pt idx="15">
                  <c:v>1</c:v>
                </c:pt>
              </c:numCache>
            </c:numRef>
          </c:val>
          <c:extLst>
            <c:ext xmlns:c16="http://schemas.microsoft.com/office/drawing/2014/chart" uri="{C3380CC4-5D6E-409C-BE32-E72D297353CC}">
              <c16:uniqueId val="{00000004-4113-4BF1-80C4-6FD10CD95072}"/>
            </c:ext>
          </c:extLst>
        </c:ser>
        <c:ser>
          <c:idx val="5"/>
          <c:order val="5"/>
          <c:tx>
            <c:strRef>
              <c:f>'Number of operations by surgeon'!$G$3:$G$4</c:f>
              <c:strCache>
                <c:ptCount val="1"/>
                <c:pt idx="0">
                  <c:v>Other</c:v>
                </c:pt>
              </c:strCache>
            </c:strRef>
          </c:tx>
          <c:spPr>
            <a:solidFill>
              <a:schemeClr val="accent6"/>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surgeon'!$G$5:$G$22</c:f>
              <c:numCache>
                <c:formatCode>General</c:formatCode>
                <c:ptCount val="17"/>
                <c:pt idx="11">
                  <c:v>1</c:v>
                </c:pt>
                <c:pt idx="12">
                  <c:v>1</c:v>
                </c:pt>
              </c:numCache>
            </c:numRef>
          </c:val>
          <c:extLst>
            <c:ext xmlns:c16="http://schemas.microsoft.com/office/drawing/2014/chart" uri="{C3380CC4-5D6E-409C-BE32-E72D297353CC}">
              <c16:uniqueId val="{00000005-4113-4BF1-80C4-6FD10CD95072}"/>
            </c:ext>
          </c:extLst>
        </c:ser>
        <c:ser>
          <c:idx val="6"/>
          <c:order val="6"/>
          <c:tx>
            <c:strRef>
              <c:f>'Number of operations by surgeon'!$H$3:$H$4</c:f>
              <c:strCache>
                <c:ptCount val="1"/>
                <c:pt idx="0">
                  <c:v>Valve</c:v>
                </c:pt>
              </c:strCache>
            </c:strRef>
          </c:tx>
          <c:spPr>
            <a:solidFill>
              <a:schemeClr val="accent1">
                <a:lumMod val="60000"/>
              </a:schemeClr>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surgeon'!$H$5:$H$22</c:f>
              <c:numCache>
                <c:formatCode>General</c:formatCode>
                <c:ptCount val="17"/>
                <c:pt idx="0">
                  <c:v>17</c:v>
                </c:pt>
                <c:pt idx="1">
                  <c:v>23</c:v>
                </c:pt>
                <c:pt idx="2">
                  <c:v>19</c:v>
                </c:pt>
                <c:pt idx="3">
                  <c:v>2</c:v>
                </c:pt>
                <c:pt idx="4">
                  <c:v>7</c:v>
                </c:pt>
                <c:pt idx="5">
                  <c:v>3</c:v>
                </c:pt>
                <c:pt idx="6">
                  <c:v>42</c:v>
                </c:pt>
                <c:pt idx="7">
                  <c:v>65</c:v>
                </c:pt>
                <c:pt idx="8">
                  <c:v>26</c:v>
                </c:pt>
                <c:pt idx="9">
                  <c:v>18</c:v>
                </c:pt>
                <c:pt idx="10">
                  <c:v>103</c:v>
                </c:pt>
                <c:pt idx="11">
                  <c:v>33</c:v>
                </c:pt>
                <c:pt idx="12">
                  <c:v>44</c:v>
                </c:pt>
                <c:pt idx="13">
                  <c:v>8</c:v>
                </c:pt>
                <c:pt idx="14">
                  <c:v>22</c:v>
                </c:pt>
                <c:pt idx="15">
                  <c:v>27</c:v>
                </c:pt>
                <c:pt idx="16">
                  <c:v>11</c:v>
                </c:pt>
              </c:numCache>
            </c:numRef>
          </c:val>
          <c:extLst>
            <c:ext xmlns:c16="http://schemas.microsoft.com/office/drawing/2014/chart" uri="{C3380CC4-5D6E-409C-BE32-E72D297353CC}">
              <c16:uniqueId val="{00000006-4113-4BF1-80C4-6FD10CD95072}"/>
            </c:ext>
          </c:extLst>
        </c:ser>
        <c:dLbls>
          <c:showLegendKey val="0"/>
          <c:showVal val="0"/>
          <c:showCatName val="0"/>
          <c:showSerName val="0"/>
          <c:showPercent val="0"/>
          <c:showBubbleSize val="0"/>
        </c:dLbls>
        <c:gapWidth val="150"/>
        <c:overlap val="100"/>
        <c:axId val="790842296"/>
        <c:axId val="790843376"/>
      </c:barChart>
      <c:catAx>
        <c:axId val="790842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43376"/>
        <c:crosses val="autoZero"/>
        <c:auto val="1"/>
        <c:lblAlgn val="ctr"/>
        <c:lblOffset val="100"/>
        <c:noMultiLvlLbl val="0"/>
      </c:catAx>
      <c:valAx>
        <c:axId val="790843376"/>
        <c:scaling>
          <c:orientation val="minMax"/>
        </c:scaling>
        <c:delete val="1"/>
        <c:axPos val="b"/>
        <c:numFmt formatCode="General" sourceLinked="1"/>
        <c:majorTickMark val="none"/>
        <c:minorTickMark val="none"/>
        <c:tickLblPos val="nextTo"/>
        <c:crossAx val="790842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Exercise.xlsx]A&amp;P mortality by surgeon (1)!PivotTable14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'A&amp;P mortality by surgeon (1)'!$B$3</c:f>
              <c:strCache>
                <c:ptCount val="1"/>
                <c:pt idx="0">
                  <c:v>Number of Patients</c:v>
                </c:pt>
              </c:strCache>
            </c:strRef>
          </c:tx>
          <c:spPr>
            <a:solidFill>
              <a:schemeClr val="accent1"/>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(1)'!$B$4:$B$21</c:f>
              <c:numCache>
                <c:formatCode>General</c:formatCode>
                <c:ptCount val="17"/>
                <c:pt idx="0">
                  <c:v>75</c:v>
                </c:pt>
                <c:pt idx="1">
                  <c:v>110</c:v>
                </c:pt>
                <c:pt idx="2">
                  <c:v>59</c:v>
                </c:pt>
                <c:pt idx="3">
                  <c:v>4</c:v>
                </c:pt>
                <c:pt idx="4">
                  <c:v>20</c:v>
                </c:pt>
                <c:pt idx="5">
                  <c:v>12</c:v>
                </c:pt>
                <c:pt idx="6">
                  <c:v>103</c:v>
                </c:pt>
                <c:pt idx="7">
                  <c:v>96</c:v>
                </c:pt>
                <c:pt idx="8">
                  <c:v>159</c:v>
                </c:pt>
                <c:pt idx="9">
                  <c:v>79</c:v>
                </c:pt>
                <c:pt idx="10">
                  <c:v>126</c:v>
                </c:pt>
                <c:pt idx="11">
                  <c:v>157</c:v>
                </c:pt>
                <c:pt idx="12">
                  <c:v>94</c:v>
                </c:pt>
                <c:pt idx="13">
                  <c:v>28</c:v>
                </c:pt>
                <c:pt idx="14">
                  <c:v>107</c:v>
                </c:pt>
                <c:pt idx="15">
                  <c:v>88</c:v>
                </c:pt>
                <c:pt idx="16">
                  <c:v>18</c:v>
                </c:pt>
              </c:numCache>
            </c:numRef>
          </c:val>
          <c:extLst>
            <c:ext xmlns:c16="http://schemas.microsoft.com/office/drawing/2014/chart" uri="{C3380CC4-5D6E-409C-BE32-E72D297353CC}">
              <c16:uniqueId val="{00000000-A6AD-45F0-9CDE-3C339AF86AFB}"/>
            </c:ext>
          </c:extLst>
        </c:ser>
        <c:ser>
          <c:idx val="1"/>
          <c:order val="1"/>
          <c:tx>
            <c:strRef>
              <c:f>'A&amp;P mortality by surgeon (1)'!$C$3</c:f>
              <c:strCache>
                <c:ptCount val="1"/>
                <c:pt idx="0">
                  <c:v>Number of predicted mortality</c:v>
                </c:pt>
              </c:strCache>
            </c:strRef>
          </c:tx>
          <c:spPr>
            <a:solidFill>
              <a:schemeClr val="accent2"/>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(1)'!$C$4:$C$21</c:f>
              <c:numCache>
                <c:formatCode>0.0</c:formatCode>
                <c:ptCount val="17"/>
                <c:pt idx="0">
                  <c:v>5.8569000000000004</c:v>
                </c:pt>
                <c:pt idx="1">
                  <c:v>11.293400000000004</c:v>
                </c:pt>
                <c:pt idx="2">
                  <c:v>3.6081999999999996</c:v>
                </c:pt>
                <c:pt idx="3">
                  <c:v>0.90040000000000009</c:v>
                </c:pt>
                <c:pt idx="4">
                  <c:v>1.1674999999999998</c:v>
                </c:pt>
                <c:pt idx="5">
                  <c:v>0.89780000000000004</c:v>
                </c:pt>
                <c:pt idx="6">
                  <c:v>8.5550000000000033</c:v>
                </c:pt>
                <c:pt idx="7">
                  <c:v>9.2028000000000034</c:v>
                </c:pt>
                <c:pt idx="8">
                  <c:v>13.140299999999998</c:v>
                </c:pt>
                <c:pt idx="9">
                  <c:v>4.8592000000000022</c:v>
                </c:pt>
                <c:pt idx="10">
                  <c:v>7.6852</c:v>
                </c:pt>
                <c:pt idx="11">
                  <c:v>15.350899999999998</c:v>
                </c:pt>
                <c:pt idx="12">
                  <c:v>10.294700000000001</c:v>
                </c:pt>
                <c:pt idx="13">
                  <c:v>3.2234999999999987</c:v>
                </c:pt>
                <c:pt idx="14">
                  <c:v>7.5681000000000012</c:v>
                </c:pt>
                <c:pt idx="15">
                  <c:v>6.6099000000000014</c:v>
                </c:pt>
                <c:pt idx="16">
                  <c:v>1.2444999999999999</c:v>
                </c:pt>
              </c:numCache>
            </c:numRef>
          </c:val>
          <c:extLst>
            <c:ext xmlns:c16="http://schemas.microsoft.com/office/drawing/2014/chart" uri="{C3380CC4-5D6E-409C-BE32-E72D297353CC}">
              <c16:uniqueId val="{00000001-A6AD-45F0-9CDE-3C339AF86AFB}"/>
            </c:ext>
          </c:extLst>
        </c:ser>
        <c:ser>
          <c:idx val="2"/>
          <c:order val="2"/>
          <c:tx>
            <c:strRef>
              <c:f>'A&amp;P mortality by surgeon (1)'!$D$3</c:f>
              <c:strCache>
                <c:ptCount val="1"/>
                <c:pt idx="0">
                  <c:v>Number of Actual mortality</c:v>
                </c:pt>
              </c:strCache>
            </c:strRef>
          </c:tx>
          <c:spPr>
            <a:solidFill>
              <a:schemeClr val="accent3"/>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(1)'!$D$4:$D$21</c:f>
              <c:numCache>
                <c:formatCode>General</c:formatCode>
                <c:ptCount val="17"/>
                <c:pt idx="0">
                  <c:v>2</c:v>
                </c:pt>
                <c:pt idx="1">
                  <c:v>5</c:v>
                </c:pt>
                <c:pt idx="2">
                  <c:v>1</c:v>
                </c:pt>
                <c:pt idx="3">
                  <c:v>3</c:v>
                </c:pt>
                <c:pt idx="4">
                  <c:v>0</c:v>
                </c:pt>
                <c:pt idx="5">
                  <c:v>0</c:v>
                </c:pt>
                <c:pt idx="6">
                  <c:v>4</c:v>
                </c:pt>
                <c:pt idx="7">
                  <c:v>4</c:v>
                </c:pt>
                <c:pt idx="8">
                  <c:v>4</c:v>
                </c:pt>
                <c:pt idx="9">
                  <c:v>3</c:v>
                </c:pt>
                <c:pt idx="10">
                  <c:v>2</c:v>
                </c:pt>
                <c:pt idx="11">
                  <c:v>3</c:v>
                </c:pt>
                <c:pt idx="12">
                  <c:v>4</c:v>
                </c:pt>
                <c:pt idx="13">
                  <c:v>3</c:v>
                </c:pt>
                <c:pt idx="14">
                  <c:v>2</c:v>
                </c:pt>
                <c:pt idx="15">
                  <c:v>4</c:v>
                </c:pt>
                <c:pt idx="16">
                  <c:v>0</c:v>
                </c:pt>
              </c:numCache>
            </c:numRef>
          </c:val>
          <c:extLst>
            <c:ext xmlns:c16="http://schemas.microsoft.com/office/drawing/2014/chart" uri="{C3380CC4-5D6E-409C-BE32-E72D297353CC}">
              <c16:uniqueId val="{00000002-A6AD-45F0-9CDE-3C339AF86AFB}"/>
            </c:ext>
          </c:extLst>
        </c:ser>
        <c:ser>
          <c:idx val="3"/>
          <c:order val="3"/>
          <c:tx>
            <c:strRef>
              <c:f>'A&amp;P mortality by surgeon (1)'!$E$3</c:f>
              <c:strCache>
                <c:ptCount val="1"/>
                <c:pt idx="0">
                  <c:v>Actual Mortality rate using Model 1</c:v>
                </c:pt>
              </c:strCache>
            </c:strRef>
          </c:tx>
          <c:spPr>
            <a:solidFill>
              <a:schemeClr val="accent4"/>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(1)'!$E$4:$E$21</c:f>
              <c:numCache>
                <c:formatCode>0.00%</c:formatCode>
                <c:ptCount val="17"/>
                <c:pt idx="0">
                  <c:v>3.9643211100099106E-4</c:v>
                </c:pt>
                <c:pt idx="1">
                  <c:v>6.8624759813340648E-4</c:v>
                </c:pt>
                <c:pt idx="2">
                  <c:v>2.4679170779861795E-4</c:v>
                </c:pt>
                <c:pt idx="3">
                  <c:v>1.1235955056179775E-2</c:v>
                </c:pt>
                <c:pt idx="4">
                  <c:v>0</c:v>
                </c:pt>
                <c:pt idx="5">
                  <c:v>0</c:v>
                </c:pt>
                <c:pt idx="6">
                  <c:v>5.6171885971071484E-4</c:v>
                </c:pt>
                <c:pt idx="7">
                  <c:v>6.0984906235706665E-4</c:v>
                </c:pt>
                <c:pt idx="8">
                  <c:v>3.673769287288758E-4</c:v>
                </c:pt>
                <c:pt idx="9">
                  <c:v>5.5005500550055003E-4</c:v>
                </c:pt>
                <c:pt idx="10">
                  <c:v>2.3299161230195712E-4</c:v>
                </c:pt>
                <c:pt idx="11">
                  <c:v>2.9058504455637351E-4</c:v>
                </c:pt>
                <c:pt idx="12">
                  <c:v>5.9136605558840927E-4</c:v>
                </c:pt>
                <c:pt idx="13">
                  <c:v>1.6034206306787815E-3</c:v>
                </c:pt>
                <c:pt idx="14">
                  <c:v>2.68564522626561E-4</c:v>
                </c:pt>
                <c:pt idx="15">
                  <c:v>6.5104166666666663E-4</c:v>
                </c:pt>
                <c:pt idx="16">
                  <c:v>0</c:v>
                </c:pt>
              </c:numCache>
            </c:numRef>
          </c:val>
          <c:extLst>
            <c:ext xmlns:c16="http://schemas.microsoft.com/office/drawing/2014/chart" uri="{C3380CC4-5D6E-409C-BE32-E72D297353CC}">
              <c16:uniqueId val="{00000003-A6AD-45F0-9CDE-3C339AF86AFB}"/>
            </c:ext>
          </c:extLst>
        </c:ser>
        <c:ser>
          <c:idx val="4"/>
          <c:order val="4"/>
          <c:tx>
            <c:strRef>
              <c:f>'A&amp;P mortality by surgeon (1)'!$F$3</c:f>
              <c:strCache>
                <c:ptCount val="1"/>
                <c:pt idx="0">
                  <c:v>Predicted Mortality rate using model 1</c:v>
                </c:pt>
              </c:strCache>
            </c:strRef>
          </c:tx>
          <c:spPr>
            <a:solidFill>
              <a:schemeClr val="accent5"/>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(1)'!$F$4:$F$21</c:f>
              <c:numCache>
                <c:formatCode>0.00%</c:formatCode>
                <c:ptCount val="17"/>
                <c:pt idx="0">
                  <c:v>1.1609316154608525E-3</c:v>
                </c:pt>
                <c:pt idx="1">
                  <c:v>1.5500137249519631E-3</c:v>
                </c:pt>
                <c:pt idx="2">
                  <c:v>8.9047384007897321E-4</c:v>
                </c:pt>
                <c:pt idx="3">
                  <c:v>3.3722846441947567E-3</c:v>
                </c:pt>
                <c:pt idx="4">
                  <c:v>8.6035372144436237E-4</c:v>
                </c:pt>
                <c:pt idx="5">
                  <c:v>1.1828722002635047E-3</c:v>
                </c:pt>
                <c:pt idx="6">
                  <c:v>1.2013762112062917E-3</c:v>
                </c:pt>
                <c:pt idx="7">
                  <c:v>1.4030797377649036E-3</c:v>
                </c:pt>
                <c:pt idx="8">
                  <c:v>1.2068607641440117E-3</c:v>
                </c:pt>
                <c:pt idx="9">
                  <c:v>8.9094242757609132E-4</c:v>
                </c:pt>
                <c:pt idx="10">
                  <c:v>8.9529356943150046E-4</c:v>
                </c:pt>
                <c:pt idx="11">
                  <c:v>1.4869139868268111E-3</c:v>
                </c:pt>
                <c:pt idx="12">
                  <c:v>1.5219840331164992E-3</c:v>
                </c:pt>
                <c:pt idx="13">
                  <c:v>1.72287546766435E-3</c:v>
                </c:pt>
                <c:pt idx="14">
                  <c:v>1.0162615818450384E-3</c:v>
                </c:pt>
                <c:pt idx="15">
                  <c:v>1.0758300781250002E-3</c:v>
                </c:pt>
                <c:pt idx="16">
                  <c:v>9.8457278481012657E-4</c:v>
                </c:pt>
              </c:numCache>
            </c:numRef>
          </c:val>
          <c:extLst>
            <c:ext xmlns:c16="http://schemas.microsoft.com/office/drawing/2014/chart" uri="{C3380CC4-5D6E-409C-BE32-E72D297353CC}">
              <c16:uniqueId val="{00000004-A6AD-45F0-9CDE-3C339AF86AFB}"/>
            </c:ext>
          </c:extLst>
        </c:ser>
        <c:dLbls>
          <c:showLegendKey val="0"/>
          <c:showVal val="0"/>
          <c:showCatName val="0"/>
          <c:showSerName val="0"/>
          <c:showPercent val="0"/>
          <c:showBubbleSize val="0"/>
        </c:dLbls>
        <c:gapWidth val="182"/>
        <c:axId val="634477136"/>
        <c:axId val="634478216"/>
      </c:barChart>
      <c:catAx>
        <c:axId val="63447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78216"/>
        <c:crosses val="autoZero"/>
        <c:auto val="1"/>
        <c:lblAlgn val="ctr"/>
        <c:lblOffset val="100"/>
        <c:noMultiLvlLbl val="0"/>
      </c:catAx>
      <c:valAx>
        <c:axId val="63447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7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Exercise.xlsx]A&amp;P mortality by surgeon (2)!PivotTable15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'A&amp;P mortality by surgeon (2)'!$B$3</c:f>
              <c:strCache>
                <c:ptCount val="1"/>
                <c:pt idx="0">
                  <c:v>Number of Patients</c:v>
                </c:pt>
              </c:strCache>
            </c:strRef>
          </c:tx>
          <c:spPr>
            <a:solidFill>
              <a:schemeClr val="accent1"/>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(2)'!$B$4:$B$21</c:f>
              <c:numCache>
                <c:formatCode>General</c:formatCode>
                <c:ptCount val="17"/>
                <c:pt idx="0">
                  <c:v>75</c:v>
                </c:pt>
                <c:pt idx="1">
                  <c:v>110</c:v>
                </c:pt>
                <c:pt idx="2">
                  <c:v>59</c:v>
                </c:pt>
                <c:pt idx="3">
                  <c:v>4</c:v>
                </c:pt>
                <c:pt idx="4">
                  <c:v>20</c:v>
                </c:pt>
                <c:pt idx="5">
                  <c:v>12</c:v>
                </c:pt>
                <c:pt idx="6">
                  <c:v>103</c:v>
                </c:pt>
                <c:pt idx="7">
                  <c:v>96</c:v>
                </c:pt>
                <c:pt idx="8">
                  <c:v>159</c:v>
                </c:pt>
                <c:pt idx="9">
                  <c:v>79</c:v>
                </c:pt>
                <c:pt idx="10">
                  <c:v>126</c:v>
                </c:pt>
                <c:pt idx="11">
                  <c:v>157</c:v>
                </c:pt>
                <c:pt idx="12">
                  <c:v>94</c:v>
                </c:pt>
                <c:pt idx="13">
                  <c:v>28</c:v>
                </c:pt>
                <c:pt idx="14">
                  <c:v>107</c:v>
                </c:pt>
                <c:pt idx="15">
                  <c:v>88</c:v>
                </c:pt>
                <c:pt idx="16">
                  <c:v>18</c:v>
                </c:pt>
              </c:numCache>
            </c:numRef>
          </c:val>
          <c:extLst>
            <c:ext xmlns:c16="http://schemas.microsoft.com/office/drawing/2014/chart" uri="{C3380CC4-5D6E-409C-BE32-E72D297353CC}">
              <c16:uniqueId val="{00000000-84FA-4537-BFC3-E529103C0458}"/>
            </c:ext>
          </c:extLst>
        </c:ser>
        <c:ser>
          <c:idx val="1"/>
          <c:order val="1"/>
          <c:tx>
            <c:strRef>
              <c:f>'A&amp;P mortality by surgeon (2)'!$C$3</c:f>
              <c:strCache>
                <c:ptCount val="1"/>
                <c:pt idx="0">
                  <c:v>Number of predicted mortality </c:v>
                </c:pt>
              </c:strCache>
            </c:strRef>
          </c:tx>
          <c:spPr>
            <a:solidFill>
              <a:schemeClr val="accent2"/>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(2)'!$C$4:$C$21</c:f>
              <c:numCache>
                <c:formatCode>0</c:formatCode>
                <c:ptCount val="17"/>
                <c:pt idx="0">
                  <c:v>2.9039000000000001</c:v>
                </c:pt>
                <c:pt idx="1">
                  <c:v>5.2081000000000008</c:v>
                </c:pt>
                <c:pt idx="2">
                  <c:v>1.4944000000000002</c:v>
                </c:pt>
                <c:pt idx="3">
                  <c:v>0.79530000000000001</c:v>
                </c:pt>
                <c:pt idx="4">
                  <c:v>0.39759999999999995</c:v>
                </c:pt>
                <c:pt idx="5">
                  <c:v>0.23749999999999999</c:v>
                </c:pt>
                <c:pt idx="6">
                  <c:v>4.6292999999999989</c:v>
                </c:pt>
                <c:pt idx="7">
                  <c:v>4.3778000000000024</c:v>
                </c:pt>
                <c:pt idx="8">
                  <c:v>5.9794</c:v>
                </c:pt>
                <c:pt idx="9">
                  <c:v>2.9807000000000006</c:v>
                </c:pt>
                <c:pt idx="10">
                  <c:v>3.3394000000000013</c:v>
                </c:pt>
                <c:pt idx="11">
                  <c:v>5.913899999999999</c:v>
                </c:pt>
                <c:pt idx="12">
                  <c:v>5.0003000000000011</c:v>
                </c:pt>
                <c:pt idx="13">
                  <c:v>1.5223</c:v>
                </c:pt>
                <c:pt idx="14">
                  <c:v>3.6393000000000004</c:v>
                </c:pt>
                <c:pt idx="15">
                  <c:v>2.8952</c:v>
                </c:pt>
                <c:pt idx="16">
                  <c:v>0.57900000000000018</c:v>
                </c:pt>
              </c:numCache>
            </c:numRef>
          </c:val>
          <c:extLst>
            <c:ext xmlns:c16="http://schemas.microsoft.com/office/drawing/2014/chart" uri="{C3380CC4-5D6E-409C-BE32-E72D297353CC}">
              <c16:uniqueId val="{00000001-84FA-4537-BFC3-E529103C0458}"/>
            </c:ext>
          </c:extLst>
        </c:ser>
        <c:ser>
          <c:idx val="2"/>
          <c:order val="2"/>
          <c:tx>
            <c:strRef>
              <c:f>'A&amp;P mortality by surgeon (2)'!$D$3</c:f>
              <c:strCache>
                <c:ptCount val="1"/>
                <c:pt idx="0">
                  <c:v>Number of Actual mortality</c:v>
                </c:pt>
              </c:strCache>
            </c:strRef>
          </c:tx>
          <c:spPr>
            <a:solidFill>
              <a:schemeClr val="accent3"/>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(2)'!$D$4:$D$21</c:f>
              <c:numCache>
                <c:formatCode>General</c:formatCode>
                <c:ptCount val="17"/>
                <c:pt idx="0">
                  <c:v>2</c:v>
                </c:pt>
                <c:pt idx="1">
                  <c:v>5</c:v>
                </c:pt>
                <c:pt idx="2">
                  <c:v>1</c:v>
                </c:pt>
                <c:pt idx="3">
                  <c:v>3</c:v>
                </c:pt>
                <c:pt idx="4">
                  <c:v>0</c:v>
                </c:pt>
                <c:pt idx="5">
                  <c:v>0</c:v>
                </c:pt>
                <c:pt idx="6">
                  <c:v>4</c:v>
                </c:pt>
                <c:pt idx="7">
                  <c:v>4</c:v>
                </c:pt>
                <c:pt idx="8">
                  <c:v>4</c:v>
                </c:pt>
                <c:pt idx="9">
                  <c:v>3</c:v>
                </c:pt>
                <c:pt idx="10">
                  <c:v>2</c:v>
                </c:pt>
                <c:pt idx="11">
                  <c:v>3</c:v>
                </c:pt>
                <c:pt idx="12">
                  <c:v>4</c:v>
                </c:pt>
                <c:pt idx="13">
                  <c:v>3</c:v>
                </c:pt>
                <c:pt idx="14">
                  <c:v>2</c:v>
                </c:pt>
                <c:pt idx="15">
                  <c:v>4</c:v>
                </c:pt>
                <c:pt idx="16">
                  <c:v>0</c:v>
                </c:pt>
              </c:numCache>
            </c:numRef>
          </c:val>
          <c:extLst>
            <c:ext xmlns:c16="http://schemas.microsoft.com/office/drawing/2014/chart" uri="{C3380CC4-5D6E-409C-BE32-E72D297353CC}">
              <c16:uniqueId val="{00000002-84FA-4537-BFC3-E529103C0458}"/>
            </c:ext>
          </c:extLst>
        </c:ser>
        <c:ser>
          <c:idx val="3"/>
          <c:order val="3"/>
          <c:tx>
            <c:strRef>
              <c:f>'A&amp;P mortality by surgeon (2)'!$E$3</c:f>
              <c:strCache>
                <c:ptCount val="1"/>
                <c:pt idx="0">
                  <c:v>Actual Mortality rate using model 2</c:v>
                </c:pt>
              </c:strCache>
            </c:strRef>
          </c:tx>
          <c:spPr>
            <a:solidFill>
              <a:schemeClr val="accent4"/>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(2)'!$E$4:$E$21</c:f>
              <c:numCache>
                <c:formatCode>0.00%</c:formatCode>
                <c:ptCount val="17"/>
                <c:pt idx="0">
                  <c:v>3.9643211100099106E-4</c:v>
                </c:pt>
                <c:pt idx="1">
                  <c:v>6.8624759813340648E-4</c:v>
                </c:pt>
                <c:pt idx="2">
                  <c:v>2.4679170779861795E-4</c:v>
                </c:pt>
                <c:pt idx="3">
                  <c:v>1.1235955056179775E-2</c:v>
                </c:pt>
                <c:pt idx="4">
                  <c:v>0</c:v>
                </c:pt>
                <c:pt idx="5">
                  <c:v>0</c:v>
                </c:pt>
                <c:pt idx="6">
                  <c:v>5.6171885971071484E-4</c:v>
                </c:pt>
                <c:pt idx="7">
                  <c:v>6.0984906235706665E-4</c:v>
                </c:pt>
                <c:pt idx="8">
                  <c:v>3.673769287288758E-4</c:v>
                </c:pt>
                <c:pt idx="9">
                  <c:v>5.5005500550055003E-4</c:v>
                </c:pt>
                <c:pt idx="10">
                  <c:v>2.3299161230195712E-4</c:v>
                </c:pt>
                <c:pt idx="11">
                  <c:v>2.9058504455637351E-4</c:v>
                </c:pt>
                <c:pt idx="12">
                  <c:v>5.9136605558840927E-4</c:v>
                </c:pt>
                <c:pt idx="13">
                  <c:v>1.6034206306787815E-3</c:v>
                </c:pt>
                <c:pt idx="14">
                  <c:v>2.68564522626561E-4</c:v>
                </c:pt>
                <c:pt idx="15">
                  <c:v>6.5104166666666663E-4</c:v>
                </c:pt>
                <c:pt idx="16">
                  <c:v>0</c:v>
                </c:pt>
              </c:numCache>
            </c:numRef>
          </c:val>
          <c:extLst>
            <c:ext xmlns:c16="http://schemas.microsoft.com/office/drawing/2014/chart" uri="{C3380CC4-5D6E-409C-BE32-E72D297353CC}">
              <c16:uniqueId val="{00000003-84FA-4537-BFC3-E529103C0458}"/>
            </c:ext>
          </c:extLst>
        </c:ser>
        <c:ser>
          <c:idx val="4"/>
          <c:order val="4"/>
          <c:tx>
            <c:strRef>
              <c:f>'A&amp;P mortality by surgeon (2)'!$F$3</c:f>
              <c:strCache>
                <c:ptCount val="1"/>
                <c:pt idx="0">
                  <c:v>Predicted Mortality rate using model 2</c:v>
                </c:pt>
              </c:strCache>
            </c:strRef>
          </c:tx>
          <c:spPr>
            <a:solidFill>
              <a:schemeClr val="accent5"/>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(2)'!$F$4:$F$21</c:f>
              <c:numCache>
                <c:formatCode>0.00%</c:formatCode>
                <c:ptCount val="17"/>
                <c:pt idx="0">
                  <c:v>5.7559960356788902E-4</c:v>
                </c:pt>
                <c:pt idx="1">
                  <c:v>7.1480922316771907E-4</c:v>
                </c:pt>
                <c:pt idx="2">
                  <c:v>3.6880552813425474E-4</c:v>
                </c:pt>
                <c:pt idx="3">
                  <c:v>2.9786516853932583E-3</c:v>
                </c:pt>
                <c:pt idx="4">
                  <c:v>2.9299926308032419E-4</c:v>
                </c:pt>
                <c:pt idx="5">
                  <c:v>3.1291172595520418E-4</c:v>
                </c:pt>
                <c:pt idx="6">
                  <c:v>6.5009127931470287E-4</c:v>
                </c:pt>
                <c:pt idx="7">
                  <c:v>6.6744930629669197E-4</c:v>
                </c:pt>
                <c:pt idx="8">
                  <c:v>5.4917340191036005E-4</c:v>
                </c:pt>
                <c:pt idx="9">
                  <c:v>5.4651631829849665E-4</c:v>
                </c:pt>
                <c:pt idx="10">
                  <c:v>3.8902609506057795E-4</c:v>
                </c:pt>
                <c:pt idx="11">
                  <c:v>5.7283029833397902E-4</c:v>
                </c:pt>
                <c:pt idx="12">
                  <c:v>7.3925192193968086E-4</c:v>
                </c:pt>
                <c:pt idx="13">
                  <c:v>8.1362907536076967E-4</c:v>
                </c:pt>
                <c:pt idx="14">
                  <c:v>4.8869343359742186E-4</c:v>
                </c:pt>
                <c:pt idx="15">
                  <c:v>4.7122395833333331E-4</c:v>
                </c:pt>
                <c:pt idx="16">
                  <c:v>4.5806962025316471E-4</c:v>
                </c:pt>
              </c:numCache>
            </c:numRef>
          </c:val>
          <c:extLst>
            <c:ext xmlns:c16="http://schemas.microsoft.com/office/drawing/2014/chart" uri="{C3380CC4-5D6E-409C-BE32-E72D297353CC}">
              <c16:uniqueId val="{00000004-84FA-4537-BFC3-E529103C0458}"/>
            </c:ext>
          </c:extLst>
        </c:ser>
        <c:ser>
          <c:idx val="5"/>
          <c:order val="5"/>
          <c:tx>
            <c:strRef>
              <c:f>'A&amp;P mortality by surgeon (2)'!$G$3</c:f>
              <c:strCache>
                <c:ptCount val="1"/>
                <c:pt idx="0">
                  <c:v>O/E ratio</c:v>
                </c:pt>
              </c:strCache>
            </c:strRef>
          </c:tx>
          <c:spPr>
            <a:solidFill>
              <a:schemeClr val="accent6"/>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(2)'!$G$4:$G$21</c:f>
              <c:numCache>
                <c:formatCode>0</c:formatCode>
                <c:ptCount val="17"/>
                <c:pt idx="0">
                  <c:v>6.8872895072144349E-3</c:v>
                </c:pt>
                <c:pt idx="1">
                  <c:v>9.6004300992684442E-3</c:v>
                </c:pt>
                <c:pt idx="2">
                  <c:v>6.6916488222698058E-3</c:v>
                </c:pt>
                <c:pt idx="3">
                  <c:v>3.7721614485099961E-2</c:v>
                </c:pt>
                <c:pt idx="4">
                  <c:v>0</c:v>
                </c:pt>
                <c:pt idx="5">
                  <c:v>0</c:v>
                </c:pt>
                <c:pt idx="6">
                  <c:v>8.6406152118030811E-3</c:v>
                </c:pt>
                <c:pt idx="7">
                  <c:v>9.1370094568047882E-3</c:v>
                </c:pt>
                <c:pt idx="8">
                  <c:v>6.6896344114794129E-3</c:v>
                </c:pt>
                <c:pt idx="9">
                  <c:v>1.0064749890965204E-2</c:v>
                </c:pt>
                <c:pt idx="10">
                  <c:v>5.9890998382943058E-3</c:v>
                </c:pt>
                <c:pt idx="11">
                  <c:v>5.0727946025465442E-3</c:v>
                </c:pt>
                <c:pt idx="12">
                  <c:v>7.9995200287982706E-3</c:v>
                </c:pt>
                <c:pt idx="13">
                  <c:v>1.970702226893516E-2</c:v>
                </c:pt>
                <c:pt idx="14">
                  <c:v>5.4955623334157662E-3</c:v>
                </c:pt>
                <c:pt idx="15">
                  <c:v>1.381597126277978E-2</c:v>
                </c:pt>
                <c:pt idx="16">
                  <c:v>0</c:v>
                </c:pt>
              </c:numCache>
            </c:numRef>
          </c:val>
          <c:extLst>
            <c:ext xmlns:c16="http://schemas.microsoft.com/office/drawing/2014/chart" uri="{C3380CC4-5D6E-409C-BE32-E72D297353CC}">
              <c16:uniqueId val="{00000005-84FA-4537-BFC3-E529103C0458}"/>
            </c:ext>
          </c:extLst>
        </c:ser>
        <c:dLbls>
          <c:showLegendKey val="0"/>
          <c:showVal val="0"/>
          <c:showCatName val="0"/>
          <c:showSerName val="0"/>
          <c:showPercent val="0"/>
          <c:showBubbleSize val="0"/>
        </c:dLbls>
        <c:gapWidth val="182"/>
        <c:axId val="812521576"/>
        <c:axId val="812523016"/>
      </c:barChart>
      <c:catAx>
        <c:axId val="812521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23016"/>
        <c:crosses val="autoZero"/>
        <c:auto val="1"/>
        <c:lblAlgn val="ctr"/>
        <c:lblOffset val="100"/>
        <c:noMultiLvlLbl val="0"/>
      </c:catAx>
      <c:valAx>
        <c:axId val="812523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21576"/>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Exercise.xlsx]Avg time btw admis and proce!PivotTable20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time between admission and procedure</a:t>
            </a:r>
            <a:r>
              <a:rPr lang="en-US" baseline="0"/>
              <a:t> </a:t>
            </a:r>
          </a:p>
          <a:p>
            <a:pPr>
              <a:defRPr/>
            </a:pPr>
            <a:r>
              <a:rPr lang="en-US" baseline="0"/>
              <a:t>(hours)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time btw admis and proce'!$B$3</c:f>
              <c:strCache>
                <c:ptCount val="1"/>
                <c:pt idx="0">
                  <c:v>Total</c:v>
                </c:pt>
              </c:strCache>
            </c:strRef>
          </c:tx>
          <c:spPr>
            <a:solidFill>
              <a:schemeClr val="accent1"/>
            </a:solidFill>
            <a:ln>
              <a:noFill/>
            </a:ln>
            <a:effectLst/>
          </c:spPr>
          <c:invertIfNegative val="0"/>
          <c:cat>
            <c:strRef>
              <c:f>'Avg time btw admis and proce'!$A$4:$A$8</c:f>
              <c:strCache>
                <c:ptCount val="4"/>
                <c:pt idx="0">
                  <c:v>elective</c:v>
                </c:pt>
                <c:pt idx="1">
                  <c:v>emergency</c:v>
                </c:pt>
                <c:pt idx="2">
                  <c:v>salvage</c:v>
                </c:pt>
                <c:pt idx="3">
                  <c:v>urgent</c:v>
                </c:pt>
              </c:strCache>
            </c:strRef>
          </c:cat>
          <c:val>
            <c:numRef>
              <c:f>'Avg time btw admis and proce'!$B$4:$B$8</c:f>
              <c:numCache>
                <c:formatCode>h:mm</c:formatCode>
                <c:ptCount val="4"/>
                <c:pt idx="0">
                  <c:v>0.86039614898989958</c:v>
                </c:pt>
                <c:pt idx="1">
                  <c:v>1.4032398504273498</c:v>
                </c:pt>
                <c:pt idx="2">
                  <c:v>1.9750000000000001</c:v>
                </c:pt>
                <c:pt idx="3">
                  <c:v>5.6815204880294647</c:v>
                </c:pt>
              </c:numCache>
            </c:numRef>
          </c:val>
          <c:extLst>
            <c:ext xmlns:c16="http://schemas.microsoft.com/office/drawing/2014/chart" uri="{C3380CC4-5D6E-409C-BE32-E72D297353CC}">
              <c16:uniqueId val="{00000000-FEBB-4532-87B7-8B7F03618BF9}"/>
            </c:ext>
          </c:extLst>
        </c:ser>
        <c:dLbls>
          <c:showLegendKey val="0"/>
          <c:showVal val="0"/>
          <c:showCatName val="0"/>
          <c:showSerName val="0"/>
          <c:showPercent val="0"/>
          <c:showBubbleSize val="0"/>
        </c:dLbls>
        <c:gapWidth val="182"/>
        <c:axId val="615807744"/>
        <c:axId val="615814944"/>
      </c:barChart>
      <c:catAx>
        <c:axId val="615807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4944"/>
        <c:crosses val="autoZero"/>
        <c:auto val="1"/>
        <c:lblAlgn val="ctr"/>
        <c:lblOffset val="100"/>
        <c:noMultiLvlLbl val="0"/>
      </c:catAx>
      <c:valAx>
        <c:axId val="615814944"/>
        <c:scaling>
          <c:orientation val="minMax"/>
        </c:scaling>
        <c:delete val="1"/>
        <c:axPos val="b"/>
        <c:numFmt formatCode="h:mm" sourceLinked="1"/>
        <c:majorTickMark val="out"/>
        <c:minorTickMark val="none"/>
        <c:tickLblPos val="nextTo"/>
        <c:crossAx val="6158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Exercise.xlsx]Number of operations by surgeon!PivotTable2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badi" panose="020F0502020204030204" pitchFamily="34" charset="0"/>
              </a:rPr>
              <a:t>Number</a:t>
            </a:r>
            <a:r>
              <a:rPr lang="en-US" baseline="0">
                <a:latin typeface="Abadi" panose="020F0502020204030204" pitchFamily="34" charset="0"/>
              </a:rPr>
              <a:t> of operations by surgeon by operation type</a:t>
            </a:r>
          </a:p>
        </c:rich>
      </c:tx>
      <c:layout>
        <c:manualLayout>
          <c:xMode val="edge"/>
          <c:yMode val="edge"/>
          <c:x val="0.13211789151356079"/>
          <c:y val="2.1164021164021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'Number of operations by surgeon'!$B$3:$B$4</c:f>
              <c:strCache>
                <c:ptCount val="1"/>
                <c:pt idx="0">
                  <c:v>Aorta surgery</c:v>
                </c:pt>
              </c:strCache>
            </c:strRef>
          </c:tx>
          <c:spPr>
            <a:solidFill>
              <a:schemeClr val="accent1"/>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surgeon'!$B$5:$B$22</c:f>
              <c:numCache>
                <c:formatCode>General</c:formatCode>
                <c:ptCount val="17"/>
                <c:pt idx="0">
                  <c:v>11</c:v>
                </c:pt>
                <c:pt idx="1">
                  <c:v>11</c:v>
                </c:pt>
                <c:pt idx="2">
                  <c:v>4</c:v>
                </c:pt>
                <c:pt idx="4">
                  <c:v>3</c:v>
                </c:pt>
                <c:pt idx="5">
                  <c:v>1</c:v>
                </c:pt>
                <c:pt idx="6">
                  <c:v>5</c:v>
                </c:pt>
                <c:pt idx="7">
                  <c:v>3</c:v>
                </c:pt>
                <c:pt idx="8">
                  <c:v>12</c:v>
                </c:pt>
                <c:pt idx="9">
                  <c:v>2</c:v>
                </c:pt>
                <c:pt idx="11">
                  <c:v>49</c:v>
                </c:pt>
                <c:pt idx="12">
                  <c:v>2</c:v>
                </c:pt>
                <c:pt idx="13">
                  <c:v>7</c:v>
                </c:pt>
                <c:pt idx="14">
                  <c:v>6</c:v>
                </c:pt>
                <c:pt idx="15">
                  <c:v>5</c:v>
                </c:pt>
                <c:pt idx="16">
                  <c:v>1</c:v>
                </c:pt>
              </c:numCache>
            </c:numRef>
          </c:val>
          <c:extLst>
            <c:ext xmlns:c16="http://schemas.microsoft.com/office/drawing/2014/chart" uri="{C3380CC4-5D6E-409C-BE32-E72D297353CC}">
              <c16:uniqueId val="{00000000-CEB7-43FF-A290-BDDC08F5C475}"/>
            </c:ext>
          </c:extLst>
        </c:ser>
        <c:ser>
          <c:idx val="1"/>
          <c:order val="1"/>
          <c:tx>
            <c:strRef>
              <c:f>'Number of operations by surgeon'!$C$3:$C$4</c:f>
              <c:strCache>
                <c:ptCount val="1"/>
                <c:pt idx="0">
                  <c:v>CABG</c:v>
                </c:pt>
              </c:strCache>
            </c:strRef>
          </c:tx>
          <c:spPr>
            <a:solidFill>
              <a:schemeClr val="accent2"/>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surgeon'!$C$5:$C$22</c:f>
              <c:numCache>
                <c:formatCode>General</c:formatCode>
                <c:ptCount val="17"/>
                <c:pt idx="0">
                  <c:v>29</c:v>
                </c:pt>
                <c:pt idx="1">
                  <c:v>50</c:v>
                </c:pt>
                <c:pt idx="2">
                  <c:v>27</c:v>
                </c:pt>
                <c:pt idx="3">
                  <c:v>1</c:v>
                </c:pt>
                <c:pt idx="4">
                  <c:v>6</c:v>
                </c:pt>
                <c:pt idx="5">
                  <c:v>7</c:v>
                </c:pt>
                <c:pt idx="6">
                  <c:v>33</c:v>
                </c:pt>
                <c:pt idx="7">
                  <c:v>9</c:v>
                </c:pt>
                <c:pt idx="8">
                  <c:v>89</c:v>
                </c:pt>
                <c:pt idx="9">
                  <c:v>37</c:v>
                </c:pt>
                <c:pt idx="10">
                  <c:v>7</c:v>
                </c:pt>
                <c:pt idx="11">
                  <c:v>48</c:v>
                </c:pt>
                <c:pt idx="12">
                  <c:v>15</c:v>
                </c:pt>
                <c:pt idx="13">
                  <c:v>6</c:v>
                </c:pt>
                <c:pt idx="14">
                  <c:v>59</c:v>
                </c:pt>
                <c:pt idx="15">
                  <c:v>43</c:v>
                </c:pt>
                <c:pt idx="16">
                  <c:v>2</c:v>
                </c:pt>
              </c:numCache>
            </c:numRef>
          </c:val>
          <c:extLst>
            <c:ext xmlns:c16="http://schemas.microsoft.com/office/drawing/2014/chart" uri="{C3380CC4-5D6E-409C-BE32-E72D297353CC}">
              <c16:uniqueId val="{00000001-CEB7-43FF-A290-BDDC08F5C475}"/>
            </c:ext>
          </c:extLst>
        </c:ser>
        <c:ser>
          <c:idx val="2"/>
          <c:order val="2"/>
          <c:tx>
            <c:strRef>
              <c:f>'Number of operations by surgeon'!$D$3:$D$4</c:f>
              <c:strCache>
                <c:ptCount val="1"/>
                <c:pt idx="0">
                  <c:v>CABG &amp; Valve</c:v>
                </c:pt>
              </c:strCache>
            </c:strRef>
          </c:tx>
          <c:spPr>
            <a:solidFill>
              <a:schemeClr val="accent3"/>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surgeon'!$D$5:$D$22</c:f>
              <c:numCache>
                <c:formatCode>General</c:formatCode>
                <c:ptCount val="17"/>
                <c:pt idx="0">
                  <c:v>17</c:v>
                </c:pt>
                <c:pt idx="1">
                  <c:v>20</c:v>
                </c:pt>
                <c:pt idx="2">
                  <c:v>9</c:v>
                </c:pt>
                <c:pt idx="3">
                  <c:v>1</c:v>
                </c:pt>
                <c:pt idx="4">
                  <c:v>4</c:v>
                </c:pt>
                <c:pt idx="5">
                  <c:v>1</c:v>
                </c:pt>
                <c:pt idx="6">
                  <c:v>18</c:v>
                </c:pt>
                <c:pt idx="7">
                  <c:v>16</c:v>
                </c:pt>
                <c:pt idx="8">
                  <c:v>28</c:v>
                </c:pt>
                <c:pt idx="9">
                  <c:v>20</c:v>
                </c:pt>
                <c:pt idx="10">
                  <c:v>16</c:v>
                </c:pt>
                <c:pt idx="11">
                  <c:v>24</c:v>
                </c:pt>
                <c:pt idx="12">
                  <c:v>31</c:v>
                </c:pt>
                <c:pt idx="13">
                  <c:v>7</c:v>
                </c:pt>
                <c:pt idx="14">
                  <c:v>20</c:v>
                </c:pt>
                <c:pt idx="15">
                  <c:v>12</c:v>
                </c:pt>
                <c:pt idx="16">
                  <c:v>3</c:v>
                </c:pt>
              </c:numCache>
            </c:numRef>
          </c:val>
          <c:extLst>
            <c:ext xmlns:c16="http://schemas.microsoft.com/office/drawing/2014/chart" uri="{C3380CC4-5D6E-409C-BE32-E72D297353CC}">
              <c16:uniqueId val="{00000002-CEB7-43FF-A290-BDDC08F5C475}"/>
            </c:ext>
          </c:extLst>
        </c:ser>
        <c:ser>
          <c:idx val="3"/>
          <c:order val="3"/>
          <c:tx>
            <c:strRef>
              <c:f>'Number of operations by surgeon'!$E$3:$E$4</c:f>
              <c:strCache>
                <c:ptCount val="1"/>
                <c:pt idx="0">
                  <c:v>Major cardiac</c:v>
                </c:pt>
              </c:strCache>
            </c:strRef>
          </c:tx>
          <c:spPr>
            <a:solidFill>
              <a:schemeClr val="accent4"/>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surgeon'!$E$5:$E$22</c:f>
              <c:numCache>
                <c:formatCode>General</c:formatCode>
                <c:ptCount val="17"/>
                <c:pt idx="0">
                  <c:v>1</c:v>
                </c:pt>
                <c:pt idx="1">
                  <c:v>5</c:v>
                </c:pt>
                <c:pt idx="6">
                  <c:v>5</c:v>
                </c:pt>
                <c:pt idx="7">
                  <c:v>2</c:v>
                </c:pt>
                <c:pt idx="8">
                  <c:v>4</c:v>
                </c:pt>
                <c:pt idx="9">
                  <c:v>2</c:v>
                </c:pt>
                <c:pt idx="11">
                  <c:v>2</c:v>
                </c:pt>
                <c:pt idx="12">
                  <c:v>1</c:v>
                </c:pt>
                <c:pt idx="16">
                  <c:v>1</c:v>
                </c:pt>
              </c:numCache>
            </c:numRef>
          </c:val>
          <c:extLst>
            <c:ext xmlns:c16="http://schemas.microsoft.com/office/drawing/2014/chart" uri="{C3380CC4-5D6E-409C-BE32-E72D297353CC}">
              <c16:uniqueId val="{00000003-CEB7-43FF-A290-BDDC08F5C475}"/>
            </c:ext>
          </c:extLst>
        </c:ser>
        <c:ser>
          <c:idx val="4"/>
          <c:order val="4"/>
          <c:tx>
            <c:strRef>
              <c:f>'Number of operations by surgeon'!$F$3:$F$4</c:f>
              <c:strCache>
                <c:ptCount val="1"/>
                <c:pt idx="0">
                  <c:v>None</c:v>
                </c:pt>
              </c:strCache>
            </c:strRef>
          </c:tx>
          <c:spPr>
            <a:solidFill>
              <a:schemeClr val="accent5"/>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surgeon'!$F$5:$F$22</c:f>
              <c:numCache>
                <c:formatCode>General</c:formatCode>
                <c:ptCount val="17"/>
                <c:pt idx="1">
                  <c:v>1</c:v>
                </c:pt>
                <c:pt idx="7">
                  <c:v>1</c:v>
                </c:pt>
                <c:pt idx="15">
                  <c:v>1</c:v>
                </c:pt>
              </c:numCache>
            </c:numRef>
          </c:val>
          <c:extLst>
            <c:ext xmlns:c16="http://schemas.microsoft.com/office/drawing/2014/chart" uri="{C3380CC4-5D6E-409C-BE32-E72D297353CC}">
              <c16:uniqueId val="{00000004-CEB7-43FF-A290-BDDC08F5C475}"/>
            </c:ext>
          </c:extLst>
        </c:ser>
        <c:ser>
          <c:idx val="5"/>
          <c:order val="5"/>
          <c:tx>
            <c:strRef>
              <c:f>'Number of operations by surgeon'!$G$3:$G$4</c:f>
              <c:strCache>
                <c:ptCount val="1"/>
                <c:pt idx="0">
                  <c:v>Other</c:v>
                </c:pt>
              </c:strCache>
            </c:strRef>
          </c:tx>
          <c:spPr>
            <a:solidFill>
              <a:schemeClr val="accent6"/>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surgeon'!$G$5:$G$22</c:f>
              <c:numCache>
                <c:formatCode>General</c:formatCode>
                <c:ptCount val="17"/>
                <c:pt idx="11">
                  <c:v>1</c:v>
                </c:pt>
                <c:pt idx="12">
                  <c:v>1</c:v>
                </c:pt>
              </c:numCache>
            </c:numRef>
          </c:val>
          <c:extLst>
            <c:ext xmlns:c16="http://schemas.microsoft.com/office/drawing/2014/chart" uri="{C3380CC4-5D6E-409C-BE32-E72D297353CC}">
              <c16:uniqueId val="{00000005-CEB7-43FF-A290-BDDC08F5C475}"/>
            </c:ext>
          </c:extLst>
        </c:ser>
        <c:ser>
          <c:idx val="6"/>
          <c:order val="6"/>
          <c:tx>
            <c:strRef>
              <c:f>'Number of operations by surgeon'!$H$3:$H$4</c:f>
              <c:strCache>
                <c:ptCount val="1"/>
                <c:pt idx="0">
                  <c:v>Valve</c:v>
                </c:pt>
              </c:strCache>
            </c:strRef>
          </c:tx>
          <c:spPr>
            <a:solidFill>
              <a:schemeClr val="accent1">
                <a:lumMod val="60000"/>
              </a:schemeClr>
            </a:solidFill>
            <a:ln>
              <a:noFill/>
            </a:ln>
            <a:effectLst/>
          </c:spPr>
          <c:invertIfNegative val="0"/>
          <c:cat>
            <c:strRef>
              <c:f>'Number of operations by surgeon'!$A$5:$A$22</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'Number of operations by surgeon'!$H$5:$H$22</c:f>
              <c:numCache>
                <c:formatCode>General</c:formatCode>
                <c:ptCount val="17"/>
                <c:pt idx="0">
                  <c:v>17</c:v>
                </c:pt>
                <c:pt idx="1">
                  <c:v>23</c:v>
                </c:pt>
                <c:pt idx="2">
                  <c:v>19</c:v>
                </c:pt>
                <c:pt idx="3">
                  <c:v>2</c:v>
                </c:pt>
                <c:pt idx="4">
                  <c:v>7</c:v>
                </c:pt>
                <c:pt idx="5">
                  <c:v>3</c:v>
                </c:pt>
                <c:pt idx="6">
                  <c:v>42</c:v>
                </c:pt>
                <c:pt idx="7">
                  <c:v>65</c:v>
                </c:pt>
                <c:pt idx="8">
                  <c:v>26</c:v>
                </c:pt>
                <c:pt idx="9">
                  <c:v>18</c:v>
                </c:pt>
                <c:pt idx="10">
                  <c:v>103</c:v>
                </c:pt>
                <c:pt idx="11">
                  <c:v>33</c:v>
                </c:pt>
                <c:pt idx="12">
                  <c:v>44</c:v>
                </c:pt>
                <c:pt idx="13">
                  <c:v>8</c:v>
                </c:pt>
                <c:pt idx="14">
                  <c:v>22</c:v>
                </c:pt>
                <c:pt idx="15">
                  <c:v>27</c:v>
                </c:pt>
                <c:pt idx="16">
                  <c:v>11</c:v>
                </c:pt>
              </c:numCache>
            </c:numRef>
          </c:val>
          <c:extLst>
            <c:ext xmlns:c16="http://schemas.microsoft.com/office/drawing/2014/chart" uri="{C3380CC4-5D6E-409C-BE32-E72D297353CC}">
              <c16:uniqueId val="{00000006-CEB7-43FF-A290-BDDC08F5C475}"/>
            </c:ext>
          </c:extLst>
        </c:ser>
        <c:dLbls>
          <c:showLegendKey val="0"/>
          <c:showVal val="0"/>
          <c:showCatName val="0"/>
          <c:showSerName val="0"/>
          <c:showPercent val="0"/>
          <c:showBubbleSize val="0"/>
        </c:dLbls>
        <c:gapWidth val="150"/>
        <c:overlap val="100"/>
        <c:axId val="790842296"/>
        <c:axId val="790843376"/>
      </c:barChart>
      <c:catAx>
        <c:axId val="790842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43376"/>
        <c:crosses val="autoZero"/>
        <c:auto val="1"/>
        <c:lblAlgn val="ctr"/>
        <c:lblOffset val="100"/>
        <c:noMultiLvlLbl val="0"/>
      </c:catAx>
      <c:valAx>
        <c:axId val="790843376"/>
        <c:scaling>
          <c:orientation val="minMax"/>
        </c:scaling>
        <c:delete val="1"/>
        <c:axPos val="b"/>
        <c:numFmt formatCode="General" sourceLinked="1"/>
        <c:majorTickMark val="none"/>
        <c:minorTickMark val="none"/>
        <c:tickLblPos val="nextTo"/>
        <c:crossAx val="790842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Exercise.xlsx]Avg time btw admis and proce!PivotTable20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badi" panose="020B0604020104020204" pitchFamily="34" charset="0"/>
              </a:rPr>
              <a:t>Average time between admission and procedure</a:t>
            </a:r>
            <a:r>
              <a:rPr lang="en-US" baseline="0">
                <a:latin typeface="Abadi" panose="020B0604020104020204" pitchFamily="34" charset="0"/>
              </a:rPr>
              <a:t> </a:t>
            </a:r>
          </a:p>
          <a:p>
            <a:pPr>
              <a:defRPr/>
            </a:pPr>
            <a:r>
              <a:rPr lang="en-US" baseline="0">
                <a:latin typeface="Abadi" panose="020B0604020104020204" pitchFamily="34" charset="0"/>
              </a:rPr>
              <a:t>(hours)</a:t>
            </a:r>
            <a:endParaRPr lang="en-US">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time btw admis and proce'!$B$3</c:f>
              <c:strCache>
                <c:ptCount val="1"/>
                <c:pt idx="0">
                  <c:v>Total</c:v>
                </c:pt>
              </c:strCache>
            </c:strRef>
          </c:tx>
          <c:spPr>
            <a:solidFill>
              <a:schemeClr val="accent1"/>
            </a:solidFill>
            <a:ln>
              <a:noFill/>
            </a:ln>
            <a:effectLst/>
          </c:spPr>
          <c:invertIfNegative val="0"/>
          <c:cat>
            <c:strRef>
              <c:f>'Avg time btw admis and proce'!$A$4:$A$8</c:f>
              <c:strCache>
                <c:ptCount val="4"/>
                <c:pt idx="0">
                  <c:v>elective</c:v>
                </c:pt>
                <c:pt idx="1">
                  <c:v>emergency</c:v>
                </c:pt>
                <c:pt idx="2">
                  <c:v>salvage</c:v>
                </c:pt>
                <c:pt idx="3">
                  <c:v>urgent</c:v>
                </c:pt>
              </c:strCache>
            </c:strRef>
          </c:cat>
          <c:val>
            <c:numRef>
              <c:f>'Avg time btw admis and proce'!$B$4:$B$8</c:f>
              <c:numCache>
                <c:formatCode>h:mm</c:formatCode>
                <c:ptCount val="4"/>
                <c:pt idx="0">
                  <c:v>0.86039614898989958</c:v>
                </c:pt>
                <c:pt idx="1">
                  <c:v>1.4032398504273498</c:v>
                </c:pt>
                <c:pt idx="2">
                  <c:v>1.9750000000000001</c:v>
                </c:pt>
                <c:pt idx="3">
                  <c:v>5.6815204880294647</c:v>
                </c:pt>
              </c:numCache>
            </c:numRef>
          </c:val>
          <c:extLst>
            <c:ext xmlns:c16="http://schemas.microsoft.com/office/drawing/2014/chart" uri="{C3380CC4-5D6E-409C-BE32-E72D297353CC}">
              <c16:uniqueId val="{00000000-3BC6-4837-8C6D-96F807FE6464}"/>
            </c:ext>
          </c:extLst>
        </c:ser>
        <c:dLbls>
          <c:showLegendKey val="0"/>
          <c:showVal val="0"/>
          <c:showCatName val="0"/>
          <c:showSerName val="0"/>
          <c:showPercent val="0"/>
          <c:showBubbleSize val="0"/>
        </c:dLbls>
        <c:gapWidth val="182"/>
        <c:axId val="615807744"/>
        <c:axId val="615814944"/>
      </c:barChart>
      <c:catAx>
        <c:axId val="615807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4944"/>
        <c:crosses val="autoZero"/>
        <c:auto val="1"/>
        <c:lblAlgn val="ctr"/>
        <c:lblOffset val="100"/>
        <c:noMultiLvlLbl val="0"/>
      </c:catAx>
      <c:valAx>
        <c:axId val="615814944"/>
        <c:scaling>
          <c:orientation val="minMax"/>
        </c:scaling>
        <c:delete val="1"/>
        <c:axPos val="b"/>
        <c:numFmt formatCode="h:mm" sourceLinked="1"/>
        <c:majorTickMark val="out"/>
        <c:minorTickMark val="none"/>
        <c:tickLblPos val="nextTo"/>
        <c:crossAx val="6158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Exercise.xlsx]A&amp;P mortality by surgeon (1)!PivotTable14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Abadi" panose="020B0604020104020204" pitchFamily="34" charset="0"/>
              </a:rPr>
              <a:t>Actual and predicted mortality by surgeon </a:t>
            </a:r>
          </a:p>
          <a:p>
            <a:pPr>
              <a:defRPr/>
            </a:pPr>
            <a:r>
              <a:rPr lang="en-US" sz="1400" b="0" i="0" u="none" strike="noStrike" kern="1200" spc="0" baseline="0">
                <a:solidFill>
                  <a:sysClr val="windowText" lastClr="000000">
                    <a:lumMod val="65000"/>
                    <a:lumOff val="35000"/>
                  </a:sysClr>
                </a:solidFill>
                <a:latin typeface="Abadi" panose="020B0604020104020204" pitchFamily="34" charset="0"/>
              </a:rPr>
              <a:t>Using model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'A&amp;P mortality by surgeon (1)'!$B$3</c:f>
              <c:strCache>
                <c:ptCount val="1"/>
                <c:pt idx="0">
                  <c:v>Number of Patients</c:v>
                </c:pt>
              </c:strCache>
            </c:strRef>
          </c:tx>
          <c:spPr>
            <a:solidFill>
              <a:schemeClr val="accent1"/>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(1)'!$B$4:$B$21</c:f>
              <c:numCache>
                <c:formatCode>General</c:formatCode>
                <c:ptCount val="17"/>
                <c:pt idx="0">
                  <c:v>75</c:v>
                </c:pt>
                <c:pt idx="1">
                  <c:v>110</c:v>
                </c:pt>
                <c:pt idx="2">
                  <c:v>59</c:v>
                </c:pt>
                <c:pt idx="3">
                  <c:v>4</c:v>
                </c:pt>
                <c:pt idx="4">
                  <c:v>20</c:v>
                </c:pt>
                <c:pt idx="5">
                  <c:v>12</c:v>
                </c:pt>
                <c:pt idx="6">
                  <c:v>103</c:v>
                </c:pt>
                <c:pt idx="7">
                  <c:v>96</c:v>
                </c:pt>
                <c:pt idx="8">
                  <c:v>159</c:v>
                </c:pt>
                <c:pt idx="9">
                  <c:v>79</c:v>
                </c:pt>
                <c:pt idx="10">
                  <c:v>126</c:v>
                </c:pt>
                <c:pt idx="11">
                  <c:v>157</c:v>
                </c:pt>
                <c:pt idx="12">
                  <c:v>94</c:v>
                </c:pt>
                <c:pt idx="13">
                  <c:v>28</c:v>
                </c:pt>
                <c:pt idx="14">
                  <c:v>107</c:v>
                </c:pt>
                <c:pt idx="15">
                  <c:v>88</c:v>
                </c:pt>
                <c:pt idx="16">
                  <c:v>18</c:v>
                </c:pt>
              </c:numCache>
            </c:numRef>
          </c:val>
          <c:extLst>
            <c:ext xmlns:c16="http://schemas.microsoft.com/office/drawing/2014/chart" uri="{C3380CC4-5D6E-409C-BE32-E72D297353CC}">
              <c16:uniqueId val="{00000000-6615-4C86-9C21-F77F06A2D680}"/>
            </c:ext>
          </c:extLst>
        </c:ser>
        <c:ser>
          <c:idx val="1"/>
          <c:order val="1"/>
          <c:tx>
            <c:strRef>
              <c:f>'A&amp;P mortality by surgeon (1)'!$C$3</c:f>
              <c:strCache>
                <c:ptCount val="1"/>
                <c:pt idx="0">
                  <c:v>Number of predicted mortality</c:v>
                </c:pt>
              </c:strCache>
            </c:strRef>
          </c:tx>
          <c:spPr>
            <a:solidFill>
              <a:schemeClr val="accent2"/>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(1)'!$C$4:$C$21</c:f>
              <c:numCache>
                <c:formatCode>0.0</c:formatCode>
                <c:ptCount val="17"/>
                <c:pt idx="0">
                  <c:v>5.8569000000000004</c:v>
                </c:pt>
                <c:pt idx="1">
                  <c:v>11.293400000000004</c:v>
                </c:pt>
                <c:pt idx="2">
                  <c:v>3.6081999999999996</c:v>
                </c:pt>
                <c:pt idx="3">
                  <c:v>0.90040000000000009</c:v>
                </c:pt>
                <c:pt idx="4">
                  <c:v>1.1674999999999998</c:v>
                </c:pt>
                <c:pt idx="5">
                  <c:v>0.89780000000000004</c:v>
                </c:pt>
                <c:pt idx="6">
                  <c:v>8.5550000000000033</c:v>
                </c:pt>
                <c:pt idx="7">
                  <c:v>9.2028000000000034</c:v>
                </c:pt>
                <c:pt idx="8">
                  <c:v>13.140299999999998</c:v>
                </c:pt>
                <c:pt idx="9">
                  <c:v>4.8592000000000022</c:v>
                </c:pt>
                <c:pt idx="10">
                  <c:v>7.6852</c:v>
                </c:pt>
                <c:pt idx="11">
                  <c:v>15.350899999999998</c:v>
                </c:pt>
                <c:pt idx="12">
                  <c:v>10.294700000000001</c:v>
                </c:pt>
                <c:pt idx="13">
                  <c:v>3.2234999999999987</c:v>
                </c:pt>
                <c:pt idx="14">
                  <c:v>7.5681000000000012</c:v>
                </c:pt>
                <c:pt idx="15">
                  <c:v>6.6099000000000014</c:v>
                </c:pt>
                <c:pt idx="16">
                  <c:v>1.2444999999999999</c:v>
                </c:pt>
              </c:numCache>
            </c:numRef>
          </c:val>
          <c:extLst>
            <c:ext xmlns:c16="http://schemas.microsoft.com/office/drawing/2014/chart" uri="{C3380CC4-5D6E-409C-BE32-E72D297353CC}">
              <c16:uniqueId val="{00000001-6615-4C86-9C21-F77F06A2D680}"/>
            </c:ext>
          </c:extLst>
        </c:ser>
        <c:ser>
          <c:idx val="2"/>
          <c:order val="2"/>
          <c:tx>
            <c:strRef>
              <c:f>'A&amp;P mortality by surgeon (1)'!$D$3</c:f>
              <c:strCache>
                <c:ptCount val="1"/>
                <c:pt idx="0">
                  <c:v>Number of Actual mortality</c:v>
                </c:pt>
              </c:strCache>
            </c:strRef>
          </c:tx>
          <c:spPr>
            <a:solidFill>
              <a:schemeClr val="accent3"/>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(1)'!$D$4:$D$21</c:f>
              <c:numCache>
                <c:formatCode>General</c:formatCode>
                <c:ptCount val="17"/>
                <c:pt idx="0">
                  <c:v>2</c:v>
                </c:pt>
                <c:pt idx="1">
                  <c:v>5</c:v>
                </c:pt>
                <c:pt idx="2">
                  <c:v>1</c:v>
                </c:pt>
                <c:pt idx="3">
                  <c:v>3</c:v>
                </c:pt>
                <c:pt idx="4">
                  <c:v>0</c:v>
                </c:pt>
                <c:pt idx="5">
                  <c:v>0</c:v>
                </c:pt>
                <c:pt idx="6">
                  <c:v>4</c:v>
                </c:pt>
                <c:pt idx="7">
                  <c:v>4</c:v>
                </c:pt>
                <c:pt idx="8">
                  <c:v>4</c:v>
                </c:pt>
                <c:pt idx="9">
                  <c:v>3</c:v>
                </c:pt>
                <c:pt idx="10">
                  <c:v>2</c:v>
                </c:pt>
                <c:pt idx="11">
                  <c:v>3</c:v>
                </c:pt>
                <c:pt idx="12">
                  <c:v>4</c:v>
                </c:pt>
                <c:pt idx="13">
                  <c:v>3</c:v>
                </c:pt>
                <c:pt idx="14">
                  <c:v>2</c:v>
                </c:pt>
                <c:pt idx="15">
                  <c:v>4</c:v>
                </c:pt>
                <c:pt idx="16">
                  <c:v>0</c:v>
                </c:pt>
              </c:numCache>
            </c:numRef>
          </c:val>
          <c:extLst>
            <c:ext xmlns:c16="http://schemas.microsoft.com/office/drawing/2014/chart" uri="{C3380CC4-5D6E-409C-BE32-E72D297353CC}">
              <c16:uniqueId val="{00000002-6615-4C86-9C21-F77F06A2D680}"/>
            </c:ext>
          </c:extLst>
        </c:ser>
        <c:ser>
          <c:idx val="3"/>
          <c:order val="3"/>
          <c:tx>
            <c:strRef>
              <c:f>'A&amp;P mortality by surgeon (1)'!$E$3</c:f>
              <c:strCache>
                <c:ptCount val="1"/>
                <c:pt idx="0">
                  <c:v>Actual Mortality rate using Model 1</c:v>
                </c:pt>
              </c:strCache>
            </c:strRef>
          </c:tx>
          <c:spPr>
            <a:solidFill>
              <a:schemeClr val="accent4"/>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(1)'!$E$4:$E$21</c:f>
              <c:numCache>
                <c:formatCode>0.00%</c:formatCode>
                <c:ptCount val="17"/>
                <c:pt idx="0">
                  <c:v>3.9643211100099106E-4</c:v>
                </c:pt>
                <c:pt idx="1">
                  <c:v>6.8624759813340648E-4</c:v>
                </c:pt>
                <c:pt idx="2">
                  <c:v>2.4679170779861795E-4</c:v>
                </c:pt>
                <c:pt idx="3">
                  <c:v>1.1235955056179775E-2</c:v>
                </c:pt>
                <c:pt idx="4">
                  <c:v>0</c:v>
                </c:pt>
                <c:pt idx="5">
                  <c:v>0</c:v>
                </c:pt>
                <c:pt idx="6">
                  <c:v>5.6171885971071484E-4</c:v>
                </c:pt>
                <c:pt idx="7">
                  <c:v>6.0984906235706665E-4</c:v>
                </c:pt>
                <c:pt idx="8">
                  <c:v>3.673769287288758E-4</c:v>
                </c:pt>
                <c:pt idx="9">
                  <c:v>5.5005500550055003E-4</c:v>
                </c:pt>
                <c:pt idx="10">
                  <c:v>2.3299161230195712E-4</c:v>
                </c:pt>
                <c:pt idx="11">
                  <c:v>2.9058504455637351E-4</c:v>
                </c:pt>
                <c:pt idx="12">
                  <c:v>5.9136605558840927E-4</c:v>
                </c:pt>
                <c:pt idx="13">
                  <c:v>1.6034206306787815E-3</c:v>
                </c:pt>
                <c:pt idx="14">
                  <c:v>2.68564522626561E-4</c:v>
                </c:pt>
                <c:pt idx="15">
                  <c:v>6.5104166666666663E-4</c:v>
                </c:pt>
                <c:pt idx="16">
                  <c:v>0</c:v>
                </c:pt>
              </c:numCache>
            </c:numRef>
          </c:val>
          <c:extLst>
            <c:ext xmlns:c16="http://schemas.microsoft.com/office/drawing/2014/chart" uri="{C3380CC4-5D6E-409C-BE32-E72D297353CC}">
              <c16:uniqueId val="{00000003-6615-4C86-9C21-F77F06A2D680}"/>
            </c:ext>
          </c:extLst>
        </c:ser>
        <c:ser>
          <c:idx val="4"/>
          <c:order val="4"/>
          <c:tx>
            <c:strRef>
              <c:f>'A&amp;P mortality by surgeon (1)'!$F$3</c:f>
              <c:strCache>
                <c:ptCount val="1"/>
                <c:pt idx="0">
                  <c:v>Predicted Mortality rate using model 1</c:v>
                </c:pt>
              </c:strCache>
            </c:strRef>
          </c:tx>
          <c:spPr>
            <a:solidFill>
              <a:schemeClr val="accent5"/>
            </a:solidFill>
            <a:ln>
              <a:noFill/>
            </a:ln>
            <a:effectLst/>
          </c:spPr>
          <c:invertIfNegative val="0"/>
          <c:cat>
            <c:strRef>
              <c:f>'A&amp;P mortality by surgeon (1)'!$A$4:$A$21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(1)'!$F$4:$F$21</c:f>
              <c:numCache>
                <c:formatCode>0.00%</c:formatCode>
                <c:ptCount val="17"/>
                <c:pt idx="0">
                  <c:v>1.1609316154608525E-3</c:v>
                </c:pt>
                <c:pt idx="1">
                  <c:v>1.5500137249519631E-3</c:v>
                </c:pt>
                <c:pt idx="2">
                  <c:v>8.9047384007897321E-4</c:v>
                </c:pt>
                <c:pt idx="3">
                  <c:v>3.3722846441947567E-3</c:v>
                </c:pt>
                <c:pt idx="4">
                  <c:v>8.6035372144436237E-4</c:v>
                </c:pt>
                <c:pt idx="5">
                  <c:v>1.1828722002635047E-3</c:v>
                </c:pt>
                <c:pt idx="6">
                  <c:v>1.2013762112062917E-3</c:v>
                </c:pt>
                <c:pt idx="7">
                  <c:v>1.4030797377649036E-3</c:v>
                </c:pt>
                <c:pt idx="8">
                  <c:v>1.2068607641440117E-3</c:v>
                </c:pt>
                <c:pt idx="9">
                  <c:v>8.9094242757609132E-4</c:v>
                </c:pt>
                <c:pt idx="10">
                  <c:v>8.9529356943150046E-4</c:v>
                </c:pt>
                <c:pt idx="11">
                  <c:v>1.4869139868268111E-3</c:v>
                </c:pt>
                <c:pt idx="12">
                  <c:v>1.5219840331164992E-3</c:v>
                </c:pt>
                <c:pt idx="13">
                  <c:v>1.72287546766435E-3</c:v>
                </c:pt>
                <c:pt idx="14">
                  <c:v>1.0162615818450384E-3</c:v>
                </c:pt>
                <c:pt idx="15">
                  <c:v>1.0758300781250002E-3</c:v>
                </c:pt>
                <c:pt idx="16">
                  <c:v>9.8457278481012657E-4</c:v>
                </c:pt>
              </c:numCache>
            </c:numRef>
          </c:val>
          <c:extLst>
            <c:ext xmlns:c16="http://schemas.microsoft.com/office/drawing/2014/chart" uri="{C3380CC4-5D6E-409C-BE32-E72D297353CC}">
              <c16:uniqueId val="{00000004-6615-4C86-9C21-F77F06A2D680}"/>
            </c:ext>
          </c:extLst>
        </c:ser>
        <c:dLbls>
          <c:showLegendKey val="0"/>
          <c:showVal val="0"/>
          <c:showCatName val="0"/>
          <c:showSerName val="0"/>
          <c:showPercent val="0"/>
          <c:showBubbleSize val="0"/>
        </c:dLbls>
        <c:gapWidth val="182"/>
        <c:axId val="634477136"/>
        <c:axId val="634478216"/>
      </c:barChart>
      <c:catAx>
        <c:axId val="63447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78216"/>
        <c:crosses val="autoZero"/>
        <c:auto val="1"/>
        <c:lblAlgn val="ctr"/>
        <c:lblOffset val="100"/>
        <c:noMultiLvlLbl val="0"/>
      </c:catAx>
      <c:valAx>
        <c:axId val="634478216"/>
        <c:scaling>
          <c:orientation val="minMax"/>
        </c:scaling>
        <c:delete val="1"/>
        <c:axPos val="b"/>
        <c:numFmt formatCode="General" sourceLinked="1"/>
        <c:majorTickMark val="none"/>
        <c:minorTickMark val="none"/>
        <c:tickLblPos val="nextTo"/>
        <c:crossAx val="63447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[Cardiac surgery- Data Analyst Interview Exercise.xlsx]A&amp;P mortality by surgeon (2)!PivotTable15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badi" panose="020B0604020104020204" pitchFamily="34" charset="0"/>
              </a:rPr>
              <a:t>Actual</a:t>
            </a:r>
            <a:r>
              <a:rPr lang="en-US" baseline="0">
                <a:latin typeface="Abadi" panose="020B0604020104020204" pitchFamily="34" charset="0"/>
              </a:rPr>
              <a:t> and predicted mortality by surgeon </a:t>
            </a:r>
          </a:p>
          <a:p>
            <a:pPr>
              <a:defRPr/>
            </a:pPr>
            <a:r>
              <a:rPr lang="en-US" baseline="0">
                <a:latin typeface="Abadi" panose="020B0604020104020204" pitchFamily="34" charset="0"/>
              </a:rPr>
              <a:t>Using model 2</a:t>
            </a:r>
            <a:endParaRPr lang="en-US">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'A&amp;P mortality by surgeon (2)'!$B$3</c:f>
              <c:strCache>
                <c:ptCount val="1"/>
                <c:pt idx="0">
                  <c:v>Number of Patients</c:v>
                </c:pt>
              </c:strCache>
            </c:strRef>
          </c:tx>
          <c:spPr>
            <a:solidFill>
              <a:schemeClr val="accent1"/>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(2)'!$B$4:$B$21</c:f>
              <c:numCache>
                <c:formatCode>General</c:formatCode>
                <c:ptCount val="17"/>
                <c:pt idx="0">
                  <c:v>75</c:v>
                </c:pt>
                <c:pt idx="1">
                  <c:v>110</c:v>
                </c:pt>
                <c:pt idx="2">
                  <c:v>59</c:v>
                </c:pt>
                <c:pt idx="3">
                  <c:v>4</c:v>
                </c:pt>
                <c:pt idx="4">
                  <c:v>20</c:v>
                </c:pt>
                <c:pt idx="5">
                  <c:v>12</c:v>
                </c:pt>
                <c:pt idx="6">
                  <c:v>103</c:v>
                </c:pt>
                <c:pt idx="7">
                  <c:v>96</c:v>
                </c:pt>
                <c:pt idx="8">
                  <c:v>159</c:v>
                </c:pt>
                <c:pt idx="9">
                  <c:v>79</c:v>
                </c:pt>
                <c:pt idx="10">
                  <c:v>126</c:v>
                </c:pt>
                <c:pt idx="11">
                  <c:v>157</c:v>
                </c:pt>
                <c:pt idx="12">
                  <c:v>94</c:v>
                </c:pt>
                <c:pt idx="13">
                  <c:v>28</c:v>
                </c:pt>
                <c:pt idx="14">
                  <c:v>107</c:v>
                </c:pt>
                <c:pt idx="15">
                  <c:v>88</c:v>
                </c:pt>
                <c:pt idx="16">
                  <c:v>18</c:v>
                </c:pt>
              </c:numCache>
            </c:numRef>
          </c:val>
          <c:extLst>
            <c:ext xmlns:c16="http://schemas.microsoft.com/office/drawing/2014/chart" uri="{C3380CC4-5D6E-409C-BE32-E72D297353CC}">
              <c16:uniqueId val="{00000000-5367-4492-A52F-726EE7EF21E5}"/>
            </c:ext>
          </c:extLst>
        </c:ser>
        <c:ser>
          <c:idx val="1"/>
          <c:order val="1"/>
          <c:tx>
            <c:strRef>
              <c:f>'A&amp;P mortality by surgeon (2)'!$C$3</c:f>
              <c:strCache>
                <c:ptCount val="1"/>
                <c:pt idx="0">
                  <c:v>Number of predicted mortality </c:v>
                </c:pt>
              </c:strCache>
            </c:strRef>
          </c:tx>
          <c:spPr>
            <a:solidFill>
              <a:schemeClr val="accent2"/>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(2)'!$C$4:$C$21</c:f>
              <c:numCache>
                <c:formatCode>0</c:formatCode>
                <c:ptCount val="17"/>
                <c:pt idx="0">
                  <c:v>2.9039000000000001</c:v>
                </c:pt>
                <c:pt idx="1">
                  <c:v>5.2081000000000008</c:v>
                </c:pt>
                <c:pt idx="2">
                  <c:v>1.4944000000000002</c:v>
                </c:pt>
                <c:pt idx="3">
                  <c:v>0.79530000000000001</c:v>
                </c:pt>
                <c:pt idx="4">
                  <c:v>0.39759999999999995</c:v>
                </c:pt>
                <c:pt idx="5">
                  <c:v>0.23749999999999999</c:v>
                </c:pt>
                <c:pt idx="6">
                  <c:v>4.6292999999999989</c:v>
                </c:pt>
                <c:pt idx="7">
                  <c:v>4.3778000000000024</c:v>
                </c:pt>
                <c:pt idx="8">
                  <c:v>5.9794</c:v>
                </c:pt>
                <c:pt idx="9">
                  <c:v>2.9807000000000006</c:v>
                </c:pt>
                <c:pt idx="10">
                  <c:v>3.3394000000000013</c:v>
                </c:pt>
                <c:pt idx="11">
                  <c:v>5.913899999999999</c:v>
                </c:pt>
                <c:pt idx="12">
                  <c:v>5.0003000000000011</c:v>
                </c:pt>
                <c:pt idx="13">
                  <c:v>1.5223</c:v>
                </c:pt>
                <c:pt idx="14">
                  <c:v>3.6393000000000004</c:v>
                </c:pt>
                <c:pt idx="15">
                  <c:v>2.8952</c:v>
                </c:pt>
                <c:pt idx="16">
                  <c:v>0.57900000000000018</c:v>
                </c:pt>
              </c:numCache>
            </c:numRef>
          </c:val>
          <c:extLst>
            <c:ext xmlns:c16="http://schemas.microsoft.com/office/drawing/2014/chart" uri="{C3380CC4-5D6E-409C-BE32-E72D297353CC}">
              <c16:uniqueId val="{00000001-5367-4492-A52F-726EE7EF21E5}"/>
            </c:ext>
          </c:extLst>
        </c:ser>
        <c:ser>
          <c:idx val="2"/>
          <c:order val="2"/>
          <c:tx>
            <c:strRef>
              <c:f>'A&amp;P mortality by surgeon (2)'!$D$3</c:f>
              <c:strCache>
                <c:ptCount val="1"/>
                <c:pt idx="0">
                  <c:v>Number of Actual mortality</c:v>
                </c:pt>
              </c:strCache>
            </c:strRef>
          </c:tx>
          <c:spPr>
            <a:solidFill>
              <a:schemeClr val="accent3"/>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(2)'!$D$4:$D$21</c:f>
              <c:numCache>
                <c:formatCode>General</c:formatCode>
                <c:ptCount val="17"/>
                <c:pt idx="0">
                  <c:v>2</c:v>
                </c:pt>
                <c:pt idx="1">
                  <c:v>5</c:v>
                </c:pt>
                <c:pt idx="2">
                  <c:v>1</c:v>
                </c:pt>
                <c:pt idx="3">
                  <c:v>3</c:v>
                </c:pt>
                <c:pt idx="4">
                  <c:v>0</c:v>
                </c:pt>
                <c:pt idx="5">
                  <c:v>0</c:v>
                </c:pt>
                <c:pt idx="6">
                  <c:v>4</c:v>
                </c:pt>
                <c:pt idx="7">
                  <c:v>4</c:v>
                </c:pt>
                <c:pt idx="8">
                  <c:v>4</c:v>
                </c:pt>
                <c:pt idx="9">
                  <c:v>3</c:v>
                </c:pt>
                <c:pt idx="10">
                  <c:v>2</c:v>
                </c:pt>
                <c:pt idx="11">
                  <c:v>3</c:v>
                </c:pt>
                <c:pt idx="12">
                  <c:v>4</c:v>
                </c:pt>
                <c:pt idx="13">
                  <c:v>3</c:v>
                </c:pt>
                <c:pt idx="14">
                  <c:v>2</c:v>
                </c:pt>
                <c:pt idx="15">
                  <c:v>4</c:v>
                </c:pt>
                <c:pt idx="16">
                  <c:v>0</c:v>
                </c:pt>
              </c:numCache>
            </c:numRef>
          </c:val>
          <c:extLst>
            <c:ext xmlns:c16="http://schemas.microsoft.com/office/drawing/2014/chart" uri="{C3380CC4-5D6E-409C-BE32-E72D297353CC}">
              <c16:uniqueId val="{00000002-5367-4492-A52F-726EE7EF21E5}"/>
            </c:ext>
          </c:extLst>
        </c:ser>
        <c:ser>
          <c:idx val="3"/>
          <c:order val="3"/>
          <c:tx>
            <c:strRef>
              <c:f>'A&amp;P mortality by surgeon (2)'!$E$3</c:f>
              <c:strCache>
                <c:ptCount val="1"/>
                <c:pt idx="0">
                  <c:v>Actual Mortality rate using model 2</c:v>
                </c:pt>
              </c:strCache>
            </c:strRef>
          </c:tx>
          <c:spPr>
            <a:solidFill>
              <a:schemeClr val="accent4"/>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(2)'!$E$4:$E$21</c:f>
              <c:numCache>
                <c:formatCode>0.00%</c:formatCode>
                <c:ptCount val="17"/>
                <c:pt idx="0">
                  <c:v>3.9643211100099106E-4</c:v>
                </c:pt>
                <c:pt idx="1">
                  <c:v>6.8624759813340648E-4</c:v>
                </c:pt>
                <c:pt idx="2">
                  <c:v>2.4679170779861795E-4</c:v>
                </c:pt>
                <c:pt idx="3">
                  <c:v>1.1235955056179775E-2</c:v>
                </c:pt>
                <c:pt idx="4">
                  <c:v>0</c:v>
                </c:pt>
                <c:pt idx="5">
                  <c:v>0</c:v>
                </c:pt>
                <c:pt idx="6">
                  <c:v>5.6171885971071484E-4</c:v>
                </c:pt>
                <c:pt idx="7">
                  <c:v>6.0984906235706665E-4</c:v>
                </c:pt>
                <c:pt idx="8">
                  <c:v>3.673769287288758E-4</c:v>
                </c:pt>
                <c:pt idx="9">
                  <c:v>5.5005500550055003E-4</c:v>
                </c:pt>
                <c:pt idx="10">
                  <c:v>2.3299161230195712E-4</c:v>
                </c:pt>
                <c:pt idx="11">
                  <c:v>2.9058504455637351E-4</c:v>
                </c:pt>
                <c:pt idx="12">
                  <c:v>5.9136605558840927E-4</c:v>
                </c:pt>
                <c:pt idx="13">
                  <c:v>1.6034206306787815E-3</c:v>
                </c:pt>
                <c:pt idx="14">
                  <c:v>2.68564522626561E-4</c:v>
                </c:pt>
                <c:pt idx="15">
                  <c:v>6.5104166666666663E-4</c:v>
                </c:pt>
                <c:pt idx="16">
                  <c:v>0</c:v>
                </c:pt>
              </c:numCache>
            </c:numRef>
          </c:val>
          <c:extLst>
            <c:ext xmlns:c16="http://schemas.microsoft.com/office/drawing/2014/chart" uri="{C3380CC4-5D6E-409C-BE32-E72D297353CC}">
              <c16:uniqueId val="{00000003-5367-4492-A52F-726EE7EF21E5}"/>
            </c:ext>
          </c:extLst>
        </c:ser>
        <c:ser>
          <c:idx val="4"/>
          <c:order val="4"/>
          <c:tx>
            <c:strRef>
              <c:f>'A&amp;P mortality by surgeon (2)'!$F$3</c:f>
              <c:strCache>
                <c:ptCount val="1"/>
                <c:pt idx="0">
                  <c:v>Predicted Mortality rate using model 2</c:v>
                </c:pt>
              </c:strCache>
            </c:strRef>
          </c:tx>
          <c:spPr>
            <a:solidFill>
              <a:schemeClr val="accent5"/>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(2)'!$F$4:$F$21</c:f>
              <c:numCache>
                <c:formatCode>0.00%</c:formatCode>
                <c:ptCount val="17"/>
                <c:pt idx="0">
                  <c:v>5.7559960356788902E-4</c:v>
                </c:pt>
                <c:pt idx="1">
                  <c:v>7.1480922316771907E-4</c:v>
                </c:pt>
                <c:pt idx="2">
                  <c:v>3.6880552813425474E-4</c:v>
                </c:pt>
                <c:pt idx="3">
                  <c:v>2.9786516853932583E-3</c:v>
                </c:pt>
                <c:pt idx="4">
                  <c:v>2.9299926308032419E-4</c:v>
                </c:pt>
                <c:pt idx="5">
                  <c:v>3.1291172595520418E-4</c:v>
                </c:pt>
                <c:pt idx="6">
                  <c:v>6.5009127931470287E-4</c:v>
                </c:pt>
                <c:pt idx="7">
                  <c:v>6.6744930629669197E-4</c:v>
                </c:pt>
                <c:pt idx="8">
                  <c:v>5.4917340191036005E-4</c:v>
                </c:pt>
                <c:pt idx="9">
                  <c:v>5.4651631829849665E-4</c:v>
                </c:pt>
                <c:pt idx="10">
                  <c:v>3.8902609506057795E-4</c:v>
                </c:pt>
                <c:pt idx="11">
                  <c:v>5.7283029833397902E-4</c:v>
                </c:pt>
                <c:pt idx="12">
                  <c:v>7.3925192193968086E-4</c:v>
                </c:pt>
                <c:pt idx="13">
                  <c:v>8.1362907536076967E-4</c:v>
                </c:pt>
                <c:pt idx="14">
                  <c:v>4.8869343359742186E-4</c:v>
                </c:pt>
                <c:pt idx="15">
                  <c:v>4.7122395833333331E-4</c:v>
                </c:pt>
                <c:pt idx="16">
                  <c:v>4.5806962025316471E-4</c:v>
                </c:pt>
              </c:numCache>
            </c:numRef>
          </c:val>
          <c:extLst>
            <c:ext xmlns:c16="http://schemas.microsoft.com/office/drawing/2014/chart" uri="{C3380CC4-5D6E-409C-BE32-E72D297353CC}">
              <c16:uniqueId val="{00000004-5367-4492-A52F-726EE7EF21E5}"/>
            </c:ext>
          </c:extLst>
        </c:ser>
        <c:ser>
          <c:idx val="5"/>
          <c:order val="5"/>
          <c:tx>
            <c:strRef>
              <c:f>'A&amp;P mortality by surgeon (2)'!$G$3</c:f>
              <c:strCache>
                <c:ptCount val="1"/>
                <c:pt idx="0">
                  <c:v>O/E ratio</c:v>
                </c:pt>
              </c:strCache>
            </c:strRef>
          </c:tx>
          <c:spPr>
            <a:solidFill>
              <a:schemeClr val="accent6"/>
            </a:solidFill>
            <a:ln>
              <a:noFill/>
            </a:ln>
            <a:effectLst/>
          </c:spPr>
          <c:invertIfNegative val="0"/>
          <c:cat>
            <c:strRef>
              <c:f>'A&amp;P mortality by surgeon (2)'!$A$4:$A$21</c:f>
              <c:strCache>
                <c:ptCount val="17"/>
                <c:pt idx="0">
                  <c:v>W Wilkening</c:v>
                </c:pt>
                <c:pt idx="1">
                  <c:v>S Scully</c:v>
                </c:pt>
                <c:pt idx="2">
                  <c:v>R Rubiella</c:v>
                </c:pt>
                <c:pt idx="3">
                  <c:v>Multiple Surgeon Team</c:v>
                </c:pt>
                <c:pt idx="4">
                  <c:v>L Shepard</c:v>
                </c:pt>
                <c:pt idx="5">
                  <c:v>L LeBlanc</c:v>
                </c:pt>
                <c:pt idx="6">
                  <c:v>K Doran </c:v>
                </c:pt>
                <c:pt idx="7">
                  <c:v>I Ibbotson</c:v>
                </c:pt>
                <c:pt idx="8">
                  <c:v>H Hodgson</c:v>
                </c:pt>
                <c:pt idx="9">
                  <c:v>G Guy</c:v>
                </c:pt>
                <c:pt idx="10">
                  <c:v>F Randle</c:v>
                </c:pt>
                <c:pt idx="11">
                  <c:v>E Ellingson</c:v>
                </c:pt>
                <c:pt idx="12">
                  <c:v>C Shasikaran</c:v>
                </c:pt>
                <c:pt idx="13">
                  <c:v>C Cuthbert</c:v>
                </c:pt>
                <c:pt idx="14">
                  <c:v>C Cheung</c:v>
                </c:pt>
                <c:pt idx="15">
                  <c:v>B Bryant</c:v>
                </c:pt>
                <c:pt idx="16">
                  <c:v>A Abbott</c:v>
                </c:pt>
              </c:strCache>
            </c:strRef>
          </c:cat>
          <c:val>
            <c:numRef>
              <c:f>'A&amp;P mortality by surgeon (2)'!$G$4:$G$21</c:f>
              <c:numCache>
                <c:formatCode>0</c:formatCode>
                <c:ptCount val="17"/>
                <c:pt idx="0">
                  <c:v>6.8872895072144349E-3</c:v>
                </c:pt>
                <c:pt idx="1">
                  <c:v>9.6004300992684442E-3</c:v>
                </c:pt>
                <c:pt idx="2">
                  <c:v>6.6916488222698058E-3</c:v>
                </c:pt>
                <c:pt idx="3">
                  <c:v>3.7721614485099961E-2</c:v>
                </c:pt>
                <c:pt idx="4">
                  <c:v>0</c:v>
                </c:pt>
                <c:pt idx="5">
                  <c:v>0</c:v>
                </c:pt>
                <c:pt idx="6">
                  <c:v>8.6406152118030811E-3</c:v>
                </c:pt>
                <c:pt idx="7">
                  <c:v>9.1370094568047882E-3</c:v>
                </c:pt>
                <c:pt idx="8">
                  <c:v>6.6896344114794129E-3</c:v>
                </c:pt>
                <c:pt idx="9">
                  <c:v>1.0064749890965204E-2</c:v>
                </c:pt>
                <c:pt idx="10">
                  <c:v>5.9890998382943058E-3</c:v>
                </c:pt>
                <c:pt idx="11">
                  <c:v>5.0727946025465442E-3</c:v>
                </c:pt>
                <c:pt idx="12">
                  <c:v>7.9995200287982706E-3</c:v>
                </c:pt>
                <c:pt idx="13">
                  <c:v>1.970702226893516E-2</c:v>
                </c:pt>
                <c:pt idx="14">
                  <c:v>5.4955623334157662E-3</c:v>
                </c:pt>
                <c:pt idx="15">
                  <c:v>1.381597126277978E-2</c:v>
                </c:pt>
                <c:pt idx="16">
                  <c:v>0</c:v>
                </c:pt>
              </c:numCache>
            </c:numRef>
          </c:val>
          <c:extLst>
            <c:ext xmlns:c16="http://schemas.microsoft.com/office/drawing/2014/chart" uri="{C3380CC4-5D6E-409C-BE32-E72D297353CC}">
              <c16:uniqueId val="{00000005-5367-4492-A52F-726EE7EF21E5}"/>
            </c:ext>
          </c:extLst>
        </c:ser>
        <c:dLbls>
          <c:showLegendKey val="0"/>
          <c:showVal val="0"/>
          <c:showCatName val="0"/>
          <c:showSerName val="0"/>
          <c:showPercent val="0"/>
          <c:showBubbleSize val="0"/>
        </c:dLbls>
        <c:gapWidth val="182"/>
        <c:axId val="812521576"/>
        <c:axId val="812523016"/>
      </c:barChart>
      <c:catAx>
        <c:axId val="812521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23016"/>
        <c:crosses val="autoZero"/>
        <c:auto val="1"/>
        <c:lblAlgn val="ctr"/>
        <c:lblOffset val="100"/>
        <c:noMultiLvlLbl val="0"/>
      </c:catAx>
      <c:valAx>
        <c:axId val="8125230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2521576"/>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180975</xdr:colOff>
      <xdr:row>2</xdr:row>
      <xdr:rowOff>139700</xdr:rowOff>
    </xdr:from>
    <xdr:to>
      <xdr:col>16</xdr:col>
      <xdr:colOff>485775</xdr:colOff>
      <xdr:row>22</xdr:row>
      <xdr:rowOff>57150</xdr:rowOff>
    </xdr:to>
    <xdr:graphicFrame macro="">
      <xdr:nvGraphicFramePr>
        <xdr:cNvPr id="6" name="Chart 5">
          <a:extLst>
            <a:ext uri="{FF2B5EF4-FFF2-40B4-BE49-F238E27FC236}">
              <a16:creationId xmlns:a16="http://schemas.microsoft.com/office/drawing/2014/main" id="{FFF09F6B-EE03-CF6E-FACA-FFD6522CE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1000124</xdr:colOff>
      <xdr:row>4</xdr:row>
      <xdr:rowOff>114300</xdr:rowOff>
    </xdr:from>
    <xdr:to>
      <xdr:col>13</xdr:col>
      <xdr:colOff>12699</xdr:colOff>
      <xdr:row>23</xdr:row>
      <xdr:rowOff>127000</xdr:rowOff>
    </xdr:to>
    <xdr:graphicFrame macro="">
      <xdr:nvGraphicFramePr>
        <xdr:cNvPr id="9" name="Chart 8">
          <a:extLst>
            <a:ext uri="{FF2B5EF4-FFF2-40B4-BE49-F238E27FC236}">
              <a16:creationId xmlns:a16="http://schemas.microsoft.com/office/drawing/2014/main" id="{65597772-345F-6D8A-53D1-978502772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657224</xdr:colOff>
      <xdr:row>2</xdr:row>
      <xdr:rowOff>31750</xdr:rowOff>
    </xdr:from>
    <xdr:to>
      <xdr:col>10</xdr:col>
      <xdr:colOff>336549</xdr:colOff>
      <xdr:row>19</xdr:row>
      <xdr:rowOff>95250</xdr:rowOff>
    </xdr:to>
    <xdr:graphicFrame macro="">
      <xdr:nvGraphicFramePr>
        <xdr:cNvPr id="3" name="Chart 2">
          <a:extLst>
            <a:ext uri="{FF2B5EF4-FFF2-40B4-BE49-F238E27FC236}">
              <a16:creationId xmlns:a16="http://schemas.microsoft.com/office/drawing/2014/main" id="{82843A3F-B497-ACCF-BBA4-8F806EEC1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2774950</xdr:colOff>
      <xdr:row>2</xdr:row>
      <xdr:rowOff>171450</xdr:rowOff>
    </xdr:from>
    <xdr:to>
      <xdr:col>8</xdr:col>
      <xdr:colOff>584200</xdr:colOff>
      <xdr:row>17</xdr:row>
      <xdr:rowOff>152400</xdr:rowOff>
    </xdr:to>
    <xdr:graphicFrame macro="">
      <xdr:nvGraphicFramePr>
        <xdr:cNvPr id="2" name="Chart 1">
          <a:extLst>
            <a:ext uri="{FF2B5EF4-FFF2-40B4-BE49-F238E27FC236}">
              <a16:creationId xmlns:a16="http://schemas.microsoft.com/office/drawing/2014/main" id="{8B126E5F-3A6A-2B90-241A-A6E0FAD68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165100</xdr:rowOff>
    </xdr:from>
    <xdr:to>
      <xdr:col>22</xdr:col>
      <xdr:colOff>146050</xdr:colOff>
      <xdr:row>28</xdr:row>
      <xdr:rowOff>158750</xdr:rowOff>
    </xdr:to>
    <xdr:grpSp>
      <xdr:nvGrpSpPr>
        <xdr:cNvPr id="11" name="Group 10">
          <a:extLst>
            <a:ext uri="{FF2B5EF4-FFF2-40B4-BE49-F238E27FC236}">
              <a16:creationId xmlns:a16="http://schemas.microsoft.com/office/drawing/2014/main" id="{8C1FA123-F4BD-31A4-26D5-99892D17256F}"/>
            </a:ext>
          </a:extLst>
        </xdr:cNvPr>
        <xdr:cNvGrpSpPr/>
      </xdr:nvGrpSpPr>
      <xdr:grpSpPr>
        <a:xfrm>
          <a:off x="0" y="1685925"/>
          <a:ext cx="13554075" cy="3810000"/>
          <a:chOff x="0" y="1638300"/>
          <a:chExt cx="13557250" cy="3676650"/>
        </a:xfrm>
      </xdr:grpSpPr>
      <xdr:graphicFrame macro="">
        <xdr:nvGraphicFramePr>
          <xdr:cNvPr id="2" name="Chart 1">
            <a:extLst>
              <a:ext uri="{FF2B5EF4-FFF2-40B4-BE49-F238E27FC236}">
                <a16:creationId xmlns:a16="http://schemas.microsoft.com/office/drawing/2014/main" id="{39AB6F58-9D4B-4579-B129-21A99FC952EB}"/>
              </a:ext>
            </a:extLst>
          </xdr:cNvPr>
          <xdr:cNvGraphicFramePr>
            <a:graphicFrameLocks/>
          </xdr:cNvGraphicFramePr>
        </xdr:nvGraphicFramePr>
        <xdr:xfrm>
          <a:off x="0" y="1657350"/>
          <a:ext cx="6400800" cy="36576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E27CD2CA-46BF-41EE-9832-7F9481D39D41}"/>
              </a:ext>
            </a:extLst>
          </xdr:cNvPr>
          <xdr:cNvGraphicFramePr>
            <a:graphicFrameLocks/>
          </xdr:cNvGraphicFramePr>
        </xdr:nvGraphicFramePr>
        <xdr:xfrm>
          <a:off x="7156450" y="1638300"/>
          <a:ext cx="6400800" cy="36576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0</xdr:colOff>
      <xdr:row>30</xdr:row>
      <xdr:rowOff>127000</xdr:rowOff>
    </xdr:from>
    <xdr:to>
      <xdr:col>22</xdr:col>
      <xdr:colOff>158750</xdr:colOff>
      <xdr:row>55</xdr:row>
      <xdr:rowOff>95250</xdr:rowOff>
    </xdr:to>
    <xdr:grpSp>
      <xdr:nvGrpSpPr>
        <xdr:cNvPr id="12" name="Group 11">
          <a:extLst>
            <a:ext uri="{FF2B5EF4-FFF2-40B4-BE49-F238E27FC236}">
              <a16:creationId xmlns:a16="http://schemas.microsoft.com/office/drawing/2014/main" id="{2A78B8AE-2A9E-0ECC-D5CA-464A3970E155}"/>
            </a:ext>
          </a:extLst>
        </xdr:cNvPr>
        <xdr:cNvGrpSpPr/>
      </xdr:nvGrpSpPr>
      <xdr:grpSpPr>
        <a:xfrm>
          <a:off x="0" y="5838825"/>
          <a:ext cx="13573125" cy="4733925"/>
          <a:chOff x="0" y="5651500"/>
          <a:chExt cx="13569950" cy="4572000"/>
        </a:xfrm>
      </xdr:grpSpPr>
      <xdr:graphicFrame macro="">
        <xdr:nvGraphicFramePr>
          <xdr:cNvPr id="4" name="Chart 3">
            <a:extLst>
              <a:ext uri="{FF2B5EF4-FFF2-40B4-BE49-F238E27FC236}">
                <a16:creationId xmlns:a16="http://schemas.microsoft.com/office/drawing/2014/main" id="{E74A6731-B218-4522-9CDF-69212CD3DD98}"/>
              </a:ext>
            </a:extLst>
          </xdr:cNvPr>
          <xdr:cNvGraphicFramePr>
            <a:graphicFrameLocks/>
          </xdr:cNvGraphicFramePr>
        </xdr:nvGraphicFramePr>
        <xdr:xfrm>
          <a:off x="0" y="5651500"/>
          <a:ext cx="6400800" cy="4572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C783FFB-5525-4831-A4BE-4ADBC589E3EC}"/>
              </a:ext>
            </a:extLst>
          </xdr:cNvPr>
          <xdr:cNvGraphicFramePr>
            <a:graphicFrameLocks/>
          </xdr:cNvGraphicFramePr>
        </xdr:nvGraphicFramePr>
        <xdr:xfrm>
          <a:off x="7169150" y="5651500"/>
          <a:ext cx="6400800" cy="4572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0</xdr:colOff>
      <xdr:row>0</xdr:row>
      <xdr:rowOff>19050</xdr:rowOff>
    </xdr:from>
    <xdr:to>
      <xdr:col>11</xdr:col>
      <xdr:colOff>25400</xdr:colOff>
      <xdr:row>7</xdr:row>
      <xdr:rowOff>63500</xdr:rowOff>
    </xdr:to>
    <xdr:sp macro="" textlink="">
      <xdr:nvSpPr>
        <xdr:cNvPr id="6" name="Rectangle: Diagonal Corners Rounded 5">
          <a:extLst>
            <a:ext uri="{FF2B5EF4-FFF2-40B4-BE49-F238E27FC236}">
              <a16:creationId xmlns:a16="http://schemas.microsoft.com/office/drawing/2014/main" id="{27D549B8-A4F2-5948-3C5F-47F753B1D9A5}"/>
            </a:ext>
          </a:extLst>
        </xdr:cNvPr>
        <xdr:cNvSpPr/>
      </xdr:nvSpPr>
      <xdr:spPr>
        <a:xfrm>
          <a:off x="0" y="19050"/>
          <a:ext cx="6731000" cy="1333500"/>
        </a:xfrm>
        <a:prstGeom prst="round2DiagRect">
          <a:avLst/>
        </a:prstGeom>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badi" panose="020B0604020104020204" pitchFamily="34" charset="0"/>
            </a:rPr>
            <a:t>CARDIAC SURGERY MORTALITY</a:t>
          </a:r>
          <a:r>
            <a:rPr lang="en-US" sz="2800" b="1" baseline="0">
              <a:latin typeface="Abadi" panose="020B0604020104020204" pitchFamily="34" charset="0"/>
            </a:rPr>
            <a:t> RATE </a:t>
          </a:r>
        </a:p>
        <a:p>
          <a:pPr algn="ctr"/>
          <a:r>
            <a:rPr lang="en-US" sz="2800" b="1" baseline="0">
              <a:latin typeface="Abadi" panose="020B0604020104020204" pitchFamily="34" charset="0"/>
            </a:rPr>
            <a:t>DASHBOARD</a:t>
          </a:r>
          <a:endParaRPr lang="en-US" sz="2800" b="1">
            <a:latin typeface="Abadi" panose="020B0604020104020204" pitchFamily="34" charset="0"/>
          </a:endParaRPr>
        </a:p>
      </xdr:txBody>
    </xdr:sp>
    <xdr:clientData/>
  </xdr:twoCellAnchor>
  <xdr:twoCellAnchor>
    <xdr:from>
      <xdr:col>11</xdr:col>
      <xdr:colOff>190500</xdr:colOff>
      <xdr:row>0</xdr:row>
      <xdr:rowOff>0</xdr:rowOff>
    </xdr:from>
    <xdr:to>
      <xdr:col>20</xdr:col>
      <xdr:colOff>463550</xdr:colOff>
      <xdr:row>7</xdr:row>
      <xdr:rowOff>82550</xdr:rowOff>
    </xdr:to>
    <xdr:grpSp>
      <xdr:nvGrpSpPr>
        <xdr:cNvPr id="10" name="Group 9">
          <a:extLst>
            <a:ext uri="{FF2B5EF4-FFF2-40B4-BE49-F238E27FC236}">
              <a16:creationId xmlns:a16="http://schemas.microsoft.com/office/drawing/2014/main" id="{76F42393-FA9D-23C7-9140-B71DD16D7B47}"/>
            </a:ext>
          </a:extLst>
        </xdr:cNvPr>
        <xdr:cNvGrpSpPr/>
      </xdr:nvGrpSpPr>
      <xdr:grpSpPr>
        <a:xfrm>
          <a:off x="6896100" y="0"/>
          <a:ext cx="5762625" cy="1419225"/>
          <a:chOff x="6896100" y="0"/>
          <a:chExt cx="5759450" cy="1371600"/>
        </a:xfrm>
      </xdr:grpSpPr>
      <mc:AlternateContent xmlns:mc="http://schemas.openxmlformats.org/markup-compatibility/2006" xmlns:a14="http://schemas.microsoft.com/office/drawing/2010/main">
        <mc:Choice Requires="a14">
          <xdr:graphicFrame macro="">
            <xdr:nvGraphicFramePr>
              <xdr:cNvPr id="7" name="Priority">
                <a:extLst>
                  <a:ext uri="{FF2B5EF4-FFF2-40B4-BE49-F238E27FC236}">
                    <a16:creationId xmlns:a16="http://schemas.microsoft.com/office/drawing/2014/main" id="{1046F849-6724-C796-60B4-5987141F83BC}"/>
                  </a:ext>
                </a:extLst>
              </xdr:cNvPr>
              <xdr:cNvGraphicFramePr/>
            </xdr:nvGraphicFramePr>
            <xdr:xfrm>
              <a:off x="6896100" y="0"/>
              <a:ext cx="1828800" cy="137160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6896100" y="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Operation Type">
                <a:extLst>
                  <a:ext uri="{FF2B5EF4-FFF2-40B4-BE49-F238E27FC236}">
                    <a16:creationId xmlns:a16="http://schemas.microsoft.com/office/drawing/2014/main" id="{D0B6E9F3-A82F-B8C3-6EE5-7F60178F8118}"/>
                  </a:ext>
                </a:extLst>
              </xdr:cNvPr>
              <xdr:cNvGraphicFramePr/>
            </xdr:nvGraphicFramePr>
            <xdr:xfrm>
              <a:off x="8861425" y="0"/>
              <a:ext cx="1828800" cy="1371600"/>
            </xdr:xfrm>
            <a:graphic>
              <a:graphicData uri="http://schemas.microsoft.com/office/drawing/2010/slicer">
                <sle:slicer xmlns:sle="http://schemas.microsoft.com/office/drawing/2010/slicer" name="Operation Type"/>
              </a:graphicData>
            </a:graphic>
          </xdr:graphicFrame>
        </mc:Choice>
        <mc:Fallback xmlns="">
          <xdr:sp macro="" textlink="">
            <xdr:nvSpPr>
              <xdr:cNvPr id="0" name=""/>
              <xdr:cNvSpPr>
                <a:spLocks noTextEdit="1"/>
              </xdr:cNvSpPr>
            </xdr:nvSpPr>
            <xdr:spPr>
              <a:xfrm>
                <a:off x="8861425" y="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urgeon Name">
                <a:extLst>
                  <a:ext uri="{FF2B5EF4-FFF2-40B4-BE49-F238E27FC236}">
                    <a16:creationId xmlns:a16="http://schemas.microsoft.com/office/drawing/2014/main" id="{6CC165EC-C1FA-7CC3-02E4-6900EC2A0A2A}"/>
                  </a:ext>
                </a:extLst>
              </xdr:cNvPr>
              <xdr:cNvGraphicFramePr/>
            </xdr:nvGraphicFramePr>
            <xdr:xfrm>
              <a:off x="10826750" y="0"/>
              <a:ext cx="1828800" cy="1371600"/>
            </xdr:xfrm>
            <a:graphic>
              <a:graphicData uri="http://schemas.microsoft.com/office/drawing/2010/slicer">
                <sle:slicer xmlns:sle="http://schemas.microsoft.com/office/drawing/2010/slicer" name="Surgeon Name"/>
              </a:graphicData>
            </a:graphic>
          </xdr:graphicFrame>
        </mc:Choice>
        <mc:Fallback xmlns="">
          <xdr:sp macro="" textlink="">
            <xdr:nvSpPr>
              <xdr:cNvPr id="0" name=""/>
              <xdr:cNvSpPr>
                <a:spLocks noTextEdit="1"/>
              </xdr:cNvSpPr>
            </xdr:nvSpPr>
            <xdr:spPr>
              <a:xfrm>
                <a:off x="10826750" y="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9.082770023146" createdVersion="8" refreshedVersion="8" minRefreshableVersion="3" recordCount="1335" xr:uid="{AB95B555-74F1-43B2-9ACA-AACDA27146B0}">
  <cacheSource type="worksheet">
    <worksheetSource name="Cardiac_Table"/>
  </cacheSource>
  <cacheFields count="32">
    <cacheField name="ID Number" numFmtId="0">
      <sharedItems containsSemiMixedTypes="0" containsString="0" containsNumber="1" containsInteger="1" minValue="2" maxValue="1347"/>
    </cacheField>
    <cacheField name="Hospital Admit Date " numFmtId="164">
      <sharedItems containsSemiMixedTypes="0" containsNonDate="0" containsDate="1" containsString="0" minDate="2019-12-22T12:50:00" maxDate="2020-12-30T06:36:00"/>
    </cacheField>
    <cacheField name="Hospital admit date" numFmtId="14">
      <sharedItems containsSemiMixedTypes="0" containsNonDate="0" containsDate="1" containsString="0" minDate="2019-12-22T00:00:00" maxDate="2020-12-31T00:00:00"/>
    </cacheField>
    <cacheField name="Hospita Admit time" numFmtId="165">
      <sharedItems/>
    </cacheField>
    <cacheField name="Procedure Start Date and Time" numFmtId="164">
      <sharedItems containsSemiMixedTypes="0" containsNonDate="0" containsDate="1" containsString="0" minDate="2020-01-02T08:04:00" maxDate="2020-12-30T13:33:00"/>
    </cacheField>
    <cacheField name="Procedure start date" numFmtId="14">
      <sharedItems containsSemiMixedTypes="0" containsNonDate="0" containsDate="1" containsString="0" minDate="2020-01-02T00:00:00" maxDate="2020-12-31T00:00:00"/>
    </cacheField>
    <cacheField name="Procedure start time" numFmtId="166">
      <sharedItems containsSemiMixedTypes="0" containsNonDate="0" containsDate="1" containsString="0" minDate="1899-12-30T00:27:00" maxDate="1899-12-30T23:58:00"/>
    </cacheField>
    <cacheField name="Location ID" numFmtId="0">
      <sharedItems containsSemiMixedTypes="0" containsString="0" containsNumber="1" containsInteger="1" minValue="1" maxValue="6"/>
    </cacheField>
    <cacheField name="Priority" numFmtId="0">
      <sharedItems count="4">
        <s v="emergency"/>
        <s v="elective"/>
        <s v="urgent"/>
        <s v="salvage"/>
      </sharedItems>
    </cacheField>
    <cacheField name="Operation Type" numFmtId="0">
      <sharedItems count="7">
        <s v="Valve"/>
        <s v="Major cardiac"/>
        <s v="CABG"/>
        <s v="CABG &amp; Valve"/>
        <s v="Aorta surgery"/>
        <s v="None"/>
        <s v="Other"/>
      </sharedItems>
    </cacheField>
    <cacheField name="Surgeon Name" numFmtId="0">
      <sharedItems count="17">
        <s v="S Scully"/>
        <s v="E Ellingson"/>
        <s v="I Ibbotson"/>
        <s v="W Wilkening"/>
        <s v="G Guy"/>
        <s v="A Abbott"/>
        <s v="K Doran "/>
        <s v="B Bryant"/>
        <s v="F Randle"/>
        <s v="C Cuthbert"/>
        <s v="L Shepard"/>
        <s v="H Hodgson"/>
        <s v="C Shasikaran"/>
        <s v="L LeBlanc"/>
        <s v="Multiple Surgeon Team"/>
        <s v="C Cheung"/>
        <s v="R Rubiella"/>
      </sharedItems>
    </cacheField>
    <cacheField name="Patient Age" numFmtId="0">
      <sharedItems containsSemiMixedTypes="0" containsString="0" containsNumber="1" containsInteger="1" minValue="17" maxValue="88"/>
    </cacheField>
    <cacheField name="Risk of Death % (Model 1)" numFmtId="0">
      <sharedItems containsSemiMixedTypes="0" containsString="0" containsNumber="1" minValue="0.88" maxValue="92.24"/>
    </cacheField>
    <cacheField name="Risk of Death % (Model 2)" numFmtId="0">
      <sharedItems containsSemiMixedTypes="0" containsString="0" containsNumber="1" minValue="0.5" maxValue="70.790000000000006"/>
    </cacheField>
    <cacheField name="Patient Status at Discharge" numFmtId="0">
      <sharedItems/>
    </cacheField>
    <cacheField name="Creatinine at time of Surgery " numFmtId="0">
      <sharedItems containsSemiMixedTypes="0" containsString="0" containsNumber="1" minValue="16.100000000000001" maxValue="950"/>
    </cacheField>
    <cacheField name="Height" numFmtId="0">
      <sharedItems containsSemiMixedTypes="0" containsString="0" containsNumber="1" minValue="17.5" maxValue="195"/>
    </cacheField>
    <cacheField name="Weight" numFmtId="0">
      <sharedItems containsSemiMixedTypes="0" containsString="0" containsNumber="1" minValue="9.5" maxValue="185"/>
    </cacheField>
    <cacheField name="Ejection Fraction" numFmtId="0">
      <sharedItems containsSemiMixedTypes="0" containsString="0" containsNumber="1" containsInteger="1" minValue="10" maxValue="88"/>
    </cacheField>
    <cacheField name="Ejection fraction category" numFmtId="0">
      <sharedItems/>
    </cacheField>
    <cacheField name="Actual mortality" numFmtId="0">
      <sharedItems containsSemiMixedTypes="0" containsString="0" containsNumber="1" containsInteger="1" minValue="0" maxValue="1"/>
    </cacheField>
    <cacheField name="Risk of death decimal (1)" numFmtId="0">
      <sharedItems containsSemiMixedTypes="0" containsString="0" containsNumber="1" minValue="8.8000000000000005E-3" maxValue="0.9224"/>
    </cacheField>
    <cacheField name="Risk of death decimal (2)" numFmtId="0">
      <sharedItems containsSemiMixedTypes="0" containsString="0" containsNumber="1" minValue="5.0000000000000001E-3" maxValue="0.70790000000000008"/>
    </cacheField>
    <cacheField name="Time between admission and procedure" numFmtId="20">
      <sharedItems containsSemiMixedTypes="0" containsNonDate="0" containsDate="1" containsString="0" minDate="1899-12-30T00:06:00" maxDate="1900-02-07T14:22:00"/>
    </cacheField>
    <cacheField name="Predicted Mortality rate" numFmtId="0" formula="'Risk of Death % (Model 1)'/'Patient Age'" databaseField="0"/>
    <cacheField name="Field1" numFmtId="0" formula="'Actual mortality'/'Patient Age'" databaseField="0"/>
    <cacheField name="Field2" numFmtId="0" formula="'Risk of death decimal (1)'/'Patient Age'" databaseField="0"/>
    <cacheField name="Field3" numFmtId="0" formula="'Actual mortality'/'Patient Age'" databaseField="0"/>
    <cacheField name="Field4" numFmtId="0" formula="'Risk of death decimal (2)'/'Patient Age'" databaseField="0"/>
    <cacheField name="Field5" numFmtId="0" formula="'Actual mortality'/'Risk of Death % (Model 2)'" databaseField="0"/>
    <cacheField name="Field6" numFmtId="0" formula="'Actual mortality'/'Risk of Death % (Model 1)'" databaseField="0"/>
    <cacheField name="o/e ration 1 " numFmtId="0" formula="'Actual mortality'/'Risk of Death % (Model 1)'" databaseField="0"/>
  </cacheFields>
  <extLst>
    <ext xmlns:x14="http://schemas.microsoft.com/office/spreadsheetml/2009/9/main" uri="{725AE2AE-9491-48be-B2B4-4EB974FC3084}">
      <x14:pivotCacheDefinition pivotCacheId="1463822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5">
  <r>
    <n v="2"/>
    <d v="2020-01-01T14:15:00"/>
    <d v="2020-01-01T00:00:00"/>
    <s v="14:15"/>
    <d v="2020-01-02T08:04:00"/>
    <d v="2020-01-02T00:00:00"/>
    <d v="1899-12-30T08:04:00"/>
    <n v="1"/>
    <x v="0"/>
    <x v="0"/>
    <x v="0"/>
    <n v="51"/>
    <n v="11.54"/>
    <n v="3.07"/>
    <s v="Alive"/>
    <n v="176"/>
    <n v="182"/>
    <n v="85"/>
    <n v="35"/>
    <s v="Moderate"/>
    <n v="0"/>
    <n v="0.11539999999999999"/>
    <n v="3.0699999999999998E-2"/>
    <d v="1899-12-30T17:49:00"/>
  </r>
  <r>
    <n v="3"/>
    <d v="2020-01-01T13:20:00"/>
    <d v="2020-01-01T00:00:00"/>
    <s v="13:20"/>
    <d v="2020-01-02T08:05:00"/>
    <d v="2020-01-02T00:00:00"/>
    <d v="1899-12-30T08:05:00"/>
    <n v="3"/>
    <x v="1"/>
    <x v="0"/>
    <x v="1"/>
    <n v="59"/>
    <n v="1.51"/>
    <n v="0.75"/>
    <s v="Alive"/>
    <n v="93"/>
    <n v="151"/>
    <n v="87"/>
    <n v="61"/>
    <s v="Good"/>
    <n v="0"/>
    <n v="1.5100000000000001E-2"/>
    <n v="7.4999999999999997E-3"/>
    <d v="1899-12-30T18:45:00"/>
  </r>
  <r>
    <n v="4"/>
    <d v="2020-01-01T21:56:00"/>
    <d v="2020-01-01T00:00:00"/>
    <s v="21:56"/>
    <d v="2020-01-02T08:31:00"/>
    <d v="2020-01-02T00:00:00"/>
    <d v="1899-12-30T08:31:00"/>
    <n v="5"/>
    <x v="0"/>
    <x v="1"/>
    <x v="2"/>
    <n v="61"/>
    <n v="18.79"/>
    <n v="12.58"/>
    <s v="Died"/>
    <n v="81"/>
    <n v="180"/>
    <n v="99"/>
    <n v="58"/>
    <s v="Good"/>
    <n v="1"/>
    <n v="0.18789999999999998"/>
    <n v="0.1258"/>
    <d v="1899-12-30T10:35:00"/>
  </r>
  <r>
    <n v="5"/>
    <d v="2020-01-02T16:00:00"/>
    <d v="2020-01-02T00:00:00"/>
    <s v="16:00"/>
    <d v="2020-01-03T07:50:00"/>
    <d v="2020-01-03T00:00:00"/>
    <d v="1899-12-30T07:50:00"/>
    <n v="5"/>
    <x v="1"/>
    <x v="0"/>
    <x v="3"/>
    <n v="62"/>
    <n v="6.61"/>
    <n v="11.54"/>
    <s v="Alive"/>
    <n v="110"/>
    <n v="185"/>
    <n v="82"/>
    <n v="60"/>
    <s v="Good"/>
    <n v="0"/>
    <n v="6.6100000000000006E-2"/>
    <n v="0.11539999999999999"/>
    <d v="1899-12-30T15:50:00"/>
  </r>
  <r>
    <n v="6"/>
    <d v="2020-01-01T11:00:00"/>
    <d v="2020-01-01T00:00:00"/>
    <s v="11:00"/>
    <d v="2020-01-03T07:57:00"/>
    <d v="2020-01-03T00:00:00"/>
    <d v="1899-12-30T07:57:00"/>
    <n v="3"/>
    <x v="2"/>
    <x v="2"/>
    <x v="1"/>
    <n v="57"/>
    <n v="1.51"/>
    <n v="0.8"/>
    <s v="Alive"/>
    <n v="77"/>
    <n v="157"/>
    <n v="57"/>
    <n v="64"/>
    <s v="Good"/>
    <n v="0"/>
    <n v="1.5100000000000001E-2"/>
    <n v="8.0000000000000002E-3"/>
    <d v="1899-12-31T20:57:00"/>
  </r>
  <r>
    <n v="7"/>
    <d v="2019-12-28T09:35:00"/>
    <d v="2019-12-28T00:00:00"/>
    <s v="09:35"/>
    <d v="2020-01-03T08:11:00"/>
    <d v="2020-01-03T00:00:00"/>
    <d v="1899-12-30T08:11:00"/>
    <n v="6"/>
    <x v="2"/>
    <x v="0"/>
    <x v="4"/>
    <n v="70"/>
    <n v="3.08"/>
    <n v="1.23"/>
    <s v="Alive"/>
    <n v="98"/>
    <n v="173"/>
    <n v="105"/>
    <n v="40"/>
    <s v="Moderate"/>
    <n v="0"/>
    <n v="3.0800000000000001E-2"/>
    <n v="1.23E-2"/>
    <d v="1900-01-04T22:36:00"/>
  </r>
  <r>
    <n v="8"/>
    <d v="2019-12-22T12:50:00"/>
    <d v="2019-12-22T00:00:00"/>
    <s v="12:50"/>
    <d v="2020-01-03T14:50:00"/>
    <d v="2020-01-03T00:00:00"/>
    <d v="1899-12-30T14:50:00"/>
    <n v="3"/>
    <x v="2"/>
    <x v="2"/>
    <x v="1"/>
    <n v="74"/>
    <n v="5.96"/>
    <n v="2.2999999999999998"/>
    <s v="Alive"/>
    <n v="91"/>
    <n v="167"/>
    <n v="82"/>
    <n v="65"/>
    <s v="Good"/>
    <n v="0"/>
    <n v="5.96E-2"/>
    <n v="2.3E-2"/>
    <d v="1900-01-11T02:00:00"/>
  </r>
  <r>
    <n v="9"/>
    <d v="2020-01-03T16:00:00"/>
    <d v="2020-01-03T00:00:00"/>
    <s v="16:00"/>
    <d v="2020-01-04T07:54:00"/>
    <d v="2020-01-04T00:00:00"/>
    <d v="1899-12-30T07:54:00"/>
    <n v="2"/>
    <x v="1"/>
    <x v="2"/>
    <x v="0"/>
    <n v="75"/>
    <n v="2.52"/>
    <n v="0.77"/>
    <s v="Alive"/>
    <n v="102"/>
    <n v="177"/>
    <n v="97"/>
    <n v="55"/>
    <s v="Good"/>
    <n v="0"/>
    <n v="2.52E-2"/>
    <n v="7.7000000000000002E-3"/>
    <d v="1899-12-30T15:54:00"/>
  </r>
  <r>
    <n v="10"/>
    <d v="2020-01-03T16:00:00"/>
    <d v="2020-01-03T00:00:00"/>
    <s v="16:00"/>
    <d v="2020-01-04T08:15:00"/>
    <d v="2020-01-04T00:00:00"/>
    <d v="1899-12-30T08:15:00"/>
    <n v="5"/>
    <x v="1"/>
    <x v="0"/>
    <x v="5"/>
    <n v="78"/>
    <n v="10.29"/>
    <n v="4.84"/>
    <s v="Alive"/>
    <n v="79"/>
    <n v="183"/>
    <n v="117"/>
    <n v="55"/>
    <s v="Good"/>
    <n v="0"/>
    <n v="0.10289999999999999"/>
    <n v="4.8399999999999999E-2"/>
    <d v="1899-12-30T16:15:00"/>
  </r>
  <r>
    <n v="11"/>
    <d v="2020-01-03T15:36:00"/>
    <d v="2020-01-03T00:00:00"/>
    <s v="15:36"/>
    <d v="2020-01-04T12:21:00"/>
    <d v="2020-01-04T00:00:00"/>
    <d v="1899-12-30T12:21:00"/>
    <n v="2"/>
    <x v="1"/>
    <x v="2"/>
    <x v="0"/>
    <n v="59"/>
    <n v="0.88"/>
    <n v="0.96"/>
    <s v="Alive"/>
    <n v="80"/>
    <n v="173"/>
    <n v="93"/>
    <n v="58"/>
    <s v="Good"/>
    <n v="0"/>
    <n v="8.8000000000000005E-3"/>
    <n v="9.5999999999999992E-3"/>
    <d v="1899-12-30T20:45:00"/>
  </r>
  <r>
    <n v="12"/>
    <d v="2020-01-03T13:30:00"/>
    <d v="2020-01-03T00:00:00"/>
    <s v="13:30"/>
    <d v="2020-01-04T12:47:00"/>
    <d v="2020-01-04T00:00:00"/>
    <d v="1899-12-30T12:47:00"/>
    <n v="5"/>
    <x v="1"/>
    <x v="0"/>
    <x v="5"/>
    <n v="72"/>
    <n v="8.3000000000000007"/>
    <n v="3.75"/>
    <s v="Alive"/>
    <n v="81"/>
    <n v="174"/>
    <n v="103"/>
    <n v="50"/>
    <s v="Moderate"/>
    <n v="0"/>
    <n v="8.3000000000000004E-2"/>
    <n v="3.7499999999999999E-2"/>
    <d v="1899-12-30T23:17:00"/>
  </r>
  <r>
    <n v="13"/>
    <d v="2020-01-05T13:51:00"/>
    <d v="2020-01-05T00:00:00"/>
    <s v="13:51"/>
    <d v="2020-01-06T07:50:00"/>
    <d v="2020-01-06T00:00:00"/>
    <d v="1899-12-30T07:50:00"/>
    <n v="3"/>
    <x v="1"/>
    <x v="2"/>
    <x v="3"/>
    <n v="44"/>
    <n v="2.02"/>
    <n v="0.64"/>
    <s v="Alive"/>
    <n v="81"/>
    <n v="169"/>
    <n v="86"/>
    <n v="52"/>
    <s v="Good"/>
    <n v="0"/>
    <n v="2.0199999999999999E-2"/>
    <n v="6.4000000000000003E-3"/>
    <d v="1899-12-30T17:59:00"/>
  </r>
  <r>
    <n v="14"/>
    <d v="2020-01-05T14:00:00"/>
    <d v="2020-01-05T00:00:00"/>
    <s v="14:00"/>
    <d v="2020-01-06T08:06:00"/>
    <d v="2020-01-06T00:00:00"/>
    <d v="1899-12-30T08:06:00"/>
    <n v="6"/>
    <x v="1"/>
    <x v="2"/>
    <x v="6"/>
    <n v="62"/>
    <n v="1.07"/>
    <n v="0.59"/>
    <s v="Alive"/>
    <n v="160"/>
    <n v="176"/>
    <n v="70"/>
    <n v="60"/>
    <s v="Good"/>
    <n v="0"/>
    <n v="1.0700000000000001E-2"/>
    <n v="5.8999999999999999E-3"/>
    <d v="1899-12-30T18:06:00"/>
  </r>
  <r>
    <n v="15"/>
    <d v="2020-01-06T06:58:00"/>
    <d v="2020-01-06T00:00:00"/>
    <s v="06:58"/>
    <d v="2020-01-06T09:00:00"/>
    <d v="2020-01-06T00:00:00"/>
    <d v="1899-12-30T09:00:00"/>
    <n v="2"/>
    <x v="1"/>
    <x v="2"/>
    <x v="7"/>
    <n v="72"/>
    <n v="3.35"/>
    <n v="1.1499999999999999"/>
    <s v="Alive"/>
    <n v="127"/>
    <n v="180"/>
    <n v="97"/>
    <n v="70"/>
    <s v="Good"/>
    <n v="0"/>
    <n v="3.3500000000000002E-2"/>
    <n v="1.15E-2"/>
    <d v="1899-12-30T02:02:00"/>
  </r>
  <r>
    <n v="16"/>
    <d v="2020-01-05T14:00:00"/>
    <d v="2020-01-05T00:00:00"/>
    <s v="14:00"/>
    <d v="2020-01-06T10:40:00"/>
    <d v="2020-01-06T00:00:00"/>
    <d v="1899-12-30T10:40:00"/>
    <n v="5"/>
    <x v="1"/>
    <x v="0"/>
    <x v="5"/>
    <n v="65"/>
    <n v="6.42"/>
    <n v="1.83"/>
    <s v="Alive"/>
    <n v="78"/>
    <n v="182"/>
    <n v="115"/>
    <n v="55"/>
    <s v="Good"/>
    <n v="0"/>
    <n v="6.4199999999999993E-2"/>
    <n v="1.83E-2"/>
    <d v="1899-12-30T20:40:00"/>
  </r>
  <r>
    <n v="17"/>
    <d v="2020-01-05T11:00:00"/>
    <d v="2020-01-05T00:00:00"/>
    <s v="11:00"/>
    <d v="2020-01-06T14:23:00"/>
    <d v="2020-01-06T00:00:00"/>
    <d v="1899-12-30T14:23:00"/>
    <n v="3"/>
    <x v="2"/>
    <x v="2"/>
    <x v="3"/>
    <n v="78"/>
    <n v="5.16"/>
    <n v="1.48"/>
    <s v="Alive"/>
    <n v="62"/>
    <n v="170"/>
    <n v="87"/>
    <n v="45"/>
    <s v="Moderate"/>
    <n v="0"/>
    <n v="5.16E-2"/>
    <n v="1.4800000000000001E-2"/>
    <d v="1899-12-31T03:23:00"/>
  </r>
  <r>
    <n v="18"/>
    <d v="2019-12-24T13:52:00"/>
    <d v="2019-12-24T00:00:00"/>
    <s v="13:52"/>
    <d v="2020-01-06T14:45:00"/>
    <d v="2020-01-06T00:00:00"/>
    <d v="1899-12-30T14:45:00"/>
    <n v="2"/>
    <x v="2"/>
    <x v="2"/>
    <x v="7"/>
    <n v="73"/>
    <n v="2.21"/>
    <n v="1.73"/>
    <s v="Alive"/>
    <n v="84"/>
    <n v="150"/>
    <n v="48"/>
    <n v="49"/>
    <s v="Moderate"/>
    <n v="0"/>
    <n v="2.2099999999999998E-2"/>
    <n v="1.7299999999999999E-2"/>
    <d v="1900-01-12T00:53:00"/>
  </r>
  <r>
    <n v="19"/>
    <d v="2020-01-06T11:00:00"/>
    <d v="2020-01-06T00:00:00"/>
    <s v="11:00"/>
    <d v="2020-01-07T07:45:00"/>
    <d v="2020-01-07T00:00:00"/>
    <d v="1899-12-30T07:45:00"/>
    <n v="5"/>
    <x v="2"/>
    <x v="2"/>
    <x v="4"/>
    <n v="85"/>
    <n v="11.62"/>
    <n v="8.48"/>
    <s v="Alive"/>
    <n v="82"/>
    <n v="174"/>
    <n v="103"/>
    <n v="55"/>
    <s v="Good"/>
    <n v="0"/>
    <n v="0.1162"/>
    <n v="8.48E-2"/>
    <d v="1899-12-30T20:45:00"/>
  </r>
  <r>
    <n v="20"/>
    <d v="2020-01-06T14:01:00"/>
    <d v="2020-01-06T00:00:00"/>
    <s v="14:01"/>
    <d v="2020-01-07T08:02:00"/>
    <d v="2020-01-07T00:00:00"/>
    <d v="1899-12-30T08:02:00"/>
    <n v="2"/>
    <x v="1"/>
    <x v="3"/>
    <x v="2"/>
    <n v="76"/>
    <n v="4.53"/>
    <n v="3.48"/>
    <s v="Alive"/>
    <n v="90"/>
    <n v="188"/>
    <n v="85"/>
    <n v="43"/>
    <s v="Moderate"/>
    <n v="0"/>
    <n v="4.53E-2"/>
    <n v="3.4799999999999998E-2"/>
    <d v="1899-12-30T18:01:00"/>
  </r>
  <r>
    <n v="21"/>
    <d v="2019-12-31T11:00:00"/>
    <d v="2019-12-31T00:00:00"/>
    <s v="11:00"/>
    <d v="2020-01-07T08:05:00"/>
    <d v="2020-01-07T00:00:00"/>
    <d v="1899-12-30T08:05:00"/>
    <n v="3"/>
    <x v="2"/>
    <x v="3"/>
    <x v="1"/>
    <n v="83"/>
    <n v="13.8"/>
    <n v="8.5"/>
    <s v="Alive"/>
    <n v="80"/>
    <n v="173"/>
    <n v="100"/>
    <n v="60"/>
    <s v="Good"/>
    <n v="0"/>
    <n v="0.13800000000000001"/>
    <n v="8.5000000000000006E-2"/>
    <d v="1900-01-05T21:05:00"/>
  </r>
  <r>
    <n v="22"/>
    <d v="2020-01-06T13:58:00"/>
    <d v="2020-01-06T00:00:00"/>
    <s v="13:58"/>
    <d v="2020-01-07T08:30:00"/>
    <d v="2020-01-07T00:00:00"/>
    <d v="1899-12-30T08:30:00"/>
    <n v="6"/>
    <x v="1"/>
    <x v="0"/>
    <x v="5"/>
    <n v="72"/>
    <n v="5.62"/>
    <n v="1.62"/>
    <s v="Alive"/>
    <n v="71"/>
    <n v="176"/>
    <n v="88"/>
    <n v="45"/>
    <s v="Moderate"/>
    <n v="0"/>
    <n v="5.62E-2"/>
    <n v="1.6200000000000003E-2"/>
    <d v="1899-12-30T18:32:00"/>
  </r>
  <r>
    <n v="23"/>
    <d v="2019-12-31T11:00:00"/>
    <d v="2019-12-31T00:00:00"/>
    <s v="11:00"/>
    <d v="2020-01-07T14:51:00"/>
    <d v="2020-01-07T00:00:00"/>
    <d v="1899-12-30T14:51:00"/>
    <n v="6"/>
    <x v="2"/>
    <x v="3"/>
    <x v="5"/>
    <n v="69"/>
    <n v="4.6500000000000004"/>
    <n v="2.4500000000000002"/>
    <s v="Alive"/>
    <n v="91"/>
    <n v="157"/>
    <n v="59"/>
    <n v="58"/>
    <s v="Good"/>
    <n v="0"/>
    <n v="4.6500000000000007E-2"/>
    <n v="2.4500000000000001E-2"/>
    <d v="1900-01-06T03:51:00"/>
  </r>
  <r>
    <n v="24"/>
    <d v="2019-12-29T10:10:00"/>
    <d v="2019-12-29T00:00:00"/>
    <s v="10:10"/>
    <d v="2020-01-08T07:50:00"/>
    <d v="2020-01-08T00:00:00"/>
    <d v="1899-12-30T07:50:00"/>
    <n v="3"/>
    <x v="2"/>
    <x v="2"/>
    <x v="7"/>
    <n v="79"/>
    <n v="8.1300000000000008"/>
    <n v="2.5099999999999998"/>
    <s v="Alive"/>
    <n v="103"/>
    <n v="174"/>
    <n v="90"/>
    <n v="47"/>
    <s v="Moderate"/>
    <n v="0"/>
    <n v="8.1300000000000011E-2"/>
    <n v="2.5099999999999997E-2"/>
    <d v="1900-01-08T21:40:00"/>
  </r>
  <r>
    <n v="25"/>
    <d v="2019-12-25T13:45:00"/>
    <d v="2019-12-25T00:00:00"/>
    <s v="13:45"/>
    <d v="2020-01-08T08:00:00"/>
    <d v="2020-01-08T00:00:00"/>
    <d v="1899-12-30T08:00:00"/>
    <n v="6"/>
    <x v="2"/>
    <x v="3"/>
    <x v="5"/>
    <n v="75"/>
    <n v="4.25"/>
    <n v="1.8"/>
    <s v="Alive"/>
    <n v="99"/>
    <n v="165"/>
    <n v="70"/>
    <n v="45"/>
    <s v="Moderate"/>
    <n v="0"/>
    <n v="4.2500000000000003E-2"/>
    <n v="1.8000000000000002E-2"/>
    <d v="1900-01-12T18:15:00"/>
  </r>
  <r>
    <n v="26"/>
    <d v="2020-01-07T10:49:00"/>
    <d v="2020-01-07T00:00:00"/>
    <s v="10:49"/>
    <d v="2020-01-08T08:18:00"/>
    <d v="2020-01-08T00:00:00"/>
    <d v="1899-12-30T08:18:00"/>
    <n v="5"/>
    <x v="1"/>
    <x v="0"/>
    <x v="8"/>
    <n v="74"/>
    <n v="8.08"/>
    <n v="1.9"/>
    <s v="Alive"/>
    <n v="76"/>
    <n v="168"/>
    <n v="73"/>
    <n v="45"/>
    <s v="Moderate"/>
    <n v="0"/>
    <n v="8.0799999999999997E-2"/>
    <n v="1.9E-2"/>
    <d v="1899-12-30T21:29:00"/>
  </r>
  <r>
    <n v="27"/>
    <d v="2020-01-08T08:08:00"/>
    <d v="2020-01-08T00:00:00"/>
    <s v="08:08"/>
    <d v="2020-01-08T13:56:00"/>
    <d v="2020-01-08T00:00:00"/>
    <d v="1899-12-30T13:56:00"/>
    <n v="5"/>
    <x v="1"/>
    <x v="0"/>
    <x v="8"/>
    <n v="59"/>
    <n v="2.44"/>
    <n v="0.67"/>
    <s v="Alive"/>
    <n v="89"/>
    <n v="170"/>
    <n v="120"/>
    <n v="58"/>
    <s v="Good"/>
    <n v="0"/>
    <n v="2.4399999999999998E-2"/>
    <n v="6.7000000000000002E-3"/>
    <d v="1899-12-30T05:48:00"/>
  </r>
  <r>
    <n v="28"/>
    <d v="2020-01-07T13:44:00"/>
    <d v="2020-01-07T00:00:00"/>
    <s v="13:44"/>
    <d v="2020-01-08T13:57:00"/>
    <d v="2020-01-08T00:00:00"/>
    <d v="1899-12-30T13:57:00"/>
    <n v="2"/>
    <x v="1"/>
    <x v="0"/>
    <x v="2"/>
    <n v="68"/>
    <n v="2.71"/>
    <n v="0.63"/>
    <s v="Alive"/>
    <n v="80"/>
    <n v="177"/>
    <n v="88"/>
    <n v="55"/>
    <s v="Good"/>
    <n v="0"/>
    <n v="2.7099999999999999E-2"/>
    <n v="6.3E-3"/>
    <d v="1899-12-31T00:13:00"/>
  </r>
  <r>
    <n v="29"/>
    <d v="2020-01-08T08:05:00"/>
    <d v="2020-01-08T00:00:00"/>
    <s v="08:05"/>
    <d v="2020-01-08T14:30:00"/>
    <d v="2020-01-08T00:00:00"/>
    <d v="1899-12-30T14:30:00"/>
    <n v="6"/>
    <x v="1"/>
    <x v="0"/>
    <x v="5"/>
    <n v="75"/>
    <n v="11.71"/>
    <n v="4.07"/>
    <s v="Alive"/>
    <n v="72"/>
    <n v="172"/>
    <n v="80"/>
    <n v="52"/>
    <s v="Good"/>
    <n v="0"/>
    <n v="0.11710000000000001"/>
    <n v="4.07E-2"/>
    <d v="1899-12-30T06:25:00"/>
  </r>
  <r>
    <n v="30"/>
    <d v="2020-01-06T18:00:00"/>
    <d v="2020-01-06T00:00:00"/>
    <s v="18:00"/>
    <d v="2020-01-08T16:09:00"/>
    <d v="2020-01-08T00:00:00"/>
    <d v="1899-12-30T16:09:00"/>
    <n v="3"/>
    <x v="2"/>
    <x v="2"/>
    <x v="7"/>
    <n v="80"/>
    <n v="13.41"/>
    <n v="2.56"/>
    <s v="Alive"/>
    <n v="80"/>
    <n v="17.5"/>
    <n v="81"/>
    <n v="55"/>
    <s v="Good"/>
    <n v="0"/>
    <n v="0.1341"/>
    <n v="2.5600000000000001E-2"/>
    <d v="1899-12-31T22:09:00"/>
  </r>
  <r>
    <n v="31"/>
    <d v="2020-01-08T13:51:00"/>
    <d v="2020-01-08T00:00:00"/>
    <s v="13:51"/>
    <d v="2020-01-09T08:05:00"/>
    <d v="2020-01-09T00:00:00"/>
    <d v="1899-12-30T08:05:00"/>
    <n v="6"/>
    <x v="1"/>
    <x v="4"/>
    <x v="9"/>
    <n v="75"/>
    <n v="45.85"/>
    <n v="19.77"/>
    <s v="Died"/>
    <n v="81"/>
    <n v="180"/>
    <n v="104"/>
    <n v="60"/>
    <s v="Good"/>
    <n v="1"/>
    <n v="0.45850000000000002"/>
    <n v="0.19769999999999999"/>
    <d v="1899-12-30T18:14:00"/>
  </r>
  <r>
    <n v="32"/>
    <d v="2019-12-31T10:15:00"/>
    <d v="2019-12-31T00:00:00"/>
    <s v="10:15"/>
    <d v="2020-01-09T08:13:00"/>
    <d v="2020-01-09T00:00:00"/>
    <d v="1899-12-30T08:13:00"/>
    <n v="5"/>
    <x v="2"/>
    <x v="2"/>
    <x v="10"/>
    <n v="79"/>
    <n v="5.5"/>
    <n v="1.52"/>
    <s v="Alive"/>
    <n v="180"/>
    <n v="178"/>
    <n v="86"/>
    <n v="61"/>
    <s v="Good"/>
    <n v="0"/>
    <n v="5.5E-2"/>
    <n v="1.52E-2"/>
    <d v="1900-01-07T21:58:00"/>
  </r>
  <r>
    <n v="33"/>
    <d v="2020-01-08T14:09:00"/>
    <d v="2020-01-08T00:00:00"/>
    <s v="14:09"/>
    <d v="2020-01-09T14:13:00"/>
    <d v="2020-01-09T00:00:00"/>
    <d v="1899-12-30T14:13:00"/>
    <n v="2"/>
    <x v="1"/>
    <x v="2"/>
    <x v="7"/>
    <n v="74"/>
    <n v="2.36"/>
    <n v="1.01"/>
    <s v="Alive"/>
    <n v="66"/>
    <n v="182"/>
    <n v="95"/>
    <n v="55"/>
    <s v="Good"/>
    <n v="0"/>
    <n v="2.3599999999999999E-2"/>
    <n v="1.01E-2"/>
    <d v="1899-12-31T00:04:00"/>
  </r>
  <r>
    <n v="34"/>
    <d v="2020-01-09T07:50:00"/>
    <d v="2020-01-09T00:00:00"/>
    <s v="07:50"/>
    <d v="2020-01-09T15:53:00"/>
    <d v="2020-01-09T00:00:00"/>
    <d v="1899-12-30T15:53:00"/>
    <n v="5"/>
    <x v="1"/>
    <x v="0"/>
    <x v="5"/>
    <n v="77"/>
    <n v="7.67"/>
    <n v="1.77"/>
    <s v="Alive"/>
    <n v="74"/>
    <n v="182"/>
    <n v="42"/>
    <n v="72"/>
    <s v="Good"/>
    <n v="0"/>
    <n v="7.6700000000000004E-2"/>
    <n v="1.77E-2"/>
    <d v="1899-12-30T08:03:00"/>
  </r>
  <r>
    <n v="35"/>
    <d v="2020-01-09T11:00:00"/>
    <d v="2020-01-09T00:00:00"/>
    <s v="11:00"/>
    <d v="2020-01-10T08:04:00"/>
    <d v="2020-01-10T00:00:00"/>
    <d v="1899-12-30T08:04:00"/>
    <n v="2"/>
    <x v="2"/>
    <x v="2"/>
    <x v="7"/>
    <n v="76"/>
    <n v="5.92"/>
    <n v="1.8"/>
    <s v="Alive"/>
    <n v="92"/>
    <n v="163"/>
    <n v="80"/>
    <n v="50"/>
    <s v="Moderate"/>
    <n v="0"/>
    <n v="5.9200000000000003E-2"/>
    <n v="1.8000000000000002E-2"/>
    <d v="1899-12-30T21:04:00"/>
  </r>
  <r>
    <n v="36"/>
    <d v="2020-01-09T13:29:00"/>
    <d v="2020-01-09T00:00:00"/>
    <s v="13:29"/>
    <d v="2020-01-10T08:10:00"/>
    <d v="2020-01-10T00:00:00"/>
    <d v="1899-12-30T08:10:00"/>
    <n v="3"/>
    <x v="1"/>
    <x v="0"/>
    <x v="8"/>
    <n v="74"/>
    <n v="5.46"/>
    <n v="5.2"/>
    <s v="Alive"/>
    <n v="66"/>
    <n v="167"/>
    <n v="50"/>
    <n v="55"/>
    <s v="Good"/>
    <n v="0"/>
    <n v="5.4600000000000003E-2"/>
    <n v="5.2000000000000005E-2"/>
    <d v="1899-12-30T18:41:00"/>
  </r>
  <r>
    <n v="37"/>
    <d v="2020-01-09T13:33:00"/>
    <d v="2020-01-09T00:00:00"/>
    <s v="13:33"/>
    <d v="2020-01-10T08:25:00"/>
    <d v="2020-01-10T00:00:00"/>
    <d v="1899-12-30T08:25:00"/>
    <n v="5"/>
    <x v="1"/>
    <x v="2"/>
    <x v="9"/>
    <n v="72"/>
    <n v="9.18"/>
    <n v="3.4"/>
    <s v="Alive"/>
    <n v="70"/>
    <n v="160"/>
    <n v="71"/>
    <n v="55"/>
    <s v="Good"/>
    <n v="0"/>
    <n v="9.1799999999999993E-2"/>
    <n v="3.4000000000000002E-2"/>
    <d v="1899-12-30T18:52:00"/>
  </r>
  <r>
    <n v="38"/>
    <d v="2020-01-09T14:21:00"/>
    <d v="2020-01-09T00:00:00"/>
    <s v="14:21"/>
    <d v="2020-01-10T11:41:00"/>
    <d v="2020-01-10T00:00:00"/>
    <d v="1899-12-30T11:41:00"/>
    <n v="6"/>
    <x v="1"/>
    <x v="3"/>
    <x v="11"/>
    <n v="78"/>
    <n v="7.62"/>
    <n v="3.37"/>
    <s v="Alive"/>
    <n v="99"/>
    <n v="165"/>
    <n v="93"/>
    <n v="65"/>
    <s v="Good"/>
    <n v="0"/>
    <n v="7.6200000000000004E-2"/>
    <n v="3.3700000000000001E-2"/>
    <d v="1899-12-30T21:20:00"/>
  </r>
  <r>
    <n v="39"/>
    <d v="2020-01-10T07:53:00"/>
    <d v="2020-01-10T00:00:00"/>
    <s v="07:53"/>
    <d v="2020-01-10T12:35:00"/>
    <d v="2020-01-10T00:00:00"/>
    <d v="1899-12-30T12:35:00"/>
    <n v="3"/>
    <x v="1"/>
    <x v="0"/>
    <x v="8"/>
    <n v="50"/>
    <n v="1.51"/>
    <n v="0.8"/>
    <s v="Alive"/>
    <n v="78"/>
    <n v="156"/>
    <n v="119"/>
    <n v="65"/>
    <s v="Good"/>
    <n v="0"/>
    <n v="1.5100000000000001E-2"/>
    <n v="8.0000000000000002E-3"/>
    <d v="1899-12-30T04:42:00"/>
  </r>
  <r>
    <n v="40"/>
    <d v="2020-01-10T07:39:00"/>
    <d v="2020-01-10T00:00:00"/>
    <s v="07:39"/>
    <d v="2020-01-10T13:55:00"/>
    <d v="2020-01-10T00:00:00"/>
    <d v="1899-12-30T13:55:00"/>
    <n v="2"/>
    <x v="1"/>
    <x v="2"/>
    <x v="7"/>
    <n v="80"/>
    <n v="7.71"/>
    <n v="2.61"/>
    <s v="Alive"/>
    <n v="79"/>
    <n v="174"/>
    <n v="80"/>
    <n v="50"/>
    <s v="Moderate"/>
    <n v="0"/>
    <n v="7.7100000000000002E-2"/>
    <n v="2.6099999999999998E-2"/>
    <d v="1899-12-30T06:16:00"/>
  </r>
  <r>
    <n v="41"/>
    <d v="2020-01-08T21:04:00"/>
    <d v="2020-01-08T00:00:00"/>
    <s v="21:04"/>
    <d v="2020-01-10T18:18:00"/>
    <d v="2020-01-10T00:00:00"/>
    <d v="1899-12-30T18:18:00"/>
    <n v="1"/>
    <x v="0"/>
    <x v="3"/>
    <x v="7"/>
    <n v="76"/>
    <n v="71.760000000000005"/>
    <n v="33.46"/>
    <s v="Died"/>
    <n v="83"/>
    <n v="165"/>
    <n v="104"/>
    <n v="55"/>
    <s v="Good"/>
    <n v="1"/>
    <n v="0.71760000000000002"/>
    <n v="0.33460000000000001"/>
    <d v="1899-12-31T21:14:00"/>
  </r>
  <r>
    <n v="42"/>
    <d v="2020-01-10T16:00:00"/>
    <d v="2020-01-10T00:00:00"/>
    <s v="16:00"/>
    <d v="2020-01-11T07:55:00"/>
    <d v="2020-01-11T00:00:00"/>
    <d v="1899-12-30T07:55:00"/>
    <n v="2"/>
    <x v="1"/>
    <x v="0"/>
    <x v="5"/>
    <n v="59"/>
    <n v="1.51"/>
    <n v="1.75"/>
    <s v="Alive"/>
    <n v="99"/>
    <n v="180"/>
    <n v="108"/>
    <n v="52"/>
    <s v="Good"/>
    <n v="0"/>
    <n v="1.5100000000000001E-2"/>
    <n v="1.7500000000000002E-2"/>
    <d v="1899-12-30T15:55:00"/>
  </r>
  <r>
    <n v="43"/>
    <d v="2020-01-11T08:24:00"/>
    <d v="2020-01-11T00:00:00"/>
    <s v="08:24"/>
    <d v="2020-01-11T12:35:00"/>
    <d v="2020-01-11T00:00:00"/>
    <d v="1899-12-30T12:35:00"/>
    <n v="2"/>
    <x v="1"/>
    <x v="2"/>
    <x v="9"/>
    <n v="59"/>
    <n v="1.33"/>
    <n v="0.92"/>
    <s v="Alive"/>
    <n v="85"/>
    <n v="171"/>
    <n v="92"/>
    <n v="47"/>
    <s v="Moderate"/>
    <n v="0"/>
    <n v="1.3300000000000001E-2"/>
    <n v="9.1999999999999998E-3"/>
    <d v="1899-12-30T04:11:00"/>
  </r>
  <r>
    <n v="44"/>
    <d v="2020-01-12T14:00:00"/>
    <d v="2020-01-12T00:00:00"/>
    <s v="14:00"/>
    <d v="2020-01-13T07:55:00"/>
    <d v="2020-01-13T00:00:00"/>
    <d v="1899-12-30T07:55:00"/>
    <n v="6"/>
    <x v="1"/>
    <x v="3"/>
    <x v="6"/>
    <n v="75"/>
    <n v="7.88"/>
    <n v="2.48"/>
    <s v="Alive"/>
    <n v="74"/>
    <n v="176"/>
    <n v="76"/>
    <n v="60"/>
    <s v="Good"/>
    <n v="0"/>
    <n v="7.8799999999999995E-2"/>
    <n v="2.4799999999999999E-2"/>
    <d v="1899-12-30T17:55:00"/>
  </r>
  <r>
    <n v="45"/>
    <d v="2020-01-08T17:26:00"/>
    <d v="2020-01-08T00:00:00"/>
    <s v="17:26"/>
    <d v="2020-01-13T07:55:00"/>
    <d v="2020-01-13T00:00:00"/>
    <d v="1899-12-30T07:55:00"/>
    <n v="5"/>
    <x v="2"/>
    <x v="2"/>
    <x v="12"/>
    <n v="83"/>
    <n v="11.82"/>
    <n v="9.81"/>
    <s v="Alive"/>
    <n v="78"/>
    <n v="177"/>
    <n v="74"/>
    <n v="60"/>
    <s v="Good"/>
    <n v="0"/>
    <n v="0.1182"/>
    <n v="9.8100000000000007E-2"/>
    <d v="1900-01-03T14:29:00"/>
  </r>
  <r>
    <n v="46"/>
    <d v="2020-01-12T14:00:00"/>
    <d v="2020-01-12T00:00:00"/>
    <s v="14:00"/>
    <d v="2020-01-13T08:29:00"/>
    <d v="2020-01-13T00:00:00"/>
    <d v="1899-12-30T08:29:00"/>
    <n v="2"/>
    <x v="1"/>
    <x v="2"/>
    <x v="11"/>
    <n v="64"/>
    <n v="1.23"/>
    <n v="0.63"/>
    <s v="Alive"/>
    <n v="76"/>
    <n v="181"/>
    <n v="88"/>
    <n v="48"/>
    <s v="Moderate"/>
    <n v="0"/>
    <n v="1.23E-2"/>
    <n v="6.3E-3"/>
    <d v="1899-12-30T18:29:00"/>
  </r>
  <r>
    <n v="47"/>
    <d v="2020-01-12T14:00:00"/>
    <d v="2020-01-12T00:00:00"/>
    <s v="14:00"/>
    <d v="2020-01-13T08:50:00"/>
    <d v="2020-01-13T00:00:00"/>
    <d v="1899-12-30T08:50:00"/>
    <n v="3"/>
    <x v="1"/>
    <x v="4"/>
    <x v="1"/>
    <n v="75"/>
    <n v="16.46"/>
    <n v="3.1"/>
    <s v="Alive"/>
    <n v="78"/>
    <n v="175"/>
    <n v="116"/>
    <n v="55"/>
    <s v="Good"/>
    <n v="0"/>
    <n v="0.1646"/>
    <n v="3.1E-2"/>
    <d v="1899-12-30T18:50:00"/>
  </r>
  <r>
    <n v="48"/>
    <d v="2020-01-13T08:27:00"/>
    <d v="2020-01-13T00:00:00"/>
    <s v="08:27"/>
    <d v="2020-01-13T13:22:00"/>
    <d v="2020-01-13T00:00:00"/>
    <d v="1899-12-30T13:22:00"/>
    <n v="5"/>
    <x v="1"/>
    <x v="3"/>
    <x v="12"/>
    <n v="83"/>
    <n v="7.03"/>
    <n v="2.4700000000000002"/>
    <s v="Alive"/>
    <n v="75"/>
    <n v="179"/>
    <n v="77"/>
    <n v="48"/>
    <s v="Moderate"/>
    <n v="0"/>
    <n v="7.0300000000000001E-2"/>
    <n v="2.4700000000000003E-2"/>
    <d v="1899-12-30T04:55:00"/>
  </r>
  <r>
    <n v="49"/>
    <d v="2020-01-03T14:00:00"/>
    <d v="2020-01-03T00:00:00"/>
    <s v="14:00"/>
    <d v="2020-01-13T13:56:00"/>
    <d v="2020-01-13T00:00:00"/>
    <d v="1899-12-30T13:56:00"/>
    <n v="6"/>
    <x v="2"/>
    <x v="2"/>
    <x v="6"/>
    <n v="47"/>
    <n v="2.2799999999999998"/>
    <n v="1.0900000000000001"/>
    <s v="Alive"/>
    <n v="78"/>
    <n v="145"/>
    <n v="68"/>
    <n v="45"/>
    <s v="Moderate"/>
    <n v="0"/>
    <n v="2.2799999999999997E-2"/>
    <n v="1.09E-2"/>
    <d v="1900-01-08T23:56:00"/>
  </r>
  <r>
    <n v="50"/>
    <d v="2020-01-12T10:59:00"/>
    <d v="2020-01-12T00:00:00"/>
    <s v="10:59"/>
    <d v="2020-01-13T14:42:00"/>
    <d v="2020-01-13T00:00:00"/>
    <d v="1899-12-30T14:42:00"/>
    <n v="2"/>
    <x v="1"/>
    <x v="2"/>
    <x v="11"/>
    <n v="69"/>
    <n v="1.7"/>
    <n v="0.65"/>
    <s v="Alive"/>
    <n v="75"/>
    <n v="173"/>
    <n v="93"/>
    <n v="60"/>
    <s v="Good"/>
    <n v="0"/>
    <n v="1.7000000000000001E-2"/>
    <n v="6.5000000000000006E-3"/>
    <d v="1899-12-31T03:43:00"/>
  </r>
  <r>
    <n v="51"/>
    <d v="2020-01-14T07:00:00"/>
    <d v="2020-01-14T00:00:00"/>
    <s v="07:00"/>
    <d v="2020-01-14T07:51:00"/>
    <d v="2020-01-14T00:00:00"/>
    <d v="1899-12-30T07:51:00"/>
    <n v="2"/>
    <x v="1"/>
    <x v="3"/>
    <x v="2"/>
    <n v="78"/>
    <n v="7.01"/>
    <n v="2.68"/>
    <s v="Alive"/>
    <n v="83"/>
    <n v="175"/>
    <n v="81"/>
    <n v="52"/>
    <s v="Good"/>
    <n v="0"/>
    <n v="7.0099999999999996E-2"/>
    <n v="2.6800000000000001E-2"/>
    <d v="1899-12-30T00:51:00"/>
  </r>
  <r>
    <n v="52"/>
    <d v="2020-01-13T14:01:00"/>
    <d v="2020-01-13T00:00:00"/>
    <s v="14:01"/>
    <d v="2020-01-14T07:55:00"/>
    <d v="2020-01-14T00:00:00"/>
    <d v="1899-12-30T07:55:00"/>
    <n v="3"/>
    <x v="1"/>
    <x v="2"/>
    <x v="3"/>
    <n v="77"/>
    <n v="2.87"/>
    <n v="0.81"/>
    <s v="Alive"/>
    <n v="98"/>
    <n v="182"/>
    <n v="97"/>
    <n v="29"/>
    <s v="Poor"/>
    <n v="0"/>
    <n v="2.87E-2"/>
    <n v="8.1000000000000013E-3"/>
    <d v="1899-12-30T17:54:00"/>
  </r>
  <r>
    <n v="53"/>
    <d v="2020-01-13T13:29:00"/>
    <d v="2020-01-13T00:00:00"/>
    <s v="13:29"/>
    <d v="2020-01-14T08:00:00"/>
    <d v="2020-01-14T00:00:00"/>
    <d v="1899-12-30T08:00:00"/>
    <n v="6"/>
    <x v="1"/>
    <x v="0"/>
    <x v="5"/>
    <n v="82"/>
    <n v="6.61"/>
    <n v="1.4"/>
    <s v="Alive"/>
    <n v="97"/>
    <n v="178"/>
    <n v="88"/>
    <n v="61"/>
    <s v="Good"/>
    <n v="0"/>
    <n v="6.6100000000000006E-2"/>
    <n v="1.3999999999999999E-2"/>
    <d v="1899-12-30T18:31:00"/>
  </r>
  <r>
    <n v="54"/>
    <d v="2020-01-13T11:00:00"/>
    <d v="2020-01-13T00:00:00"/>
    <s v="11:00"/>
    <d v="2020-01-14T08:18:00"/>
    <d v="2020-01-14T00:00:00"/>
    <d v="1899-12-30T08:18:00"/>
    <n v="5"/>
    <x v="2"/>
    <x v="2"/>
    <x v="4"/>
    <n v="61"/>
    <n v="9.6"/>
    <n v="4.91"/>
    <s v="Alive"/>
    <n v="75"/>
    <n v="171"/>
    <n v="70"/>
    <n v="45"/>
    <s v="Moderate"/>
    <n v="0"/>
    <n v="9.6000000000000002E-2"/>
    <n v="4.9100000000000005E-2"/>
    <d v="1899-12-30T21:18:00"/>
  </r>
  <r>
    <n v="55"/>
    <d v="2020-01-14T18:59:00"/>
    <d v="2020-01-14T00:00:00"/>
    <s v="18:59"/>
    <d v="2020-01-14T19:10:00"/>
    <d v="2020-01-14T00:00:00"/>
    <d v="1899-12-30T19:10:00"/>
    <n v="5"/>
    <x v="0"/>
    <x v="2"/>
    <x v="0"/>
    <n v="73"/>
    <n v="29.14"/>
    <n v="5.31"/>
    <s v="Alive"/>
    <n v="84"/>
    <n v="162"/>
    <n v="64"/>
    <n v="42"/>
    <s v="Moderate"/>
    <n v="0"/>
    <n v="0.29139999999999999"/>
    <n v="5.3099999999999994E-2"/>
    <d v="1899-12-30T00:11:00"/>
  </r>
  <r>
    <n v="56"/>
    <d v="2020-01-12T11:00:00"/>
    <d v="2020-01-12T00:00:00"/>
    <s v="11:00"/>
    <d v="2020-01-15T07:55:00"/>
    <d v="2020-01-15T00:00:00"/>
    <d v="1899-12-30T07:55:00"/>
    <n v="3"/>
    <x v="2"/>
    <x v="2"/>
    <x v="0"/>
    <n v="71"/>
    <n v="9.09"/>
    <n v="3.75"/>
    <s v="Alive"/>
    <n v="92"/>
    <n v="164"/>
    <n v="76"/>
    <n v="55"/>
    <s v="Good"/>
    <n v="0"/>
    <n v="9.0899999999999995E-2"/>
    <n v="3.7499999999999999E-2"/>
    <d v="1900-01-01T20:55:00"/>
  </r>
  <r>
    <n v="57"/>
    <d v="2020-01-14T10:56:00"/>
    <d v="2020-01-14T00:00:00"/>
    <s v="10:56"/>
    <d v="2020-01-15T08:01:00"/>
    <d v="2020-01-15T00:00:00"/>
    <d v="1899-12-30T08:01:00"/>
    <n v="6"/>
    <x v="1"/>
    <x v="0"/>
    <x v="1"/>
    <n v="83"/>
    <n v="9.52"/>
    <n v="1.33"/>
    <s v="Alive"/>
    <n v="62"/>
    <n v="160"/>
    <n v="79"/>
    <n v="60"/>
    <s v="Good"/>
    <n v="0"/>
    <n v="9.5199999999999993E-2"/>
    <n v="1.3300000000000001E-2"/>
    <d v="1899-12-30T21:05:00"/>
  </r>
  <r>
    <n v="58"/>
    <d v="2020-01-15T08:15:00"/>
    <d v="2020-01-15T00:00:00"/>
    <s v="08:15"/>
    <d v="2020-01-15T13:05:00"/>
    <d v="2020-01-15T00:00:00"/>
    <d v="1899-12-30T13:05:00"/>
    <n v="3"/>
    <x v="1"/>
    <x v="2"/>
    <x v="11"/>
    <n v="74"/>
    <n v="2.36"/>
    <n v="0.83"/>
    <s v="Alive"/>
    <n v="152"/>
    <n v="148"/>
    <n v="48"/>
    <n v="35"/>
    <s v="Moderate"/>
    <n v="0"/>
    <n v="2.3599999999999999E-2"/>
    <n v="8.3000000000000001E-3"/>
    <d v="1899-12-30T04:50:00"/>
  </r>
  <r>
    <n v="59"/>
    <d v="2020-01-15T08:02:00"/>
    <d v="2020-01-15T00:00:00"/>
    <s v="08:02"/>
    <d v="2020-01-15T13:40:00"/>
    <d v="2020-01-15T00:00:00"/>
    <d v="1899-12-30T13:40:00"/>
    <n v="6"/>
    <x v="1"/>
    <x v="0"/>
    <x v="1"/>
    <n v="62"/>
    <n v="2.76"/>
    <n v="0.81"/>
    <s v="Alive"/>
    <n v="64"/>
    <n v="175"/>
    <n v="98"/>
    <n v="55"/>
    <s v="Good"/>
    <n v="0"/>
    <n v="2.76E-2"/>
    <n v="8.1000000000000013E-3"/>
    <d v="1899-12-30T05:38:00"/>
  </r>
  <r>
    <n v="60"/>
    <d v="2020-01-14T16:02:00"/>
    <d v="2020-01-14T00:00:00"/>
    <s v="16:02"/>
    <d v="2020-01-15T14:25:00"/>
    <d v="2020-01-15T00:00:00"/>
    <d v="1899-12-30T14:25:00"/>
    <n v="5"/>
    <x v="0"/>
    <x v="2"/>
    <x v="0"/>
    <n v="80"/>
    <n v="16.170000000000002"/>
    <n v="7.86"/>
    <s v="Alive"/>
    <n v="109"/>
    <n v="175"/>
    <n v="101"/>
    <n v="65"/>
    <s v="Good"/>
    <n v="0"/>
    <n v="0.16170000000000001"/>
    <n v="7.8600000000000003E-2"/>
    <d v="1899-12-30T22:23:00"/>
  </r>
  <r>
    <n v="61"/>
    <d v="2020-01-15T11:00:00"/>
    <d v="2020-01-15T00:00:00"/>
    <s v="11:00"/>
    <d v="2020-01-16T08:07:00"/>
    <d v="2020-01-16T00:00:00"/>
    <d v="1899-12-30T08:07:00"/>
    <n v="2"/>
    <x v="2"/>
    <x v="3"/>
    <x v="7"/>
    <n v="77"/>
    <n v="10.86"/>
    <n v="4.08"/>
    <s v="Alive"/>
    <n v="63"/>
    <n v="173"/>
    <n v="72"/>
    <n v="40"/>
    <s v="Moderate"/>
    <n v="0"/>
    <n v="0.10859999999999999"/>
    <n v="4.0800000000000003E-2"/>
    <d v="1899-12-30T21:07:00"/>
  </r>
  <r>
    <n v="62"/>
    <d v="2020-01-15T19:00:00"/>
    <d v="2020-01-15T00:00:00"/>
    <s v="19:00"/>
    <d v="2020-01-16T08:12:00"/>
    <d v="2020-01-16T00:00:00"/>
    <d v="1899-12-30T08:12:00"/>
    <n v="1"/>
    <x v="1"/>
    <x v="4"/>
    <x v="6"/>
    <n v="61"/>
    <n v="13.18"/>
    <n v="6.66"/>
    <s v="Alive"/>
    <n v="133"/>
    <n v="174"/>
    <n v="75"/>
    <n v="55"/>
    <s v="Good"/>
    <n v="0"/>
    <n v="0.1318"/>
    <n v="6.6600000000000006E-2"/>
    <d v="1899-12-30T13:12:00"/>
  </r>
  <r>
    <n v="63"/>
    <d v="2020-01-15T13:50:00"/>
    <d v="2020-01-15T00:00:00"/>
    <s v="13:50"/>
    <d v="2020-01-16T08:17:00"/>
    <d v="2020-01-16T00:00:00"/>
    <d v="1899-12-30T08:17:00"/>
    <n v="6"/>
    <x v="1"/>
    <x v="0"/>
    <x v="9"/>
    <n v="58"/>
    <n v="2.08"/>
    <n v="0.69"/>
    <s v="Alive"/>
    <n v="109"/>
    <n v="166"/>
    <n v="97"/>
    <n v="60"/>
    <s v="Good"/>
    <n v="0"/>
    <n v="2.0799999999999999E-2"/>
    <n v="6.8999999999999999E-3"/>
    <d v="1899-12-30T18:27:00"/>
  </r>
  <r>
    <n v="64"/>
    <d v="2020-01-15T10:41:00"/>
    <d v="2020-01-15T00:00:00"/>
    <s v="10:41"/>
    <d v="2020-01-16T08:18:00"/>
    <d v="2020-01-16T00:00:00"/>
    <d v="1899-12-30T08:18:00"/>
    <n v="5"/>
    <x v="1"/>
    <x v="3"/>
    <x v="12"/>
    <n v="79"/>
    <n v="14.08"/>
    <n v="3.23"/>
    <s v="Alive"/>
    <n v="137"/>
    <n v="171"/>
    <n v="128"/>
    <n v="55"/>
    <s v="Good"/>
    <n v="0"/>
    <n v="0.14080000000000001"/>
    <n v="3.2300000000000002E-2"/>
    <d v="1899-12-30T21:37:00"/>
  </r>
  <r>
    <n v="65"/>
    <d v="2020-01-14T08:05:00"/>
    <d v="2020-01-14T00:00:00"/>
    <s v="08:05"/>
    <d v="2020-01-16T08:38:00"/>
    <d v="2020-01-16T00:00:00"/>
    <d v="1899-12-30T08:38:00"/>
    <n v="3"/>
    <x v="0"/>
    <x v="2"/>
    <x v="1"/>
    <n v="76"/>
    <n v="70.94"/>
    <n v="30.17"/>
    <s v="Alive"/>
    <n v="93"/>
    <n v="168"/>
    <n v="77"/>
    <n v="60"/>
    <s v="Good"/>
    <n v="0"/>
    <n v="0.70940000000000003"/>
    <n v="0.30170000000000002"/>
    <d v="1900-01-01T00:33:00"/>
  </r>
  <r>
    <n v="66"/>
    <d v="2020-01-15T11:00:00"/>
    <d v="2020-01-15T00:00:00"/>
    <s v="11:00"/>
    <d v="2020-01-16T11:56:00"/>
    <d v="2020-01-16T00:00:00"/>
    <d v="1899-12-30T11:56:00"/>
    <n v="6"/>
    <x v="2"/>
    <x v="2"/>
    <x v="9"/>
    <n v="78"/>
    <n v="3.06"/>
    <n v="1.1399999999999999"/>
    <s v="Alive"/>
    <n v="91"/>
    <n v="166"/>
    <n v="84"/>
    <n v="61"/>
    <s v="Good"/>
    <n v="0"/>
    <n v="3.0600000000000002E-2"/>
    <n v="1.1399999999999999E-2"/>
    <d v="1899-12-31T00:56:00"/>
  </r>
  <r>
    <n v="67"/>
    <d v="2020-01-15T14:39:00"/>
    <d v="2020-01-15T00:00:00"/>
    <s v="14:39"/>
    <d v="2020-01-16T12:44:00"/>
    <d v="2020-01-16T00:00:00"/>
    <d v="1899-12-30T12:44:00"/>
    <n v="3"/>
    <x v="1"/>
    <x v="0"/>
    <x v="1"/>
    <n v="66"/>
    <n v="3.57"/>
    <n v="0.9"/>
    <s v="Alive"/>
    <n v="98"/>
    <n v="185"/>
    <n v="106"/>
    <n v="40"/>
    <s v="Moderate"/>
    <n v="0"/>
    <n v="3.5699999999999996E-2"/>
    <n v="9.0000000000000011E-3"/>
    <d v="1899-12-30T22:05:00"/>
  </r>
  <r>
    <n v="68"/>
    <d v="2020-01-15T06:32:00"/>
    <d v="2020-01-15T00:00:00"/>
    <s v="06:32"/>
    <d v="2020-01-16T13:35:00"/>
    <d v="2020-01-16T00:00:00"/>
    <d v="1899-12-30T13:35:00"/>
    <n v="2"/>
    <x v="2"/>
    <x v="2"/>
    <x v="7"/>
    <n v="64"/>
    <n v="1.23"/>
    <n v="0.86"/>
    <s v="Alive"/>
    <n v="75"/>
    <n v="168"/>
    <n v="75"/>
    <n v="50"/>
    <s v="Moderate"/>
    <n v="0"/>
    <n v="1.23E-2"/>
    <n v="8.6E-3"/>
    <d v="1899-12-31T07:03:00"/>
  </r>
  <r>
    <n v="69"/>
    <d v="2020-01-14T10:42:00"/>
    <d v="2020-01-14T00:00:00"/>
    <s v="10:42"/>
    <d v="2020-01-17T07:59:00"/>
    <d v="2020-01-17T00:00:00"/>
    <d v="1899-12-30T07:59:00"/>
    <n v="3"/>
    <x v="2"/>
    <x v="0"/>
    <x v="8"/>
    <n v="78"/>
    <n v="5.14"/>
    <n v="1.1399999999999999"/>
    <s v="Alive"/>
    <n v="71"/>
    <n v="166"/>
    <n v="81"/>
    <n v="55"/>
    <s v="Good"/>
    <n v="0"/>
    <n v="5.1399999999999994E-2"/>
    <n v="1.1399999999999999E-2"/>
    <d v="1900-01-01T21:17:00"/>
  </r>
  <r>
    <n v="70"/>
    <d v="2020-01-16T11:00:00"/>
    <d v="2020-01-16T00:00:00"/>
    <s v="11:00"/>
    <d v="2020-01-17T08:07:00"/>
    <d v="2020-01-17T00:00:00"/>
    <d v="1899-12-30T08:07:00"/>
    <n v="5"/>
    <x v="2"/>
    <x v="2"/>
    <x v="6"/>
    <n v="57"/>
    <n v="0.88"/>
    <n v="0.77"/>
    <s v="Alive"/>
    <n v="68"/>
    <n v="179"/>
    <n v="79"/>
    <n v="63"/>
    <s v="Good"/>
    <n v="0"/>
    <n v="8.8000000000000005E-3"/>
    <n v="7.7000000000000002E-3"/>
    <d v="1899-12-30T21:07:00"/>
  </r>
  <r>
    <n v="71"/>
    <d v="2020-01-13T10:46:00"/>
    <d v="2020-01-13T00:00:00"/>
    <s v="10:46"/>
    <d v="2020-01-17T08:17:00"/>
    <d v="2020-01-17T00:00:00"/>
    <d v="1899-12-30T08:17:00"/>
    <n v="2"/>
    <x v="2"/>
    <x v="3"/>
    <x v="7"/>
    <n v="81"/>
    <n v="6.21"/>
    <n v="3.81"/>
    <s v="Alive"/>
    <n v="63"/>
    <n v="173"/>
    <n v="68"/>
    <n v="65"/>
    <s v="Good"/>
    <n v="0"/>
    <n v="6.2100000000000002E-2"/>
    <n v="3.8100000000000002E-2"/>
    <d v="1900-01-02T21:31:00"/>
  </r>
  <r>
    <n v="72"/>
    <d v="2020-01-16T13:48:00"/>
    <d v="2020-01-16T00:00:00"/>
    <s v="13:48"/>
    <d v="2020-01-17T11:45:00"/>
    <d v="2020-01-17T00:00:00"/>
    <d v="1899-12-30T11:45:00"/>
    <n v="6"/>
    <x v="1"/>
    <x v="0"/>
    <x v="11"/>
    <n v="75"/>
    <n v="11.47"/>
    <n v="6.82"/>
    <s v="Alive"/>
    <n v="61"/>
    <n v="159"/>
    <n v="71"/>
    <n v="55"/>
    <s v="Good"/>
    <n v="0"/>
    <n v="0.11470000000000001"/>
    <n v="6.8199999999999997E-2"/>
    <d v="1899-12-30T21:57:00"/>
  </r>
  <r>
    <n v="73"/>
    <d v="2020-01-16T13:33:00"/>
    <d v="2020-01-16T00:00:00"/>
    <s v="13:33"/>
    <d v="2020-01-17T13:21:00"/>
    <d v="2020-01-17T00:00:00"/>
    <d v="1899-12-30T13:21:00"/>
    <n v="5"/>
    <x v="1"/>
    <x v="4"/>
    <x v="6"/>
    <n v="29"/>
    <n v="4.6500000000000004"/>
    <n v="1.83"/>
    <s v="Alive"/>
    <n v="95"/>
    <n v="166"/>
    <n v="84"/>
    <n v="45"/>
    <s v="Moderate"/>
    <n v="0"/>
    <n v="4.6500000000000007E-2"/>
    <n v="1.83E-2"/>
    <d v="1899-12-30T23:48:00"/>
  </r>
  <r>
    <n v="74"/>
    <d v="2020-01-16T13:56:00"/>
    <d v="2020-01-16T00:00:00"/>
    <s v="13:56"/>
    <d v="2020-01-17T14:39:00"/>
    <d v="2020-01-17T00:00:00"/>
    <d v="1899-12-30T14:39:00"/>
    <n v="3"/>
    <x v="1"/>
    <x v="0"/>
    <x v="8"/>
    <n v="83"/>
    <n v="9.52"/>
    <n v="1.2"/>
    <s v="Alive"/>
    <n v="126"/>
    <n v="178"/>
    <n v="88"/>
    <n v="61"/>
    <s v="Good"/>
    <n v="0"/>
    <n v="9.5199999999999993E-2"/>
    <n v="1.2E-2"/>
    <d v="1899-12-31T00:43:00"/>
  </r>
  <r>
    <n v="75"/>
    <d v="2020-01-17T16:00:00"/>
    <d v="2020-01-17T00:00:00"/>
    <s v="16:00"/>
    <d v="2020-01-18T08:20:00"/>
    <d v="2020-01-18T00:00:00"/>
    <d v="1899-12-30T08:20:00"/>
    <n v="2"/>
    <x v="1"/>
    <x v="0"/>
    <x v="8"/>
    <n v="70"/>
    <n v="3.08"/>
    <n v="1.54"/>
    <s v="Alive"/>
    <n v="78"/>
    <n v="174"/>
    <n v="83"/>
    <n v="55"/>
    <s v="Good"/>
    <n v="0"/>
    <n v="3.0800000000000001E-2"/>
    <n v="1.54E-2"/>
    <d v="1899-12-30T16:20:00"/>
  </r>
  <r>
    <n v="76"/>
    <d v="2020-01-19T13:00:00"/>
    <d v="2020-01-19T00:00:00"/>
    <s v="13:00"/>
    <d v="2020-01-20T08:05:00"/>
    <d v="2020-01-20T00:00:00"/>
    <d v="1899-12-30T08:05:00"/>
    <n v="3"/>
    <x v="1"/>
    <x v="0"/>
    <x v="3"/>
    <n v="74"/>
    <n v="5.46"/>
    <n v="1.67"/>
    <s v="Alive"/>
    <n v="950"/>
    <n v="183"/>
    <n v="87"/>
    <n v="44"/>
    <s v="Good"/>
    <n v="0"/>
    <n v="5.4600000000000003E-2"/>
    <n v="1.67E-2"/>
    <d v="1899-12-30T19:05:00"/>
  </r>
  <r>
    <n v="77"/>
    <d v="2020-01-19T14:00:00"/>
    <d v="2020-01-19T00:00:00"/>
    <s v="14:00"/>
    <d v="2020-01-20T08:05:00"/>
    <d v="2020-01-20T00:00:00"/>
    <d v="1899-12-30T08:05:00"/>
    <n v="6"/>
    <x v="1"/>
    <x v="2"/>
    <x v="1"/>
    <n v="71"/>
    <n v="1.94"/>
    <n v="0.92"/>
    <s v="Alive"/>
    <n v="78"/>
    <n v="162"/>
    <n v="83"/>
    <n v="65"/>
    <s v="Good"/>
    <n v="0"/>
    <n v="1.9400000000000001E-2"/>
    <n v="9.1999999999999998E-3"/>
    <d v="1899-12-30T18:05:00"/>
  </r>
  <r>
    <n v="78"/>
    <d v="2020-01-19T14:00:00"/>
    <d v="2020-01-19T00:00:00"/>
    <s v="14:00"/>
    <d v="2020-01-20T08:11:00"/>
    <d v="2020-01-20T00:00:00"/>
    <d v="1899-12-30T08:11:00"/>
    <n v="5"/>
    <x v="1"/>
    <x v="3"/>
    <x v="12"/>
    <n v="60"/>
    <n v="2.42"/>
    <n v="1.58"/>
    <s v="Alive"/>
    <n v="107"/>
    <n v="164"/>
    <n v="82"/>
    <n v="45"/>
    <s v="Moderate"/>
    <n v="0"/>
    <n v="2.4199999999999999E-2"/>
    <n v="1.5800000000000002E-2"/>
    <d v="1899-12-30T18:11:00"/>
  </r>
  <r>
    <n v="79"/>
    <d v="2020-01-20T07:48:00"/>
    <d v="2020-01-20T00:00:00"/>
    <s v="07:48"/>
    <d v="2020-01-20T10:15:00"/>
    <d v="2020-01-20T00:00:00"/>
    <d v="1899-12-30T10:15:00"/>
    <n v="2"/>
    <x v="1"/>
    <x v="0"/>
    <x v="5"/>
    <n v="87"/>
    <n v="13.06"/>
    <n v="3.74"/>
    <s v="Alive"/>
    <n v="73"/>
    <n v="166"/>
    <n v="61"/>
    <n v="25"/>
    <s v="Poor"/>
    <n v="0"/>
    <n v="0.13059999999999999"/>
    <n v="3.7400000000000003E-2"/>
    <d v="1899-12-30T02:27:00"/>
  </r>
  <r>
    <n v="80"/>
    <d v="2020-01-08T17:28:00"/>
    <d v="2020-01-08T00:00:00"/>
    <s v="17:28"/>
    <d v="2020-01-20T12:01:00"/>
    <d v="2020-01-20T00:00:00"/>
    <d v="1899-12-30T12:01:00"/>
    <n v="3"/>
    <x v="2"/>
    <x v="2"/>
    <x v="3"/>
    <n v="70"/>
    <n v="3.09"/>
    <n v="1.18"/>
    <s v="Alive"/>
    <n v="107"/>
    <n v="172"/>
    <n v="87"/>
    <n v="47"/>
    <s v="Moderate"/>
    <n v="0"/>
    <n v="3.0899999999999997E-2"/>
    <n v="1.18E-2"/>
    <d v="1900-01-10T18:33:00"/>
  </r>
  <r>
    <n v="81"/>
    <d v="2020-01-20T07:32:00"/>
    <d v="2020-01-20T00:00:00"/>
    <s v="07:32"/>
    <d v="2020-01-20T13:07:00"/>
    <d v="2020-01-20T00:00:00"/>
    <d v="1899-12-30T13:07:00"/>
    <n v="5"/>
    <x v="1"/>
    <x v="3"/>
    <x v="12"/>
    <n v="83"/>
    <n v="26.63"/>
    <n v="7.95"/>
    <s v="Alive"/>
    <n v="95"/>
    <n v="171"/>
    <n v="99"/>
    <n v="55"/>
    <s v="Good"/>
    <n v="0"/>
    <n v="0.26629999999999998"/>
    <n v="7.9500000000000001E-2"/>
    <d v="1899-12-30T05:35:00"/>
  </r>
  <r>
    <n v="82"/>
    <d v="2020-01-10T14:30:00"/>
    <d v="2020-01-10T00:00:00"/>
    <s v="14:30"/>
    <d v="2020-01-20T15:06:00"/>
    <d v="2020-01-20T00:00:00"/>
    <d v="1899-12-30T15:06:00"/>
    <n v="2"/>
    <x v="2"/>
    <x v="2"/>
    <x v="0"/>
    <n v="52"/>
    <n v="1.51"/>
    <n v="0.8"/>
    <s v="Alive"/>
    <n v="72"/>
    <n v="174"/>
    <n v="75"/>
    <n v="43"/>
    <s v="Moderate"/>
    <n v="0"/>
    <n v="1.5100000000000001E-2"/>
    <n v="8.0000000000000002E-3"/>
    <d v="1900-01-09T00:36:00"/>
  </r>
  <r>
    <n v="83"/>
    <d v="2020-01-20T13:12:00"/>
    <d v="2020-01-20T00:00:00"/>
    <s v="13:12"/>
    <d v="2020-01-21T08:05:00"/>
    <d v="2020-01-21T00:00:00"/>
    <d v="1899-12-30T08:05:00"/>
    <n v="5"/>
    <x v="1"/>
    <x v="3"/>
    <x v="4"/>
    <n v="68"/>
    <n v="4.3600000000000003"/>
    <n v="1.74"/>
    <s v="Alive"/>
    <n v="67"/>
    <n v="178"/>
    <n v="80"/>
    <n v="60"/>
    <s v="Good"/>
    <n v="0"/>
    <n v="4.36E-2"/>
    <n v="1.7399999999999999E-2"/>
    <d v="1899-12-30T18:53:00"/>
  </r>
  <r>
    <n v="84"/>
    <d v="2020-01-20T13:46:00"/>
    <d v="2020-01-20T00:00:00"/>
    <s v="13:46"/>
    <d v="2020-01-21T08:14:00"/>
    <d v="2020-01-21T00:00:00"/>
    <d v="1899-12-30T08:14:00"/>
    <n v="6"/>
    <x v="1"/>
    <x v="0"/>
    <x v="5"/>
    <n v="72"/>
    <n v="5.24"/>
    <n v="3.13"/>
    <s v="Alive"/>
    <n v="82"/>
    <n v="152"/>
    <n v="64"/>
    <n v="55"/>
    <s v="Good"/>
    <n v="0"/>
    <n v="5.2400000000000002E-2"/>
    <n v="3.1300000000000001E-2"/>
    <d v="1899-12-30T18:28:00"/>
  </r>
  <r>
    <n v="85"/>
    <d v="2020-01-21T07:02:00"/>
    <d v="2020-01-21T00:00:00"/>
    <s v="07:02"/>
    <d v="2020-01-21T08:20:00"/>
    <d v="2020-01-21T00:00:00"/>
    <d v="1899-12-30T08:20:00"/>
    <n v="2"/>
    <x v="1"/>
    <x v="0"/>
    <x v="2"/>
    <n v="57"/>
    <n v="2.27"/>
    <n v="0.69"/>
    <s v="Alive"/>
    <n v="80"/>
    <n v="164"/>
    <n v="80"/>
    <n v="59"/>
    <s v="Good"/>
    <n v="0"/>
    <n v="2.2700000000000001E-2"/>
    <n v="6.8999999999999999E-3"/>
    <d v="1899-12-30T01:18:00"/>
  </r>
  <r>
    <n v="86"/>
    <d v="2020-01-21T07:47:00"/>
    <d v="2020-01-21T00:00:00"/>
    <s v="07:47"/>
    <d v="2020-01-21T08:51:00"/>
    <d v="2020-01-21T00:00:00"/>
    <d v="1899-12-30T08:51:00"/>
    <n v="6"/>
    <x v="1"/>
    <x v="3"/>
    <x v="5"/>
    <n v="55"/>
    <n v="3.37"/>
    <n v="1.44"/>
    <s v="Alive"/>
    <n v="70"/>
    <n v="167"/>
    <n v="86"/>
    <n v="55"/>
    <s v="Good"/>
    <n v="0"/>
    <n v="3.3700000000000001E-2"/>
    <n v="1.44E-2"/>
    <d v="1899-12-30T01:04:00"/>
  </r>
  <r>
    <n v="87"/>
    <d v="2020-01-14T10:35:00"/>
    <d v="2020-01-14T00:00:00"/>
    <s v="10:35"/>
    <d v="2020-01-21T08:58:00"/>
    <d v="2020-01-21T00:00:00"/>
    <d v="1899-12-30T08:58:00"/>
    <n v="3"/>
    <x v="2"/>
    <x v="2"/>
    <x v="1"/>
    <n v="79"/>
    <n v="5.23"/>
    <n v="2.12"/>
    <s v="Alive"/>
    <n v="74"/>
    <n v="176"/>
    <n v="110"/>
    <n v="65"/>
    <s v="Good"/>
    <n v="0"/>
    <n v="5.2300000000000006E-2"/>
    <n v="2.12E-2"/>
    <d v="1900-01-05T22:23:00"/>
  </r>
  <r>
    <n v="88"/>
    <d v="2020-01-21T07:32:00"/>
    <d v="2020-01-21T00:00:00"/>
    <s v="07:32"/>
    <d v="2020-01-21T14:13:00"/>
    <d v="2020-01-21T00:00:00"/>
    <d v="1899-12-30T14:13:00"/>
    <n v="3"/>
    <x v="1"/>
    <x v="3"/>
    <x v="1"/>
    <n v="70"/>
    <n v="4.95"/>
    <n v="1.84"/>
    <s v="Alive"/>
    <n v="65"/>
    <n v="170"/>
    <n v="51"/>
    <n v="50"/>
    <s v="Moderate"/>
    <n v="0"/>
    <n v="4.9500000000000002E-2"/>
    <n v="1.84E-2"/>
    <d v="1899-12-30T06:41:00"/>
  </r>
  <r>
    <n v="89"/>
    <d v="2020-01-08T17:00:00"/>
    <d v="2020-01-08T00:00:00"/>
    <s v="17:00"/>
    <d v="2020-01-22T08:13:00"/>
    <d v="2020-01-22T00:00:00"/>
    <d v="1899-12-30T08:13:00"/>
    <n v="6"/>
    <x v="2"/>
    <x v="2"/>
    <x v="12"/>
    <n v="72"/>
    <n v="3.11"/>
    <n v="1.64"/>
    <s v="Alive"/>
    <n v="131"/>
    <n v="173"/>
    <n v="88"/>
    <n v="45"/>
    <s v="Moderate"/>
    <n v="0"/>
    <n v="3.1099999999999999E-2"/>
    <n v="1.6399999999999998E-2"/>
    <d v="1900-01-12T15:13:00"/>
  </r>
  <r>
    <n v="90"/>
    <d v="2020-01-21T13:25:00"/>
    <d v="2020-01-21T00:00:00"/>
    <s v="13:25"/>
    <d v="2020-01-22T08:18:00"/>
    <d v="2020-01-22T00:00:00"/>
    <d v="1899-12-30T08:18:00"/>
    <n v="5"/>
    <x v="1"/>
    <x v="0"/>
    <x v="8"/>
    <n v="72"/>
    <n v="5.24"/>
    <n v="2.97"/>
    <s v="Alive"/>
    <n v="65"/>
    <n v="171"/>
    <n v="100"/>
    <n v="70"/>
    <s v="Good"/>
    <n v="0"/>
    <n v="5.2400000000000002E-2"/>
    <n v="2.9700000000000001E-2"/>
    <d v="1899-12-30T18:53:00"/>
  </r>
  <r>
    <n v="91"/>
    <d v="2020-01-21T13:58:00"/>
    <d v="2020-01-21T00:00:00"/>
    <s v="13:58"/>
    <d v="2020-01-22T08:30:00"/>
    <d v="2020-01-22T00:00:00"/>
    <d v="1899-12-30T08:30:00"/>
    <n v="2"/>
    <x v="1"/>
    <x v="0"/>
    <x v="2"/>
    <n v="42"/>
    <n v="1.51"/>
    <n v="0.68"/>
    <s v="Alive"/>
    <n v="71"/>
    <n v="165"/>
    <n v="69"/>
    <n v="54"/>
    <s v="Good"/>
    <n v="0"/>
    <n v="1.5100000000000001E-2"/>
    <n v="6.8000000000000005E-3"/>
    <d v="1899-12-30T18:32:00"/>
  </r>
  <r>
    <n v="92"/>
    <d v="2020-01-22T08:03:00"/>
    <d v="2020-01-22T00:00:00"/>
    <s v="08:03"/>
    <d v="2020-01-22T10:45:00"/>
    <d v="2020-01-22T00:00:00"/>
    <d v="1899-12-30T10:45:00"/>
    <n v="3"/>
    <x v="1"/>
    <x v="4"/>
    <x v="5"/>
    <n v="65"/>
    <n v="6.78"/>
    <n v="2.85"/>
    <s v="Alive"/>
    <n v="76"/>
    <n v="175"/>
    <n v="100"/>
    <n v="67"/>
    <s v="Good"/>
    <n v="0"/>
    <n v="6.7799999999999999E-2"/>
    <n v="2.8500000000000001E-2"/>
    <d v="1899-12-30T02:42:00"/>
  </r>
  <r>
    <n v="93"/>
    <d v="2020-01-22T07:48:00"/>
    <d v="2020-01-22T00:00:00"/>
    <s v="07:48"/>
    <d v="2020-01-22T15:52:00"/>
    <d v="2020-01-22T00:00:00"/>
    <d v="1899-12-30T15:52:00"/>
    <n v="5"/>
    <x v="1"/>
    <x v="0"/>
    <x v="8"/>
    <n v="83"/>
    <n v="9.52"/>
    <n v="3.08"/>
    <s v="Alive"/>
    <n v="172"/>
    <n v="172"/>
    <n v="85"/>
    <n v="60"/>
    <s v="Good"/>
    <n v="0"/>
    <n v="9.5199999999999993E-2"/>
    <n v="3.0800000000000001E-2"/>
    <d v="1899-12-30T08:04:00"/>
  </r>
  <r>
    <n v="94"/>
    <d v="2020-01-22T13:35:00"/>
    <d v="2020-01-22T00:00:00"/>
    <s v="13:35"/>
    <d v="2020-01-23T08:02:00"/>
    <d v="2020-01-23T00:00:00"/>
    <d v="1899-12-30T08:02:00"/>
    <n v="3"/>
    <x v="1"/>
    <x v="3"/>
    <x v="11"/>
    <n v="70"/>
    <n v="4.95"/>
    <n v="2.48"/>
    <s v="Alive"/>
    <n v="79"/>
    <n v="174"/>
    <n v="91"/>
    <n v="50"/>
    <s v="Moderate"/>
    <n v="0"/>
    <n v="4.9500000000000002E-2"/>
    <n v="2.4799999999999999E-2"/>
    <d v="1899-12-30T18:27:00"/>
  </r>
  <r>
    <n v="95"/>
    <d v="2020-01-10T11:25:00"/>
    <d v="2020-01-10T00:00:00"/>
    <s v="11:25"/>
    <d v="2020-01-23T08:16:00"/>
    <d v="2020-01-23T00:00:00"/>
    <d v="1899-12-30T08:16:00"/>
    <n v="2"/>
    <x v="2"/>
    <x v="2"/>
    <x v="5"/>
    <n v="70"/>
    <n v="19.100000000000001"/>
    <n v="17.420000000000002"/>
    <s v="Alive"/>
    <n v="125"/>
    <n v="180"/>
    <n v="105"/>
    <n v="58"/>
    <s v="Good"/>
    <n v="0"/>
    <n v="0.191"/>
    <n v="0.17420000000000002"/>
    <d v="1900-01-11T20:51:00"/>
  </r>
  <r>
    <n v="96"/>
    <d v="2020-01-22T14:07:00"/>
    <d v="2020-01-22T00:00:00"/>
    <s v="14:07"/>
    <d v="2020-01-23T08:22:00"/>
    <d v="2020-01-23T00:00:00"/>
    <d v="1899-12-30T08:22:00"/>
    <n v="5"/>
    <x v="1"/>
    <x v="0"/>
    <x v="12"/>
    <n v="74"/>
    <n v="8.08"/>
    <n v="4.37"/>
    <s v="Alive"/>
    <n v="88"/>
    <n v="174"/>
    <n v="92"/>
    <n v="44"/>
    <s v="Moderate"/>
    <n v="0"/>
    <n v="8.0799999999999997E-2"/>
    <n v="4.3700000000000003E-2"/>
    <d v="1899-12-30T18:15:00"/>
  </r>
  <r>
    <n v="97"/>
    <d v="2020-01-22T10:30:00"/>
    <d v="2020-01-22T00:00:00"/>
    <s v="10:30"/>
    <d v="2020-01-23T08:23:00"/>
    <d v="2020-01-23T00:00:00"/>
    <d v="1899-12-30T08:23:00"/>
    <n v="6"/>
    <x v="2"/>
    <x v="2"/>
    <x v="9"/>
    <n v="77"/>
    <n v="7.7"/>
    <n v="2.08"/>
    <s v="Alive"/>
    <n v="105"/>
    <n v="164"/>
    <n v="86"/>
    <n v="14"/>
    <s v="Very Poor"/>
    <n v="0"/>
    <n v="7.6999999999999999E-2"/>
    <n v="2.0799999999999999E-2"/>
    <d v="1899-12-30T21:53:00"/>
  </r>
  <r>
    <n v="98"/>
    <d v="2020-01-23T07:51:00"/>
    <d v="2020-01-23T00:00:00"/>
    <s v="07:51"/>
    <d v="2020-01-23T12:10:00"/>
    <d v="2020-01-23T00:00:00"/>
    <d v="1899-12-30T12:10:00"/>
    <n v="5"/>
    <x v="1"/>
    <x v="0"/>
    <x v="12"/>
    <n v="79"/>
    <n v="41.86"/>
    <n v="14.21"/>
    <s v="Alive"/>
    <n v="127"/>
    <n v="175"/>
    <n v="105"/>
    <n v="45"/>
    <s v="Moderate"/>
    <n v="0"/>
    <n v="0.41859999999999997"/>
    <n v="0.1421"/>
    <d v="1899-12-30T04:19:00"/>
  </r>
  <r>
    <n v="99"/>
    <d v="2020-01-23T08:00:00"/>
    <d v="2020-01-23T00:00:00"/>
    <s v="08:00"/>
    <d v="2020-01-23T13:33:00"/>
    <d v="2020-01-23T00:00:00"/>
    <d v="1899-12-30T13:33:00"/>
    <n v="2"/>
    <x v="1"/>
    <x v="2"/>
    <x v="5"/>
    <n v="52"/>
    <n v="0.88"/>
    <n v="0.56000000000000005"/>
    <s v="Alive"/>
    <n v="70"/>
    <n v="158"/>
    <n v="87"/>
    <n v="60"/>
    <s v="Good"/>
    <n v="0"/>
    <n v="8.8000000000000005E-3"/>
    <n v="5.6000000000000008E-3"/>
    <d v="1899-12-30T05:33:00"/>
  </r>
  <r>
    <n v="100"/>
    <d v="2020-01-23T14:14:00"/>
    <d v="2020-01-23T00:00:00"/>
    <s v="14:14"/>
    <d v="2020-01-24T07:57:00"/>
    <d v="2020-01-24T00:00:00"/>
    <d v="1899-12-30T07:57:00"/>
    <n v="6"/>
    <x v="1"/>
    <x v="0"/>
    <x v="8"/>
    <n v="73"/>
    <n v="3.74"/>
    <n v="0.73"/>
    <s v="Alive"/>
    <n v="82"/>
    <n v="182"/>
    <n v="81"/>
    <n v="60"/>
    <s v="Good"/>
    <n v="0"/>
    <n v="3.7400000000000003E-2"/>
    <n v="7.3000000000000001E-3"/>
    <d v="1899-12-30T17:43:00"/>
  </r>
  <r>
    <n v="101"/>
    <d v="2020-01-23T13:43:00"/>
    <d v="2020-01-23T00:00:00"/>
    <s v="13:43"/>
    <d v="2020-01-24T07:58:00"/>
    <d v="2020-01-24T00:00:00"/>
    <d v="1899-12-30T07:58:00"/>
    <n v="2"/>
    <x v="1"/>
    <x v="3"/>
    <x v="7"/>
    <n v="59"/>
    <n v="2.27"/>
    <n v="5.8"/>
    <s v="Alive"/>
    <n v="76"/>
    <n v="162"/>
    <n v="83"/>
    <n v="49"/>
    <s v="Moderate"/>
    <n v="0"/>
    <n v="2.2700000000000001E-2"/>
    <n v="5.7999999999999996E-2"/>
    <d v="1899-12-30T18:15:00"/>
  </r>
  <r>
    <n v="102"/>
    <d v="2020-01-23T10:51:00"/>
    <d v="2020-01-23T00:00:00"/>
    <s v="10:51"/>
    <d v="2020-01-24T08:07:00"/>
    <d v="2020-01-24T00:00:00"/>
    <d v="1899-12-30T08:07:00"/>
    <n v="5"/>
    <x v="1"/>
    <x v="0"/>
    <x v="9"/>
    <n v="52"/>
    <n v="1.51"/>
    <n v="0.5"/>
    <s v="Alive"/>
    <n v="84"/>
    <n v="166"/>
    <n v="109"/>
    <n v="45"/>
    <s v="Moderate"/>
    <n v="0"/>
    <n v="1.5100000000000001E-2"/>
    <n v="5.0000000000000001E-3"/>
    <d v="1899-12-30T21:16:00"/>
  </r>
  <r>
    <n v="103"/>
    <d v="2020-01-24T07:09:00"/>
    <d v="2020-01-24T00:00:00"/>
    <s v="07:09"/>
    <d v="2020-01-24T09:05:00"/>
    <d v="2020-01-24T00:00:00"/>
    <d v="1899-12-30T09:05:00"/>
    <n v="3"/>
    <x v="1"/>
    <x v="2"/>
    <x v="6"/>
    <n v="48"/>
    <n v="1.33"/>
    <n v="0.69"/>
    <s v="Alive"/>
    <n v="80"/>
    <n v="180"/>
    <n v="97"/>
    <n v="42"/>
    <s v="Moderate"/>
    <n v="0"/>
    <n v="1.3300000000000001E-2"/>
    <n v="6.8999999999999999E-3"/>
    <d v="1899-12-30T01:56:00"/>
  </r>
  <r>
    <n v="104"/>
    <d v="2020-01-24T08:00:00"/>
    <d v="2020-01-24T00:00:00"/>
    <s v="08:00"/>
    <d v="2020-01-24T12:40:00"/>
    <d v="2020-01-24T00:00:00"/>
    <d v="1899-12-30T12:40:00"/>
    <n v="5"/>
    <x v="1"/>
    <x v="2"/>
    <x v="9"/>
    <n v="78"/>
    <n v="13.36"/>
    <n v="4.51"/>
    <s v="Alive"/>
    <n v="85"/>
    <n v="180"/>
    <n v="118"/>
    <n v="55"/>
    <s v="Good"/>
    <n v="0"/>
    <n v="0.1336"/>
    <n v="4.5100000000000001E-2"/>
    <d v="1899-12-30T04:40:00"/>
  </r>
  <r>
    <n v="105"/>
    <d v="2020-01-24T07:11:00"/>
    <d v="2020-01-24T00:00:00"/>
    <s v="07:11"/>
    <d v="2020-01-24T13:06:00"/>
    <d v="2020-01-24T00:00:00"/>
    <d v="1899-12-30T13:06:00"/>
    <n v="6"/>
    <x v="1"/>
    <x v="0"/>
    <x v="8"/>
    <n v="68"/>
    <n v="9.5500000000000007"/>
    <n v="10.31"/>
    <s v="Alive"/>
    <n v="95"/>
    <n v="175"/>
    <n v="80"/>
    <n v="65"/>
    <s v="Good"/>
    <n v="0"/>
    <n v="9.5500000000000002E-2"/>
    <n v="0.10310000000000001"/>
    <d v="1899-12-30T05:55:00"/>
  </r>
  <r>
    <n v="107"/>
    <d v="2020-01-24T16:00:00"/>
    <d v="2020-01-24T00:00:00"/>
    <s v="16:00"/>
    <d v="2020-01-25T08:00:00"/>
    <d v="2020-01-25T00:00:00"/>
    <d v="1899-12-30T08:00:00"/>
    <n v="2"/>
    <x v="1"/>
    <x v="4"/>
    <x v="1"/>
    <n v="68"/>
    <n v="8.16"/>
    <n v="5.5"/>
    <s v="Alive"/>
    <n v="121"/>
    <n v="166"/>
    <n v="67"/>
    <n v="64"/>
    <s v="Good"/>
    <n v="0"/>
    <n v="8.1600000000000006E-2"/>
    <n v="5.5E-2"/>
    <d v="1899-12-30T16:00:00"/>
  </r>
  <r>
    <n v="108"/>
    <d v="2020-01-24T14:00:00"/>
    <d v="2020-01-24T00:00:00"/>
    <s v="14:00"/>
    <d v="2020-01-25T08:00:00"/>
    <d v="2020-01-25T00:00:00"/>
    <d v="1899-12-30T08:00:00"/>
    <n v="5"/>
    <x v="1"/>
    <x v="2"/>
    <x v="13"/>
    <n v="75"/>
    <n v="4.0599999999999996"/>
    <n v="1.03"/>
    <s v="Alive"/>
    <n v="83"/>
    <n v="178"/>
    <n v="97"/>
    <n v="55"/>
    <s v="Good"/>
    <n v="0"/>
    <n v="4.0599999999999997E-2"/>
    <n v="1.03E-2"/>
    <d v="1899-12-30T18:00:00"/>
  </r>
  <r>
    <n v="109"/>
    <d v="2020-01-24T16:00:00"/>
    <d v="2020-01-24T00:00:00"/>
    <s v="16:00"/>
    <d v="2020-01-25T13:42:00"/>
    <d v="2020-01-25T00:00:00"/>
    <d v="1899-12-30T13:42:00"/>
    <n v="2"/>
    <x v="1"/>
    <x v="0"/>
    <x v="1"/>
    <n v="76"/>
    <n v="14.34"/>
    <n v="4.18"/>
    <s v="Alive"/>
    <n v="71"/>
    <n v="180"/>
    <n v="83"/>
    <n v="45"/>
    <s v="Moderate"/>
    <n v="0"/>
    <n v="0.1434"/>
    <n v="4.1799999999999997E-2"/>
    <d v="1899-12-30T21:42:00"/>
  </r>
  <r>
    <n v="110"/>
    <d v="2020-01-26T13:39:00"/>
    <d v="2020-01-26T00:00:00"/>
    <s v="13:39"/>
    <d v="2020-01-27T07:54:00"/>
    <d v="2020-01-27T00:00:00"/>
    <d v="1899-12-30T07:54:00"/>
    <n v="2"/>
    <x v="1"/>
    <x v="3"/>
    <x v="11"/>
    <n v="66"/>
    <n v="2.38"/>
    <n v="1.1399999999999999"/>
    <s v="Alive"/>
    <n v="91"/>
    <n v="150"/>
    <n v="63"/>
    <n v="55"/>
    <s v="Good"/>
    <n v="0"/>
    <n v="2.3799999999999998E-2"/>
    <n v="1.1399999999999999E-2"/>
    <d v="1899-12-30T18:15:00"/>
  </r>
  <r>
    <n v="111"/>
    <d v="2020-01-23T11:00:00"/>
    <d v="2020-01-23T00:00:00"/>
    <s v="11:00"/>
    <d v="2020-01-27T07:59:00"/>
    <d v="2020-01-27T00:00:00"/>
    <d v="1899-12-30T07:59:00"/>
    <n v="5"/>
    <x v="2"/>
    <x v="3"/>
    <x v="12"/>
    <n v="75"/>
    <n v="9.9499999999999993"/>
    <n v="5.24"/>
    <s v="Alive"/>
    <n v="83"/>
    <n v="163"/>
    <n v="85"/>
    <n v="50"/>
    <s v="Moderate"/>
    <n v="0"/>
    <n v="9.9499999999999991E-2"/>
    <n v="5.2400000000000002E-2"/>
    <d v="1900-01-02T20:59:00"/>
  </r>
  <r>
    <n v="112"/>
    <d v="2020-01-26T14:00:00"/>
    <d v="2020-01-26T00:00:00"/>
    <s v="14:00"/>
    <d v="2020-01-27T08:30:00"/>
    <d v="2020-01-27T00:00:00"/>
    <d v="1899-12-30T08:30:00"/>
    <n v="6"/>
    <x v="1"/>
    <x v="2"/>
    <x v="1"/>
    <n v="75"/>
    <n v="7.16"/>
    <n v="1.71"/>
    <s v="Alive"/>
    <n v="93"/>
    <n v="150"/>
    <n v="74"/>
    <n v="60"/>
    <s v="Good"/>
    <n v="0"/>
    <n v="7.1599999999999997E-2"/>
    <n v="1.7100000000000001E-2"/>
    <d v="1899-12-30T18:30:00"/>
  </r>
  <r>
    <n v="113"/>
    <d v="2020-01-26T14:00:00"/>
    <d v="2020-01-26T00:00:00"/>
    <s v="14:00"/>
    <d v="2020-01-27T10:37:00"/>
    <d v="2020-01-27T00:00:00"/>
    <d v="1899-12-30T10:37:00"/>
    <n v="3"/>
    <x v="1"/>
    <x v="3"/>
    <x v="6"/>
    <n v="80"/>
    <n v="5.83"/>
    <n v="2.0299999999999998"/>
    <s v="Alive"/>
    <n v="74"/>
    <n v="162"/>
    <n v="59"/>
    <n v="52"/>
    <s v="Good"/>
    <n v="0"/>
    <n v="5.8299999999999998E-2"/>
    <n v="2.0299999999999999E-2"/>
    <d v="1899-12-30T20:37:00"/>
  </r>
  <r>
    <n v="114"/>
    <d v="2020-01-27T08:25:00"/>
    <d v="2020-01-27T00:00:00"/>
    <s v="08:25"/>
    <d v="2020-01-27T12:39:00"/>
    <d v="2020-01-27T00:00:00"/>
    <d v="1899-12-30T12:39:00"/>
    <n v="6"/>
    <x v="2"/>
    <x v="0"/>
    <x v="1"/>
    <n v="81"/>
    <n v="8.44"/>
    <n v="5.86"/>
    <s v="Alive"/>
    <n v="80"/>
    <n v="176"/>
    <n v="84"/>
    <n v="55"/>
    <s v="Good"/>
    <n v="0"/>
    <n v="8.4399999999999989E-2"/>
    <n v="5.8600000000000006E-2"/>
    <d v="1899-12-30T04:14:00"/>
  </r>
  <r>
    <n v="115"/>
    <d v="2020-01-27T07:53:00"/>
    <d v="2020-01-27T00:00:00"/>
    <s v="07:53"/>
    <d v="2020-01-27T13:10:00"/>
    <d v="2020-01-27T00:00:00"/>
    <d v="1899-12-30T13:10:00"/>
    <n v="5"/>
    <x v="1"/>
    <x v="0"/>
    <x v="12"/>
    <n v="57"/>
    <n v="2.27"/>
    <n v="0.76"/>
    <s v="Alive"/>
    <n v="79"/>
    <n v="170"/>
    <n v="82"/>
    <n v="55"/>
    <s v="Good"/>
    <n v="0"/>
    <n v="2.2700000000000001E-2"/>
    <n v="7.6E-3"/>
    <d v="1899-12-30T05:17:00"/>
  </r>
  <r>
    <n v="116"/>
    <d v="2020-01-27T07:20:00"/>
    <d v="2020-01-27T00:00:00"/>
    <s v="07:20"/>
    <d v="2020-01-27T14:42:00"/>
    <d v="2020-01-27T00:00:00"/>
    <d v="1899-12-30T14:42:00"/>
    <n v="2"/>
    <x v="1"/>
    <x v="0"/>
    <x v="11"/>
    <n v="76"/>
    <n v="9.1199999999999992"/>
    <n v="2.41"/>
    <s v="Alive"/>
    <n v="80"/>
    <n v="180"/>
    <n v="104"/>
    <n v="55"/>
    <s v="Good"/>
    <n v="0"/>
    <n v="9.1199999999999989E-2"/>
    <n v="2.41E-2"/>
    <d v="1899-12-30T07:22:00"/>
  </r>
  <r>
    <n v="117"/>
    <d v="2020-01-27T07:30:00"/>
    <d v="2020-01-27T00:00:00"/>
    <s v="07:30"/>
    <d v="2020-01-27T14:53:00"/>
    <d v="2020-01-27T00:00:00"/>
    <d v="1899-12-30T14:53:00"/>
    <n v="3"/>
    <x v="1"/>
    <x v="1"/>
    <x v="5"/>
    <n v="71"/>
    <n v="1.94"/>
    <n v="1.58"/>
    <s v="Alive"/>
    <n v="76"/>
    <n v="165"/>
    <n v="63"/>
    <n v="25"/>
    <s v="Poor"/>
    <n v="0"/>
    <n v="1.9400000000000001E-2"/>
    <n v="1.5800000000000002E-2"/>
    <d v="1899-12-30T07:23:00"/>
  </r>
  <r>
    <n v="118"/>
    <d v="2020-01-22T10:00:00"/>
    <d v="2020-01-22T00:00:00"/>
    <s v="10:00"/>
    <d v="2020-01-28T08:10:00"/>
    <d v="2020-01-28T00:00:00"/>
    <d v="1899-12-30T08:10:00"/>
    <n v="5"/>
    <x v="2"/>
    <x v="2"/>
    <x v="4"/>
    <n v="67"/>
    <n v="4.1100000000000003"/>
    <n v="3.17"/>
    <s v="Alive"/>
    <n v="88"/>
    <n v="174"/>
    <n v="70"/>
    <n v="55"/>
    <s v="Good"/>
    <n v="0"/>
    <n v="4.1100000000000005E-2"/>
    <n v="3.1699999999999999E-2"/>
    <d v="1900-01-04T22:10:00"/>
  </r>
  <r>
    <n v="119"/>
    <d v="2020-01-27T14:04:00"/>
    <d v="2020-01-27T00:00:00"/>
    <s v="14:04"/>
    <d v="2020-01-28T08:19:00"/>
    <d v="2020-01-28T00:00:00"/>
    <d v="1899-12-30T08:19:00"/>
    <n v="3"/>
    <x v="1"/>
    <x v="2"/>
    <x v="3"/>
    <n v="59"/>
    <n v="1.33"/>
    <n v="0.76"/>
    <s v="Alive"/>
    <n v="73"/>
    <n v="173"/>
    <n v="86"/>
    <n v="55"/>
    <s v="Good"/>
    <n v="0"/>
    <n v="1.3300000000000001E-2"/>
    <n v="7.6E-3"/>
    <d v="1899-12-30T18:15:00"/>
  </r>
  <r>
    <n v="120"/>
    <d v="2020-01-27T07:43:00"/>
    <d v="2020-01-27T00:00:00"/>
    <s v="07:43"/>
    <d v="2020-01-28T08:26:00"/>
    <d v="2020-01-28T00:00:00"/>
    <d v="1899-12-30T08:26:00"/>
    <n v="6"/>
    <x v="1"/>
    <x v="0"/>
    <x v="5"/>
    <n v="68"/>
    <n v="7.05"/>
    <n v="1.9"/>
    <s v="Alive"/>
    <n v="70"/>
    <n v="164"/>
    <n v="81"/>
    <n v="55"/>
    <s v="Good"/>
    <n v="0"/>
    <n v="7.0499999999999993E-2"/>
    <n v="1.9E-2"/>
    <d v="1899-12-31T00:43:00"/>
  </r>
  <r>
    <n v="121"/>
    <d v="2020-01-27T14:00:00"/>
    <d v="2020-01-27T00:00:00"/>
    <s v="14:00"/>
    <d v="2020-01-28T08:27:00"/>
    <d v="2020-01-28T00:00:00"/>
    <d v="1899-12-30T08:27:00"/>
    <n v="2"/>
    <x v="1"/>
    <x v="3"/>
    <x v="2"/>
    <n v="84"/>
    <n v="7.48"/>
    <n v="2.54"/>
    <s v="Alive"/>
    <n v="156"/>
    <n v="182"/>
    <n v="98"/>
    <n v="45"/>
    <s v="Moderate"/>
    <n v="0"/>
    <n v="7.4800000000000005E-2"/>
    <n v="2.5399999999999999E-2"/>
    <d v="1899-12-30T18:27:00"/>
  </r>
  <r>
    <n v="122"/>
    <d v="2020-01-28T11:00:00"/>
    <d v="2020-01-28T00:00:00"/>
    <s v="11:00"/>
    <d v="2020-01-29T08:18:00"/>
    <d v="2020-01-29T00:00:00"/>
    <d v="1899-12-30T08:18:00"/>
    <n v="5"/>
    <x v="1"/>
    <x v="0"/>
    <x v="8"/>
    <n v="61"/>
    <n v="1.72"/>
    <n v="0.89"/>
    <s v="Alive"/>
    <n v="97"/>
    <n v="185"/>
    <n v="111"/>
    <n v="55"/>
    <s v="Good"/>
    <n v="0"/>
    <n v="1.72E-2"/>
    <n v="8.8999999999999999E-3"/>
    <d v="1899-12-30T21:18:00"/>
  </r>
  <r>
    <n v="123"/>
    <d v="2020-01-28T13:30:00"/>
    <d v="2020-01-28T00:00:00"/>
    <s v="13:30"/>
    <d v="2020-01-29T08:24:00"/>
    <d v="2020-01-29T00:00:00"/>
    <d v="1899-12-30T08:24:00"/>
    <n v="6"/>
    <x v="1"/>
    <x v="0"/>
    <x v="11"/>
    <n v="62"/>
    <n v="2.5299999999999998"/>
    <n v="1.2"/>
    <s v="Alive"/>
    <n v="72"/>
    <n v="175"/>
    <n v="64"/>
    <n v="55"/>
    <s v="Good"/>
    <n v="0"/>
    <n v="2.53E-2"/>
    <n v="1.2E-2"/>
    <d v="1899-12-30T18:54:00"/>
  </r>
  <r>
    <n v="124"/>
    <d v="2020-01-29T06:45:00"/>
    <d v="2020-01-29T00:00:00"/>
    <s v="06:45"/>
    <d v="2020-01-29T08:45:00"/>
    <d v="2020-01-29T00:00:00"/>
    <d v="1899-12-30T08:45:00"/>
    <n v="2"/>
    <x v="1"/>
    <x v="0"/>
    <x v="2"/>
    <n v="76"/>
    <n v="6.19"/>
    <n v="2.54"/>
    <s v="Alive"/>
    <n v="81"/>
    <n v="175"/>
    <n v="95"/>
    <n v="40"/>
    <s v="Moderate"/>
    <n v="0"/>
    <n v="6.1900000000000004E-2"/>
    <n v="2.5399999999999999E-2"/>
    <d v="1899-12-30T02:00:00"/>
  </r>
  <r>
    <n v="125"/>
    <d v="2020-01-30T07:55:00"/>
    <d v="2020-01-30T00:00:00"/>
    <s v="07:55"/>
    <d v="2020-01-30T08:48:00"/>
    <d v="2020-01-30T00:00:00"/>
    <d v="1899-12-30T08:48:00"/>
    <n v="3"/>
    <x v="1"/>
    <x v="0"/>
    <x v="1"/>
    <n v="27"/>
    <n v="6.39"/>
    <n v="1.83"/>
    <s v="Alive"/>
    <n v="82"/>
    <n v="155"/>
    <n v="60"/>
    <n v="55"/>
    <s v="Good"/>
    <n v="0"/>
    <n v="6.3899999999999998E-2"/>
    <n v="1.83E-2"/>
    <d v="1899-12-30T00:53:00"/>
  </r>
  <r>
    <n v="126"/>
    <d v="2020-01-09T14:40:00"/>
    <d v="2020-01-09T00:00:00"/>
    <s v="14:40"/>
    <d v="2020-01-30T12:31:00"/>
    <d v="2020-01-30T00:00:00"/>
    <d v="1899-12-30T12:31:00"/>
    <n v="1"/>
    <x v="2"/>
    <x v="3"/>
    <x v="6"/>
    <n v="78"/>
    <n v="7.62"/>
    <n v="3.96"/>
    <s v="Alive"/>
    <n v="73"/>
    <n v="173"/>
    <n v="74"/>
    <n v="45"/>
    <s v="Moderate"/>
    <n v="0"/>
    <n v="7.6200000000000004E-2"/>
    <n v="3.9599999999999996E-2"/>
    <d v="1900-01-19T21:51:00"/>
  </r>
  <r>
    <n v="127"/>
    <d v="2020-01-29T10:04:00"/>
    <d v="2020-01-29T00:00:00"/>
    <s v="10:04"/>
    <d v="2020-01-30T12:54:00"/>
    <d v="2020-01-30T00:00:00"/>
    <d v="1899-12-30T12:54:00"/>
    <n v="2"/>
    <x v="1"/>
    <x v="3"/>
    <x v="14"/>
    <n v="68"/>
    <n v="2.71"/>
    <n v="4.08"/>
    <s v="Died"/>
    <n v="68"/>
    <n v="172"/>
    <n v="86"/>
    <n v="45"/>
    <s v="Moderate"/>
    <n v="1"/>
    <n v="2.7099999999999999E-2"/>
    <n v="4.0800000000000003E-2"/>
    <d v="1899-12-31T02:50:00"/>
  </r>
  <r>
    <n v="128"/>
    <d v="2020-01-30T07:29:00"/>
    <d v="2020-01-30T00:00:00"/>
    <s v="07:29"/>
    <d v="2020-01-30T13:09:00"/>
    <d v="2020-01-30T00:00:00"/>
    <d v="1899-12-30T13:09:00"/>
    <n v="6"/>
    <x v="1"/>
    <x v="0"/>
    <x v="9"/>
    <n v="59"/>
    <n v="1.51"/>
    <n v="0.75"/>
    <s v="Alive"/>
    <n v="88"/>
    <n v="176"/>
    <n v="86"/>
    <n v="55"/>
    <s v="Good"/>
    <n v="0"/>
    <n v="1.5100000000000001E-2"/>
    <n v="7.4999999999999997E-3"/>
    <d v="1899-12-30T05:40:00"/>
  </r>
  <r>
    <n v="129"/>
    <d v="2020-01-29T14:51:00"/>
    <d v="2020-01-29T00:00:00"/>
    <s v="14:51"/>
    <d v="2020-01-30T13:20:00"/>
    <d v="2020-01-30T00:00:00"/>
    <d v="1899-12-30T13:20:00"/>
    <n v="5"/>
    <x v="2"/>
    <x v="0"/>
    <x v="12"/>
    <n v="76"/>
    <n v="16.57"/>
    <n v="3.31"/>
    <s v="Alive"/>
    <n v="95"/>
    <n v="175"/>
    <n v="102"/>
    <n v="45"/>
    <s v="Moderate"/>
    <n v="0"/>
    <n v="0.16570000000000001"/>
    <n v="3.3099999999999997E-2"/>
    <d v="1899-12-30T22:29:00"/>
  </r>
  <r>
    <n v="130"/>
    <d v="2020-01-24T17:00:00"/>
    <d v="2020-01-24T00:00:00"/>
    <s v="17:00"/>
    <d v="2020-01-31T08:00:00"/>
    <d v="2020-01-31T00:00:00"/>
    <d v="1899-12-30T08:00:00"/>
    <n v="2"/>
    <x v="2"/>
    <x v="2"/>
    <x v="7"/>
    <n v="68"/>
    <n v="1.59"/>
    <n v="1.19"/>
    <s v="Alive"/>
    <n v="72"/>
    <n v="178"/>
    <n v="76"/>
    <n v="55"/>
    <s v="Good"/>
    <n v="0"/>
    <n v="1.5900000000000001E-2"/>
    <n v="1.1899999999999999E-2"/>
    <d v="1900-01-05T15:00:00"/>
  </r>
  <r>
    <n v="131"/>
    <d v="2020-01-30T13:26:00"/>
    <d v="2020-01-30T00:00:00"/>
    <s v="13:26"/>
    <d v="2020-01-31T08:10:00"/>
    <d v="2020-01-31T00:00:00"/>
    <d v="1899-12-30T08:10:00"/>
    <n v="3"/>
    <x v="1"/>
    <x v="0"/>
    <x v="8"/>
    <n v="84"/>
    <n v="10.95"/>
    <n v="4.17"/>
    <s v="Alive"/>
    <n v="79"/>
    <n v="155"/>
    <n v="64"/>
    <n v="50"/>
    <s v="Moderate"/>
    <n v="0"/>
    <n v="0.10949999999999999"/>
    <n v="4.1700000000000001E-2"/>
    <d v="1899-12-30T18:44:00"/>
  </r>
  <r>
    <n v="132"/>
    <d v="2020-01-24T10:00:00"/>
    <d v="2020-01-24T00:00:00"/>
    <s v="10:00"/>
    <d v="2020-01-31T08:17:00"/>
    <d v="2020-01-31T00:00:00"/>
    <d v="1899-12-30T08:17:00"/>
    <n v="5"/>
    <x v="2"/>
    <x v="3"/>
    <x v="9"/>
    <n v="79"/>
    <n v="16.97"/>
    <n v="6.13"/>
    <s v="Alive"/>
    <n v="86"/>
    <n v="157"/>
    <n v="50"/>
    <n v="57"/>
    <s v="Good"/>
    <n v="0"/>
    <n v="0.16969999999999999"/>
    <n v="6.13E-2"/>
    <d v="1900-01-05T22:17:00"/>
  </r>
  <r>
    <n v="133"/>
    <d v="2020-01-30T11:00:00"/>
    <d v="2020-01-30T00:00:00"/>
    <s v="11:00"/>
    <d v="2020-01-31T08:20:00"/>
    <d v="2020-01-31T00:00:00"/>
    <d v="1899-12-30T08:20:00"/>
    <n v="6"/>
    <x v="2"/>
    <x v="1"/>
    <x v="4"/>
    <n v="74"/>
    <n v="32.729999999999997"/>
    <n v="20.98"/>
    <s v="Died"/>
    <n v="80"/>
    <n v="180"/>
    <n v="103"/>
    <n v="67"/>
    <s v="Good"/>
    <n v="1"/>
    <n v="0.32729999999999998"/>
    <n v="0.20980000000000001"/>
    <d v="1899-12-30T21:20:00"/>
  </r>
  <r>
    <n v="134"/>
    <d v="2020-01-30T13:32:00"/>
    <d v="2020-01-30T00:00:00"/>
    <s v="13:32"/>
    <d v="2020-01-31T13:40:00"/>
    <d v="2020-01-31T00:00:00"/>
    <d v="1899-12-30T13:40:00"/>
    <n v="6"/>
    <x v="1"/>
    <x v="3"/>
    <x v="11"/>
    <n v="69"/>
    <n v="3.98"/>
    <n v="2.4900000000000002"/>
    <s v="Alive"/>
    <n v="65"/>
    <n v="178"/>
    <n v="88"/>
    <n v="44"/>
    <s v="Moderate"/>
    <n v="0"/>
    <n v="3.9800000000000002E-2"/>
    <n v="2.4900000000000002E-2"/>
    <d v="1899-12-31T00:08:00"/>
  </r>
  <r>
    <n v="135"/>
    <d v="2020-01-31T14:01:00"/>
    <d v="2020-01-31T00:00:00"/>
    <s v="14:01"/>
    <d v="2020-02-01T07:58:00"/>
    <d v="2020-02-01T00:00:00"/>
    <d v="1899-12-30T07:58:00"/>
    <n v="2"/>
    <x v="1"/>
    <x v="3"/>
    <x v="9"/>
    <n v="53"/>
    <n v="4.37"/>
    <n v="3.23"/>
    <s v="Alive"/>
    <n v="67"/>
    <n v="188"/>
    <n v="90"/>
    <n v="59"/>
    <s v="Good"/>
    <n v="0"/>
    <n v="4.3700000000000003E-2"/>
    <n v="3.2300000000000002E-2"/>
    <d v="1899-12-30T17:57:00"/>
  </r>
  <r>
    <n v="136"/>
    <d v="2020-01-31T12:52:00"/>
    <d v="2020-01-31T00:00:00"/>
    <s v="12:52"/>
    <d v="2020-02-01T08:19:00"/>
    <d v="2020-02-01T00:00:00"/>
    <d v="1899-12-30T08:19:00"/>
    <n v="5"/>
    <x v="1"/>
    <x v="0"/>
    <x v="8"/>
    <n v="79"/>
    <n v="5.48"/>
    <n v="5.1100000000000003"/>
    <s v="Alive"/>
    <n v="145"/>
    <n v="179"/>
    <n v="84"/>
    <n v="65"/>
    <s v="Good"/>
    <n v="0"/>
    <n v="5.4800000000000001E-2"/>
    <n v="5.1100000000000007E-2"/>
    <d v="1899-12-30T19:27:00"/>
  </r>
  <r>
    <n v="137"/>
    <d v="2020-01-30T12:35:00"/>
    <d v="2020-01-30T00:00:00"/>
    <s v="12:35"/>
    <d v="2020-02-01T11:25:00"/>
    <d v="2020-02-01T00:00:00"/>
    <d v="1899-12-30T11:25:00"/>
    <n v="1"/>
    <x v="0"/>
    <x v="1"/>
    <x v="0"/>
    <n v="56"/>
    <n v="16.84"/>
    <n v="14.56"/>
    <s v="Alive"/>
    <n v="92"/>
    <n v="177"/>
    <n v="72"/>
    <n v="55"/>
    <s v="Good"/>
    <n v="0"/>
    <n v="0.16839999999999999"/>
    <n v="0.14560000000000001"/>
    <d v="1899-12-31T22:50:00"/>
  </r>
  <r>
    <n v="138"/>
    <d v="2020-01-31T13:55:00"/>
    <d v="2020-01-31T00:00:00"/>
    <s v="13:55"/>
    <d v="2020-02-01T12:50:00"/>
    <d v="2020-02-01T00:00:00"/>
    <d v="1899-12-30T12:50:00"/>
    <n v="2"/>
    <x v="1"/>
    <x v="0"/>
    <x v="9"/>
    <n v="65"/>
    <n v="2.23"/>
    <n v="0.64"/>
    <s v="Alive"/>
    <n v="85"/>
    <n v="164"/>
    <n v="86"/>
    <n v="55"/>
    <s v="Good"/>
    <n v="0"/>
    <n v="2.23E-2"/>
    <n v="6.4000000000000003E-3"/>
    <d v="1899-12-30T22:55:00"/>
  </r>
  <r>
    <n v="139"/>
    <d v="2020-01-31T15:31:00"/>
    <d v="2020-01-31T00:00:00"/>
    <s v="15:31"/>
    <d v="2020-02-02T10:20:00"/>
    <d v="2020-02-02T00:00:00"/>
    <d v="1899-12-30T10:20:00"/>
    <n v="5"/>
    <x v="0"/>
    <x v="0"/>
    <x v="8"/>
    <n v="42"/>
    <n v="3.02"/>
    <n v="1.01"/>
    <s v="Alive"/>
    <n v="170"/>
    <n v="170"/>
    <n v="60"/>
    <n v="55"/>
    <s v="Good"/>
    <n v="0"/>
    <n v="3.0200000000000001E-2"/>
    <n v="1.01E-2"/>
    <d v="1899-12-31T18:49:00"/>
  </r>
  <r>
    <n v="140"/>
    <d v="2020-02-02T14:00:00"/>
    <d v="2020-02-02T00:00:00"/>
    <s v="14:00"/>
    <d v="2020-02-03T10:05:00"/>
    <d v="2020-02-03T00:00:00"/>
    <d v="1899-12-30T10:05:00"/>
    <n v="6"/>
    <x v="1"/>
    <x v="0"/>
    <x v="9"/>
    <n v="64"/>
    <n v="2.09"/>
    <n v="0.75"/>
    <s v="Alive"/>
    <n v="81"/>
    <n v="160"/>
    <n v="65"/>
    <n v="45"/>
    <s v="Moderate"/>
    <n v="0"/>
    <n v="2.0899999999999998E-2"/>
    <n v="7.4999999999999997E-3"/>
    <d v="1899-12-30T20:05:00"/>
  </r>
  <r>
    <n v="141"/>
    <d v="2020-02-02T14:24:00"/>
    <d v="2020-02-02T00:00:00"/>
    <s v="14:24"/>
    <d v="2020-02-03T12:20:00"/>
    <d v="2020-02-03T00:00:00"/>
    <d v="1899-12-30T12:20:00"/>
    <n v="1"/>
    <x v="1"/>
    <x v="2"/>
    <x v="0"/>
    <n v="78"/>
    <n v="3.06"/>
    <n v="0.93"/>
    <s v="Alive"/>
    <n v="83"/>
    <n v="184"/>
    <n v="85"/>
    <n v="60"/>
    <s v="Good"/>
    <n v="0"/>
    <n v="3.0600000000000002E-2"/>
    <n v="9.300000000000001E-3"/>
    <d v="1899-12-30T21:56:00"/>
  </r>
  <r>
    <n v="142"/>
    <d v="2020-02-02T10:10:00"/>
    <d v="2020-02-02T00:00:00"/>
    <s v="10:10"/>
    <d v="2020-02-03T13:36:00"/>
    <d v="2020-02-03T00:00:00"/>
    <d v="1899-12-30T13:36:00"/>
    <n v="5"/>
    <x v="2"/>
    <x v="0"/>
    <x v="7"/>
    <n v="65"/>
    <n v="4.5999999999999996"/>
    <n v="4.1100000000000003"/>
    <s v="Alive"/>
    <n v="74"/>
    <n v="176"/>
    <n v="127"/>
    <n v="55"/>
    <s v="Good"/>
    <n v="0"/>
    <n v="4.5999999999999999E-2"/>
    <n v="4.1100000000000005E-2"/>
    <d v="1899-12-31T03:26:00"/>
  </r>
  <r>
    <n v="143"/>
    <d v="2020-02-02T14:00:00"/>
    <d v="2020-02-02T00:00:00"/>
    <s v="14:00"/>
    <d v="2020-02-03T14:05:00"/>
    <d v="2020-02-03T00:00:00"/>
    <d v="1899-12-30T14:05:00"/>
    <n v="2"/>
    <x v="1"/>
    <x v="3"/>
    <x v="11"/>
    <n v="81"/>
    <n v="9.7799999999999994"/>
    <n v="2.5099999999999998"/>
    <s v="Alive"/>
    <n v="67"/>
    <n v="172"/>
    <n v="78"/>
    <n v="37"/>
    <s v="Moderate"/>
    <n v="0"/>
    <n v="9.7799999999999998E-2"/>
    <n v="2.5099999999999997E-2"/>
    <d v="1899-12-31T00:05:00"/>
  </r>
  <r>
    <n v="144"/>
    <d v="2020-02-02T14:00:00"/>
    <d v="2020-02-02T00:00:00"/>
    <s v="14:00"/>
    <d v="2020-02-03T15:11:00"/>
    <d v="2020-02-03T00:00:00"/>
    <d v="1899-12-30T15:11:00"/>
    <n v="3"/>
    <x v="1"/>
    <x v="2"/>
    <x v="3"/>
    <n v="48"/>
    <n v="0.88"/>
    <n v="0.5"/>
    <s v="Alive"/>
    <n v="109"/>
    <n v="152"/>
    <n v="60"/>
    <n v="55"/>
    <s v="Good"/>
    <n v="0"/>
    <n v="8.8000000000000005E-3"/>
    <n v="5.0000000000000001E-3"/>
    <d v="1899-12-31T01:11:00"/>
  </r>
  <r>
    <n v="145"/>
    <d v="2020-02-03T10:59:00"/>
    <d v="2020-02-03T00:00:00"/>
    <s v="10:59"/>
    <d v="2020-02-04T08:10:00"/>
    <d v="2020-02-04T00:00:00"/>
    <d v="1899-12-30T08:10:00"/>
    <n v="1"/>
    <x v="1"/>
    <x v="0"/>
    <x v="8"/>
    <n v="74"/>
    <n v="12.78"/>
    <n v="5.42"/>
    <s v="Alive"/>
    <n v="101"/>
    <n v="171"/>
    <n v="93"/>
    <n v="55"/>
    <s v="Good"/>
    <n v="0"/>
    <n v="0.1278"/>
    <n v="5.4199999999999998E-2"/>
    <d v="1899-12-30T21:11:00"/>
  </r>
  <r>
    <n v="146"/>
    <d v="2020-02-03T07:51:00"/>
    <d v="2020-02-03T00:00:00"/>
    <s v="07:51"/>
    <d v="2020-02-04T08:14:00"/>
    <d v="2020-02-04T00:00:00"/>
    <d v="1899-12-30T08:14:00"/>
    <n v="3"/>
    <x v="1"/>
    <x v="3"/>
    <x v="9"/>
    <n v="55"/>
    <n v="2.44"/>
    <n v="2.4300000000000002"/>
    <s v="Alive"/>
    <n v="67"/>
    <n v="162"/>
    <n v="78"/>
    <n v="62"/>
    <s v="Good"/>
    <n v="0"/>
    <n v="2.4399999999999998E-2"/>
    <n v="2.4300000000000002E-2"/>
    <d v="1899-12-31T00:23:00"/>
  </r>
  <r>
    <n v="147"/>
    <d v="2020-02-03T14:00:00"/>
    <d v="2020-02-03T00:00:00"/>
    <s v="14:00"/>
    <d v="2020-02-04T08:15:00"/>
    <d v="2020-02-04T00:00:00"/>
    <d v="1899-12-30T08:15:00"/>
    <n v="2"/>
    <x v="1"/>
    <x v="2"/>
    <x v="0"/>
    <n v="53"/>
    <n v="1.33"/>
    <n v="0.69"/>
    <s v="Alive"/>
    <n v="92"/>
    <n v="157"/>
    <n v="78"/>
    <n v="38"/>
    <s v="Moderate"/>
    <n v="0"/>
    <n v="1.3300000000000001E-2"/>
    <n v="6.8999999999999999E-3"/>
    <d v="1899-12-30T18:15:00"/>
  </r>
  <r>
    <n v="148"/>
    <d v="2020-02-04T07:38:00"/>
    <d v="2020-02-04T00:00:00"/>
    <s v="07:38"/>
    <d v="2020-02-04T13:32:00"/>
    <d v="2020-02-04T00:00:00"/>
    <d v="1899-12-30T13:32:00"/>
    <n v="6"/>
    <x v="1"/>
    <x v="0"/>
    <x v="11"/>
    <n v="73"/>
    <n v="3.74"/>
    <n v="0.81"/>
    <s v="Alive"/>
    <n v="83"/>
    <n v="187"/>
    <n v="70"/>
    <n v="30"/>
    <s v="Poor"/>
    <n v="0"/>
    <n v="3.7400000000000003E-2"/>
    <n v="8.1000000000000013E-3"/>
    <d v="1899-12-30T05:54:00"/>
  </r>
  <r>
    <n v="149"/>
    <d v="2020-02-04T07:23:00"/>
    <d v="2020-02-04T00:00:00"/>
    <s v="07:23"/>
    <d v="2020-02-04T13:35:00"/>
    <d v="2020-02-04T00:00:00"/>
    <d v="1899-12-30T13:35:00"/>
    <n v="2"/>
    <x v="1"/>
    <x v="2"/>
    <x v="0"/>
    <n v="78"/>
    <n v="3.06"/>
    <n v="1.1299999999999999"/>
    <s v="Alive"/>
    <n v="75"/>
    <n v="176"/>
    <n v="90"/>
    <n v="51"/>
    <s v="Good"/>
    <n v="0"/>
    <n v="3.0600000000000002E-2"/>
    <n v="1.1299999999999999E-2"/>
    <d v="1899-12-30T06:12:00"/>
  </r>
  <r>
    <n v="150"/>
    <d v="2020-02-04T11:00:00"/>
    <d v="2020-02-04T00:00:00"/>
    <s v="11:00"/>
    <d v="2020-02-05T08:12:00"/>
    <d v="2020-02-05T00:00:00"/>
    <d v="1899-12-30T08:12:00"/>
    <n v="6"/>
    <x v="2"/>
    <x v="3"/>
    <x v="7"/>
    <n v="81"/>
    <n v="6.21"/>
    <n v="3.81"/>
    <s v="Alive"/>
    <n v="114"/>
    <n v="178"/>
    <n v="95"/>
    <n v="65"/>
    <s v="Good"/>
    <n v="0"/>
    <n v="6.2100000000000002E-2"/>
    <n v="3.8100000000000002E-2"/>
    <d v="1899-12-30T21:12:00"/>
  </r>
  <r>
    <n v="151"/>
    <d v="2020-02-03T14:19:00"/>
    <d v="2020-02-03T00:00:00"/>
    <s v="14:19"/>
    <d v="2020-02-05T08:16:00"/>
    <d v="2020-02-05T00:00:00"/>
    <d v="1899-12-30T08:16:00"/>
    <n v="5"/>
    <x v="1"/>
    <x v="0"/>
    <x v="8"/>
    <n v="64"/>
    <n v="7.48"/>
    <n v="2.11"/>
    <s v="Alive"/>
    <n v="81"/>
    <n v="174"/>
    <n v="82"/>
    <n v="59"/>
    <s v="Good"/>
    <n v="0"/>
    <n v="7.4800000000000005E-2"/>
    <n v="2.1099999999999997E-2"/>
    <d v="1899-12-31T17:57:00"/>
  </r>
  <r>
    <n v="152"/>
    <d v="2020-02-04T18:45:00"/>
    <d v="2020-02-04T00:00:00"/>
    <s v="18:45"/>
    <d v="2020-02-05T08:35:00"/>
    <d v="2020-02-05T00:00:00"/>
    <d v="1899-12-30T08:35:00"/>
    <n v="3"/>
    <x v="2"/>
    <x v="2"/>
    <x v="11"/>
    <n v="63"/>
    <n v="6.38"/>
    <n v="1.65"/>
    <s v="Alive"/>
    <n v="130"/>
    <n v="168"/>
    <n v="91"/>
    <n v="65"/>
    <s v="Good"/>
    <n v="0"/>
    <n v="6.3799999999999996E-2"/>
    <n v="1.6500000000000001E-2"/>
    <d v="1899-12-30T13:50:00"/>
  </r>
  <r>
    <n v="153"/>
    <d v="2020-02-05T06:41:00"/>
    <d v="2020-02-05T00:00:00"/>
    <s v="06:41"/>
    <d v="2020-02-05T08:50:00"/>
    <d v="2020-02-05T00:00:00"/>
    <d v="1899-12-30T08:50:00"/>
    <n v="2"/>
    <x v="1"/>
    <x v="0"/>
    <x v="2"/>
    <n v="68"/>
    <n v="7.71"/>
    <n v="3.41"/>
    <s v="Alive"/>
    <n v="88"/>
    <n v="178"/>
    <n v="81"/>
    <n v="55"/>
    <s v="Good"/>
    <n v="0"/>
    <n v="7.7100000000000002E-2"/>
    <n v="3.4099999999999998E-2"/>
    <d v="1899-12-30T02:09:00"/>
  </r>
  <r>
    <n v="154"/>
    <d v="2020-02-05T07:52:00"/>
    <d v="2020-02-05T00:00:00"/>
    <s v="07:52"/>
    <d v="2020-02-05T13:45:00"/>
    <d v="2020-02-05T00:00:00"/>
    <d v="1899-12-30T13:45:00"/>
    <n v="2"/>
    <x v="1"/>
    <x v="3"/>
    <x v="2"/>
    <n v="71"/>
    <n v="3.29"/>
    <n v="1.18"/>
    <s v="Alive"/>
    <n v="67"/>
    <n v="158"/>
    <n v="78"/>
    <n v="60"/>
    <s v="Good"/>
    <n v="0"/>
    <n v="3.2899999999999999E-2"/>
    <n v="1.18E-2"/>
    <d v="1899-12-30T05:53:00"/>
  </r>
  <r>
    <n v="155"/>
    <d v="2020-02-05T07:47:00"/>
    <d v="2020-02-05T00:00:00"/>
    <s v="07:47"/>
    <d v="2020-02-05T15:40:00"/>
    <d v="2020-02-05T00:00:00"/>
    <d v="1899-12-30T15:40:00"/>
    <n v="3"/>
    <x v="2"/>
    <x v="2"/>
    <x v="1"/>
    <n v="76"/>
    <n v="3.7"/>
    <n v="1.34"/>
    <s v="Alive"/>
    <n v="98"/>
    <n v="173"/>
    <n v="68"/>
    <n v="50"/>
    <s v="Moderate"/>
    <n v="0"/>
    <n v="3.7000000000000005E-2"/>
    <n v="1.34E-2"/>
    <d v="1899-12-30T07:53:00"/>
  </r>
  <r>
    <n v="156"/>
    <d v="2020-02-05T13:37:00"/>
    <d v="2020-02-05T00:00:00"/>
    <s v="13:37"/>
    <d v="2020-02-06T08:00:00"/>
    <d v="2020-02-06T00:00:00"/>
    <d v="1899-12-30T08:00:00"/>
    <n v="3"/>
    <x v="1"/>
    <x v="0"/>
    <x v="10"/>
    <n v="80"/>
    <n v="7.94"/>
    <n v="1.88"/>
    <s v="Alive"/>
    <n v="83"/>
    <n v="166"/>
    <n v="62"/>
    <n v="55"/>
    <s v="Good"/>
    <n v="0"/>
    <n v="7.9399999999999998E-2"/>
    <n v="1.8799999999999997E-2"/>
    <d v="1899-12-30T18:23:00"/>
  </r>
  <r>
    <n v="157"/>
    <d v="2020-02-05T13:05:00"/>
    <d v="2020-02-05T00:00:00"/>
    <s v="13:05"/>
    <d v="2020-02-06T08:05:00"/>
    <d v="2020-02-06T00:00:00"/>
    <d v="1899-12-30T08:05:00"/>
    <n v="5"/>
    <x v="1"/>
    <x v="2"/>
    <x v="11"/>
    <n v="70"/>
    <n v="2.74"/>
    <n v="1.01"/>
    <s v="Alive"/>
    <n v="86"/>
    <n v="170"/>
    <n v="70"/>
    <n v="45"/>
    <s v="Moderate"/>
    <n v="0"/>
    <n v="2.7400000000000001E-2"/>
    <n v="1.01E-2"/>
    <d v="1899-12-30T19:00:00"/>
  </r>
  <r>
    <n v="158"/>
    <d v="2020-02-04T12:45:00"/>
    <d v="2020-02-04T00:00:00"/>
    <s v="12:45"/>
    <d v="2020-02-06T08:23:00"/>
    <d v="2020-02-06T00:00:00"/>
    <d v="1899-12-30T08:23:00"/>
    <n v="6"/>
    <x v="2"/>
    <x v="0"/>
    <x v="14"/>
    <n v="50"/>
    <n v="60.35"/>
    <n v="48.1"/>
    <s v="Died"/>
    <n v="77"/>
    <n v="180"/>
    <n v="73"/>
    <n v="60"/>
    <s v="Good"/>
    <n v="1"/>
    <n v="0.60350000000000004"/>
    <n v="0.48100000000000004"/>
    <d v="1899-12-31T19:38:00"/>
  </r>
  <r>
    <n v="159"/>
    <d v="2020-02-06T08:01:00"/>
    <d v="2020-02-06T00:00:00"/>
    <s v="08:01"/>
    <d v="2020-02-06T09:30:00"/>
    <d v="2020-02-06T00:00:00"/>
    <d v="1899-12-30T09:30:00"/>
    <n v="2"/>
    <x v="1"/>
    <x v="2"/>
    <x v="1"/>
    <n v="85"/>
    <n v="14.14"/>
    <n v="3.69"/>
    <s v="Alive"/>
    <n v="80"/>
    <n v="173"/>
    <n v="92"/>
    <n v="55"/>
    <s v="Good"/>
    <n v="0"/>
    <n v="0.1414"/>
    <n v="3.6900000000000002E-2"/>
    <d v="1899-12-30T01:29:00"/>
  </r>
  <r>
    <n v="160"/>
    <d v="2020-02-05T13:53:00"/>
    <d v="2020-02-05T00:00:00"/>
    <s v="13:53"/>
    <d v="2020-02-06T14:35:00"/>
    <d v="2020-02-06T00:00:00"/>
    <d v="1899-12-30T14:35:00"/>
    <n v="2"/>
    <x v="1"/>
    <x v="0"/>
    <x v="11"/>
    <n v="74"/>
    <n v="16.940000000000001"/>
    <n v="6.72"/>
    <s v="Alive"/>
    <n v="81"/>
    <n v="178"/>
    <n v="75"/>
    <n v="50"/>
    <s v="Moderate"/>
    <n v="0"/>
    <n v="0.16940000000000002"/>
    <n v="6.7199999999999996E-2"/>
    <d v="1899-12-31T00:42:00"/>
  </r>
  <r>
    <n v="161"/>
    <d v="2020-01-31T10:00:00"/>
    <d v="2020-01-31T00:00:00"/>
    <s v="10:00"/>
    <d v="2020-02-06T14:50:00"/>
    <d v="2020-02-06T00:00:00"/>
    <d v="1899-12-30T14:50:00"/>
    <n v="5"/>
    <x v="2"/>
    <x v="2"/>
    <x v="10"/>
    <n v="62"/>
    <n v="1.84"/>
    <n v="0.94"/>
    <s v="Alive"/>
    <n v="100"/>
    <n v="172"/>
    <n v="94"/>
    <n v="55"/>
    <s v="Good"/>
    <n v="0"/>
    <n v="1.84E-2"/>
    <n v="9.3999999999999986E-3"/>
    <d v="1900-01-05T04:50:00"/>
  </r>
  <r>
    <n v="162"/>
    <d v="2020-01-22T12:00:00"/>
    <d v="2020-01-22T00:00:00"/>
    <s v="12:00"/>
    <d v="2020-02-07T08:16:00"/>
    <d v="2020-02-07T00:00:00"/>
    <d v="1899-12-30T08:16:00"/>
    <n v="3"/>
    <x v="2"/>
    <x v="2"/>
    <x v="6"/>
    <n v="61"/>
    <n v="29.02"/>
    <n v="23.71"/>
    <s v="Alive"/>
    <n v="80"/>
    <n v="171"/>
    <n v="122"/>
    <n v="73"/>
    <s v="Good"/>
    <n v="0"/>
    <n v="0.29020000000000001"/>
    <n v="0.23710000000000001"/>
    <d v="1900-01-14T20:16:00"/>
  </r>
  <r>
    <n v="163"/>
    <d v="2020-02-06T11:00:00"/>
    <d v="2020-02-06T00:00:00"/>
    <s v="11:00"/>
    <d v="2020-02-07T09:38:00"/>
    <d v="2020-02-07T00:00:00"/>
    <d v="1899-12-30T09:38:00"/>
    <n v="6"/>
    <x v="2"/>
    <x v="2"/>
    <x v="11"/>
    <n v="72"/>
    <n v="3.35"/>
    <n v="2.17"/>
    <s v="Alive"/>
    <n v="70"/>
    <n v="179"/>
    <n v="74"/>
    <n v="66"/>
    <s v="Good"/>
    <n v="0"/>
    <n v="3.3500000000000002E-2"/>
    <n v="2.1700000000000001E-2"/>
    <d v="1899-12-30T22:38:00"/>
  </r>
  <r>
    <n v="164"/>
    <d v="2020-02-06T13:56:00"/>
    <d v="2020-02-06T00:00:00"/>
    <s v="13:56"/>
    <d v="2020-02-07T09:45:00"/>
    <d v="2020-02-07T00:00:00"/>
    <d v="1899-12-30T09:45:00"/>
    <n v="5"/>
    <x v="1"/>
    <x v="3"/>
    <x v="4"/>
    <n v="77"/>
    <n v="4.83"/>
    <n v="1.55"/>
    <s v="Alive"/>
    <n v="91"/>
    <n v="178"/>
    <n v="95"/>
    <n v="49"/>
    <s v="Moderate"/>
    <n v="0"/>
    <n v="4.8300000000000003E-2"/>
    <n v="1.55E-2"/>
    <d v="1899-12-30T19:49:00"/>
  </r>
  <r>
    <n v="166"/>
    <d v="2020-02-07T08:05:00"/>
    <d v="2020-02-07T00:00:00"/>
    <s v="08:05"/>
    <d v="2020-02-07T14:23:00"/>
    <d v="2020-02-07T00:00:00"/>
    <d v="1899-12-30T14:23:00"/>
    <n v="5"/>
    <x v="1"/>
    <x v="0"/>
    <x v="4"/>
    <n v="76"/>
    <n v="6.19"/>
    <n v="1.0900000000000001"/>
    <s v="Alive"/>
    <n v="73"/>
    <n v="169"/>
    <n v="77"/>
    <n v="25"/>
    <s v="Poor"/>
    <n v="0"/>
    <n v="6.1900000000000004E-2"/>
    <n v="1.09E-2"/>
    <d v="1899-12-30T06:18:00"/>
  </r>
  <r>
    <n v="167"/>
    <d v="2020-02-06T10:42:00"/>
    <d v="2020-02-06T00:00:00"/>
    <s v="10:42"/>
    <d v="2020-02-08T08:04:00"/>
    <d v="2020-02-08T00:00:00"/>
    <d v="1899-12-30T08:04:00"/>
    <n v="5"/>
    <x v="1"/>
    <x v="0"/>
    <x v="6"/>
    <n v="59"/>
    <n v="2.08"/>
    <n v="0.84"/>
    <s v="Alive"/>
    <n v="96"/>
    <n v="160"/>
    <n v="82"/>
    <n v="61"/>
    <s v="Good"/>
    <n v="0"/>
    <n v="2.0799999999999999E-2"/>
    <n v="8.3999999999999995E-3"/>
    <d v="1899-12-31T21:22:00"/>
  </r>
  <r>
    <n v="168"/>
    <d v="2020-02-07T16:00:00"/>
    <d v="2020-02-07T00:00:00"/>
    <s v="16:00"/>
    <d v="2020-02-08T08:04:00"/>
    <d v="2020-02-08T00:00:00"/>
    <d v="1899-12-30T08:04:00"/>
    <n v="2"/>
    <x v="1"/>
    <x v="0"/>
    <x v="1"/>
    <n v="61"/>
    <n v="1.72"/>
    <n v="0.52"/>
    <s v="Alive"/>
    <n v="74"/>
    <n v="163"/>
    <n v="69"/>
    <n v="60"/>
    <s v="Good"/>
    <n v="0"/>
    <n v="1.72E-2"/>
    <n v="5.1999999999999998E-3"/>
    <d v="1899-12-30T16:04:00"/>
  </r>
  <r>
    <n v="169"/>
    <d v="2020-02-07T14:06:00"/>
    <d v="2020-02-07T00:00:00"/>
    <s v="14:06"/>
    <d v="2020-02-08T11:48:00"/>
    <d v="2020-02-08T00:00:00"/>
    <d v="1899-12-30T11:48:00"/>
    <n v="2"/>
    <x v="1"/>
    <x v="3"/>
    <x v="0"/>
    <n v="82"/>
    <n v="8.9700000000000006"/>
    <n v="6.06"/>
    <s v="Alive"/>
    <n v="153"/>
    <n v="167"/>
    <n v="87"/>
    <n v="59"/>
    <s v="Good"/>
    <n v="0"/>
    <n v="8.9700000000000002E-2"/>
    <n v="6.0599999999999994E-2"/>
    <d v="1899-12-30T21:42:00"/>
  </r>
  <r>
    <n v="170"/>
    <d v="2020-02-09T14:00:00"/>
    <d v="2020-02-09T00:00:00"/>
    <s v="14:00"/>
    <d v="2020-02-10T08:02:00"/>
    <d v="2020-02-10T00:00:00"/>
    <d v="1899-12-30T08:02:00"/>
    <n v="2"/>
    <x v="1"/>
    <x v="3"/>
    <x v="11"/>
    <n v="77"/>
    <n v="4.83"/>
    <n v="3.14"/>
    <s v="Alive"/>
    <n v="62"/>
    <n v="156"/>
    <n v="66"/>
    <n v="55"/>
    <s v="Good"/>
    <n v="0"/>
    <n v="4.8300000000000003E-2"/>
    <n v="3.1400000000000004E-2"/>
    <d v="1899-12-30T18:02:00"/>
  </r>
  <r>
    <n v="171"/>
    <d v="2020-02-09T14:00:00"/>
    <d v="2020-02-09T00:00:00"/>
    <s v="14:00"/>
    <d v="2020-02-10T08:05:00"/>
    <d v="2020-02-10T00:00:00"/>
    <d v="1899-12-30T08:05:00"/>
    <n v="5"/>
    <x v="1"/>
    <x v="2"/>
    <x v="15"/>
    <n v="78"/>
    <n v="5.16"/>
    <n v="1.46"/>
    <s v="Alive"/>
    <n v="78"/>
    <n v="158"/>
    <n v="66"/>
    <n v="55"/>
    <s v="Good"/>
    <n v="0"/>
    <n v="5.16E-2"/>
    <n v="1.46E-2"/>
    <d v="1899-12-30T18:05:00"/>
  </r>
  <r>
    <n v="172"/>
    <d v="2020-02-03T10:55:00"/>
    <d v="2020-02-03T00:00:00"/>
    <s v="10:55"/>
    <d v="2020-02-10T08:07:00"/>
    <d v="2020-02-10T00:00:00"/>
    <d v="1899-12-30T08:07:00"/>
    <n v="3"/>
    <x v="2"/>
    <x v="2"/>
    <x v="6"/>
    <n v="63"/>
    <n v="1.96"/>
    <n v="0.97"/>
    <s v="Alive"/>
    <n v="89"/>
    <n v="175"/>
    <n v="84"/>
    <n v="50"/>
    <s v="Moderate"/>
    <n v="0"/>
    <n v="1.9599999999999999E-2"/>
    <n v="9.7000000000000003E-3"/>
    <d v="1900-01-05T21:12:00"/>
  </r>
  <r>
    <n v="173"/>
    <d v="2020-02-10T06:59:00"/>
    <d v="2020-02-10T00:00:00"/>
    <s v="06:59"/>
    <d v="2020-02-10T08:21:00"/>
    <d v="2020-02-10T00:00:00"/>
    <d v="1899-12-30T08:21:00"/>
    <n v="6"/>
    <x v="1"/>
    <x v="0"/>
    <x v="1"/>
    <n v="86"/>
    <n v="8.4600000000000009"/>
    <n v="1.89"/>
    <s v="Alive"/>
    <n v="96"/>
    <n v="175"/>
    <n v="86"/>
    <n v="55"/>
    <s v="Good"/>
    <n v="0"/>
    <n v="8.4600000000000009E-2"/>
    <n v="1.89E-2"/>
    <d v="1899-12-30T01:22:00"/>
  </r>
  <r>
    <n v="174"/>
    <d v="2020-02-10T07:46:00"/>
    <d v="2020-02-10T00:00:00"/>
    <s v="07:46"/>
    <d v="2020-02-10T13:30:00"/>
    <d v="2020-02-10T00:00:00"/>
    <d v="1899-12-30T13:30:00"/>
    <n v="3"/>
    <x v="1"/>
    <x v="2"/>
    <x v="6"/>
    <n v="74"/>
    <n v="4.45"/>
    <n v="1.41"/>
    <s v="Alive"/>
    <n v="102"/>
    <n v="176"/>
    <n v="85"/>
    <n v="60"/>
    <s v="Good"/>
    <n v="0"/>
    <n v="4.4500000000000005E-2"/>
    <n v="1.41E-2"/>
    <d v="1899-12-30T05:44:00"/>
  </r>
  <r>
    <n v="175"/>
    <d v="2020-02-09T11:00:00"/>
    <d v="2020-02-09T00:00:00"/>
    <s v="11:00"/>
    <d v="2020-02-10T13:43:00"/>
    <d v="2020-02-10T00:00:00"/>
    <d v="1899-12-30T13:43:00"/>
    <n v="5"/>
    <x v="1"/>
    <x v="2"/>
    <x v="15"/>
    <n v="70"/>
    <n v="4.04"/>
    <n v="1.34"/>
    <s v="Alive"/>
    <n v="136"/>
    <n v="177"/>
    <n v="78"/>
    <n v="46"/>
    <s v="Moderate"/>
    <n v="0"/>
    <n v="4.0399999999999998E-2"/>
    <n v="1.34E-2"/>
    <d v="1899-12-31T02:43:00"/>
  </r>
  <r>
    <n v="176"/>
    <d v="2020-01-30T11:00:00"/>
    <d v="2020-01-30T00:00:00"/>
    <s v="11:00"/>
    <d v="2020-02-10T13:56:00"/>
    <d v="2020-02-10T00:00:00"/>
    <d v="1899-12-30T13:56:00"/>
    <n v="2"/>
    <x v="2"/>
    <x v="2"/>
    <x v="11"/>
    <n v="73"/>
    <n v="5.6"/>
    <n v="1.75"/>
    <s v="Alive"/>
    <n v="99"/>
    <n v="162"/>
    <n v="82"/>
    <n v="44"/>
    <s v="Moderate"/>
    <n v="0"/>
    <n v="5.5999999999999994E-2"/>
    <n v="1.7500000000000002E-2"/>
    <d v="1900-01-10T02:56:00"/>
  </r>
  <r>
    <n v="177"/>
    <d v="2020-02-10T13:52:00"/>
    <d v="2020-02-10T00:00:00"/>
    <s v="13:52"/>
    <d v="2020-02-11T07:59:00"/>
    <d v="2020-02-11T00:00:00"/>
    <d v="1899-12-30T07:59:00"/>
    <n v="3"/>
    <x v="1"/>
    <x v="3"/>
    <x v="3"/>
    <n v="73"/>
    <n v="10.43"/>
    <n v="3.39"/>
    <s v="Alive"/>
    <n v="71"/>
    <n v="164"/>
    <n v="72"/>
    <n v="45"/>
    <s v="Moderate"/>
    <n v="0"/>
    <n v="0.1043"/>
    <n v="3.39E-2"/>
    <d v="1899-12-30T18:07:00"/>
  </r>
  <r>
    <n v="178"/>
    <d v="2020-02-10T11:00:00"/>
    <d v="2020-02-10T00:00:00"/>
    <s v="11:00"/>
    <d v="2020-02-11T08:10:00"/>
    <d v="2020-02-11T00:00:00"/>
    <d v="1899-12-30T08:10:00"/>
    <n v="2"/>
    <x v="2"/>
    <x v="0"/>
    <x v="2"/>
    <n v="73"/>
    <n v="3.74"/>
    <n v="3.82"/>
    <s v="Alive"/>
    <n v="102"/>
    <n v="170"/>
    <n v="72"/>
    <n v="69"/>
    <s v="Good"/>
    <n v="0"/>
    <n v="3.7400000000000003E-2"/>
    <n v="3.8199999999999998E-2"/>
    <d v="1899-12-30T21:10:00"/>
  </r>
  <r>
    <n v="179"/>
    <d v="2020-02-10T14:20:00"/>
    <d v="2020-02-10T00:00:00"/>
    <s v="14:20"/>
    <d v="2020-02-11T08:14:00"/>
    <d v="2020-02-11T00:00:00"/>
    <d v="1899-12-30T08:14:00"/>
    <n v="5"/>
    <x v="1"/>
    <x v="2"/>
    <x v="4"/>
    <n v="72"/>
    <n v="2.86"/>
    <n v="0.97"/>
    <s v="Alive"/>
    <n v="159"/>
    <n v="163"/>
    <n v="60"/>
    <n v="55"/>
    <s v="Good"/>
    <n v="0"/>
    <n v="2.86E-2"/>
    <n v="9.7000000000000003E-3"/>
    <d v="1899-12-30T17:54:00"/>
  </r>
  <r>
    <n v="180"/>
    <d v="2020-02-10T10:32:00"/>
    <d v="2020-02-10T00:00:00"/>
    <s v="10:32"/>
    <d v="2020-02-11T08:52:00"/>
    <d v="2020-02-11T00:00:00"/>
    <d v="1899-12-30T08:52:00"/>
    <n v="6"/>
    <x v="1"/>
    <x v="0"/>
    <x v="6"/>
    <n v="81"/>
    <n v="12.29"/>
    <n v="8.15"/>
    <s v="Alive"/>
    <n v="85"/>
    <n v="156"/>
    <n v="69"/>
    <n v="55"/>
    <s v="Good"/>
    <n v="0"/>
    <n v="0.1229"/>
    <n v="8.1500000000000003E-2"/>
    <d v="1899-12-30T22:20:00"/>
  </r>
  <r>
    <n v="181"/>
    <d v="2020-02-11T07:51:00"/>
    <d v="2020-02-11T00:00:00"/>
    <s v="07:51"/>
    <d v="2020-02-11T13:45:00"/>
    <d v="2020-02-11T00:00:00"/>
    <d v="1899-12-30T13:45:00"/>
    <n v="3"/>
    <x v="1"/>
    <x v="0"/>
    <x v="3"/>
    <n v="73"/>
    <n v="11.29"/>
    <n v="2.94"/>
    <s v="Alive"/>
    <n v="130"/>
    <n v="169"/>
    <n v="90"/>
    <n v="50"/>
    <s v="Moderate"/>
    <n v="0"/>
    <n v="0.11289999999999999"/>
    <n v="2.9399999999999999E-2"/>
    <d v="1899-12-30T05:54:00"/>
  </r>
  <r>
    <n v="182"/>
    <d v="2020-02-11T07:14:00"/>
    <d v="2020-02-11T00:00:00"/>
    <s v="07:14"/>
    <d v="2020-02-11T14:15:00"/>
    <d v="2020-02-11T00:00:00"/>
    <d v="1899-12-30T14:15:00"/>
    <n v="5"/>
    <x v="1"/>
    <x v="0"/>
    <x v="4"/>
    <n v="61"/>
    <n v="3.56"/>
    <n v="0.98"/>
    <s v="Alive"/>
    <n v="88"/>
    <n v="188"/>
    <n v="101"/>
    <n v="60"/>
    <s v="Good"/>
    <n v="0"/>
    <n v="3.56E-2"/>
    <n v="9.7999999999999997E-3"/>
    <d v="1899-12-30T07:01:00"/>
  </r>
  <r>
    <n v="183"/>
    <d v="2020-02-10T15:30:00"/>
    <d v="2020-02-10T00:00:00"/>
    <s v="15:30"/>
    <d v="2020-02-11T15:52:00"/>
    <d v="2020-02-11T00:00:00"/>
    <d v="1899-12-30T15:52:00"/>
    <n v="6"/>
    <x v="1"/>
    <x v="0"/>
    <x v="15"/>
    <n v="83"/>
    <n v="9.52"/>
    <n v="4.76"/>
    <s v="Alive"/>
    <n v="79"/>
    <n v="151"/>
    <n v="47"/>
    <n v="55"/>
    <s v="Good"/>
    <n v="0"/>
    <n v="9.5199999999999993E-2"/>
    <n v="4.7599999999999996E-2"/>
    <d v="1899-12-31T00:22:00"/>
  </r>
  <r>
    <n v="184"/>
    <d v="2020-02-11T13:59:00"/>
    <d v="2020-02-11T00:00:00"/>
    <s v="13:59"/>
    <d v="2020-02-12T08:05:00"/>
    <d v="2020-02-12T00:00:00"/>
    <d v="1899-12-30T08:05:00"/>
    <n v="6"/>
    <x v="1"/>
    <x v="4"/>
    <x v="9"/>
    <n v="65"/>
    <n v="9.9600000000000009"/>
    <n v="5.13"/>
    <s v="Alive"/>
    <n v="86"/>
    <n v="163"/>
    <n v="64"/>
    <n v="55"/>
    <s v="Good"/>
    <n v="0"/>
    <n v="9.9600000000000008E-2"/>
    <n v="5.1299999999999998E-2"/>
    <d v="1899-12-30T18:06:00"/>
  </r>
  <r>
    <n v="185"/>
    <d v="2020-02-11T14:00:00"/>
    <d v="2020-02-11T00:00:00"/>
    <s v="14:00"/>
    <d v="2020-02-12T08:20:00"/>
    <d v="2020-02-12T00:00:00"/>
    <d v="1899-12-30T08:20:00"/>
    <n v="3"/>
    <x v="1"/>
    <x v="2"/>
    <x v="0"/>
    <n v="59"/>
    <n v="0.88"/>
    <n v="0.56000000000000005"/>
    <s v="Alive"/>
    <n v="83"/>
    <n v="170"/>
    <n v="80"/>
    <n v="76"/>
    <s v="Good"/>
    <n v="0"/>
    <n v="8.8000000000000005E-3"/>
    <n v="5.6000000000000008E-3"/>
    <d v="1899-12-30T18:20:00"/>
  </r>
  <r>
    <n v="186"/>
    <d v="2020-01-17T20:11:00"/>
    <d v="2020-01-17T00:00:00"/>
    <s v="20:11"/>
    <d v="2020-02-12T08:25:00"/>
    <d v="2020-02-12T00:00:00"/>
    <d v="1899-12-30T08:25:00"/>
    <n v="5"/>
    <x v="2"/>
    <x v="0"/>
    <x v="8"/>
    <n v="73"/>
    <n v="12.84"/>
    <n v="4.93"/>
    <s v="Alive"/>
    <n v="78"/>
    <n v="181"/>
    <n v="117"/>
    <n v="60"/>
    <s v="Good"/>
    <n v="0"/>
    <n v="0.12839999999999999"/>
    <n v="4.9299999999999997E-2"/>
    <d v="1900-01-24T12:14:00"/>
  </r>
  <r>
    <n v="187"/>
    <d v="2020-02-12T07:02:00"/>
    <d v="2020-02-12T00:00:00"/>
    <s v="07:02"/>
    <d v="2020-02-12T08:34:00"/>
    <d v="2020-02-12T00:00:00"/>
    <d v="1899-12-30T08:34:00"/>
    <n v="2"/>
    <x v="1"/>
    <x v="0"/>
    <x v="2"/>
    <n v="70"/>
    <n v="8.73"/>
    <n v="1.37"/>
    <s v="Alive"/>
    <n v="85"/>
    <n v="165"/>
    <n v="111"/>
    <n v="55"/>
    <s v="Good"/>
    <n v="0"/>
    <n v="8.7300000000000003E-2"/>
    <n v="1.37E-2"/>
    <d v="1899-12-30T01:32:00"/>
  </r>
  <r>
    <n v="188"/>
    <d v="2020-02-12T08:00:00"/>
    <d v="2020-02-12T00:00:00"/>
    <s v="08:00"/>
    <d v="2020-02-12T13:29:00"/>
    <d v="2020-02-12T00:00:00"/>
    <d v="1899-12-30T13:29:00"/>
    <n v="6"/>
    <x v="1"/>
    <x v="0"/>
    <x v="10"/>
    <n v="70"/>
    <n v="4.24"/>
    <n v="0.92"/>
    <s v="Alive"/>
    <n v="139"/>
    <n v="168"/>
    <n v="87"/>
    <n v="44"/>
    <s v="Moderate"/>
    <n v="0"/>
    <n v="4.24E-2"/>
    <n v="9.1999999999999998E-3"/>
    <d v="1899-12-30T05:29:00"/>
  </r>
  <r>
    <n v="189"/>
    <d v="2020-02-12T07:27:00"/>
    <d v="2020-02-12T00:00:00"/>
    <s v="07:27"/>
    <d v="2020-02-12T13:49:00"/>
    <d v="2020-02-12T00:00:00"/>
    <d v="1899-12-30T13:49:00"/>
    <n v="3"/>
    <x v="1"/>
    <x v="0"/>
    <x v="0"/>
    <n v="58"/>
    <n v="1.51"/>
    <n v="0.5"/>
    <s v="Alive"/>
    <n v="73"/>
    <n v="180"/>
    <n v="101"/>
    <n v="45"/>
    <s v="Moderate"/>
    <n v="0"/>
    <n v="1.5100000000000001E-2"/>
    <n v="5.0000000000000001E-3"/>
    <d v="1899-12-30T06:22:00"/>
  </r>
  <r>
    <n v="190"/>
    <d v="2020-02-13T03:47:00"/>
    <d v="2020-02-13T00:00:00"/>
    <s v="03:47"/>
    <d v="2020-02-13T05:50:00"/>
    <d v="2020-02-13T00:00:00"/>
    <d v="1899-12-30T05:50:00"/>
    <n v="2"/>
    <x v="0"/>
    <x v="4"/>
    <x v="13"/>
    <n v="74"/>
    <n v="42.01"/>
    <n v="5.85"/>
    <s v="Alive"/>
    <n v="73"/>
    <n v="178"/>
    <n v="77"/>
    <n v="45"/>
    <s v="Moderate"/>
    <n v="0"/>
    <n v="0.42009999999999997"/>
    <n v="5.8499999999999996E-2"/>
    <d v="1899-12-30T02:03:00"/>
  </r>
  <r>
    <n v="191"/>
    <d v="2020-02-12T13:30:00"/>
    <d v="2020-02-12T00:00:00"/>
    <s v="13:30"/>
    <d v="2020-02-13T08:23:00"/>
    <d v="2020-02-13T00:00:00"/>
    <d v="1899-12-30T08:23:00"/>
    <n v="3"/>
    <x v="1"/>
    <x v="0"/>
    <x v="1"/>
    <n v="75"/>
    <n v="4.25"/>
    <n v="1.32"/>
    <s v="Alive"/>
    <n v="98"/>
    <n v="175"/>
    <n v="106"/>
    <n v="60"/>
    <s v="Good"/>
    <n v="0"/>
    <n v="4.2500000000000003E-2"/>
    <n v="1.32E-2"/>
    <d v="1899-12-30T18:53:00"/>
  </r>
  <r>
    <n v="192"/>
    <d v="2020-02-12T10:40:00"/>
    <d v="2020-02-12T00:00:00"/>
    <s v="10:40"/>
    <d v="2020-02-13T08:24:00"/>
    <d v="2020-02-13T00:00:00"/>
    <d v="1899-12-30T08:24:00"/>
    <n v="1"/>
    <x v="1"/>
    <x v="0"/>
    <x v="6"/>
    <n v="79"/>
    <n v="7.46"/>
    <n v="2.73"/>
    <s v="Alive"/>
    <n v="83"/>
    <n v="161"/>
    <n v="79"/>
    <n v="60"/>
    <s v="Good"/>
    <n v="0"/>
    <n v="7.46E-2"/>
    <n v="2.7300000000000001E-2"/>
    <d v="1899-12-30T21:44:00"/>
  </r>
  <r>
    <n v="193"/>
    <d v="2020-02-12T13:47:00"/>
    <d v="2020-02-12T00:00:00"/>
    <s v="13:47"/>
    <d v="2020-02-13T08:27:00"/>
    <d v="2020-02-13T00:00:00"/>
    <d v="1899-12-30T08:27:00"/>
    <n v="5"/>
    <x v="1"/>
    <x v="2"/>
    <x v="12"/>
    <n v="72"/>
    <n v="20.77"/>
    <n v="14.79"/>
    <s v="Alive"/>
    <n v="69"/>
    <n v="170"/>
    <n v="90"/>
    <n v="60"/>
    <s v="Good"/>
    <n v="0"/>
    <n v="0.2077"/>
    <n v="0.1479"/>
    <d v="1899-12-30T18:40:00"/>
  </r>
  <r>
    <n v="194"/>
    <d v="2020-02-10T19:57:00"/>
    <d v="2020-02-10T00:00:00"/>
    <s v="19:57"/>
    <d v="2020-02-13T08:50:00"/>
    <d v="2020-02-13T00:00:00"/>
    <d v="1899-12-30T08:50:00"/>
    <n v="6"/>
    <x v="0"/>
    <x v="4"/>
    <x v="9"/>
    <n v="83"/>
    <n v="75.38"/>
    <n v="32.840000000000003"/>
    <s v="Died"/>
    <n v="90"/>
    <n v="175"/>
    <n v="99"/>
    <n v="44"/>
    <s v="Moderate"/>
    <n v="1"/>
    <n v="0.75379999999999991"/>
    <n v="0.32840000000000003"/>
    <d v="1900-01-01T12:53:00"/>
  </r>
  <r>
    <n v="195"/>
    <d v="2020-02-13T13:56:00"/>
    <d v="2020-02-13T00:00:00"/>
    <s v="13:56"/>
    <d v="2020-02-14T08:05:00"/>
    <d v="2020-02-14T00:00:00"/>
    <d v="1899-12-30T08:05:00"/>
    <n v="3"/>
    <x v="1"/>
    <x v="0"/>
    <x v="8"/>
    <n v="77"/>
    <n v="4.83"/>
    <n v="3.77"/>
    <s v="Alive"/>
    <n v="180"/>
    <n v="168"/>
    <n v="81"/>
    <n v="60"/>
    <s v="Good"/>
    <n v="0"/>
    <n v="4.8300000000000003E-2"/>
    <n v="3.7699999999999997E-2"/>
    <d v="1899-12-30T18:09:00"/>
  </r>
  <r>
    <n v="196"/>
    <d v="2020-02-02T18:30:00"/>
    <d v="2020-02-02T00:00:00"/>
    <s v="18:30"/>
    <d v="2020-02-14T08:26:00"/>
    <d v="2020-02-14T00:00:00"/>
    <d v="1899-12-30T08:26:00"/>
    <n v="5"/>
    <x v="2"/>
    <x v="3"/>
    <x v="9"/>
    <n v="82"/>
    <n v="15.67"/>
    <n v="6.87"/>
    <s v="Alive"/>
    <n v="71"/>
    <n v="172"/>
    <n v="85"/>
    <n v="50"/>
    <s v="Moderate"/>
    <n v="0"/>
    <n v="0.15670000000000001"/>
    <n v="6.8699999999999997E-2"/>
    <d v="1900-01-10T13:56:00"/>
  </r>
  <r>
    <n v="197"/>
    <d v="2020-02-13T21:45:00"/>
    <d v="2020-02-13T00:00:00"/>
    <s v="21:45"/>
    <d v="2020-02-14T11:01:00"/>
    <d v="2020-02-14T00:00:00"/>
    <d v="1899-12-30T11:01:00"/>
    <n v="1"/>
    <x v="1"/>
    <x v="3"/>
    <x v="11"/>
    <n v="74"/>
    <n v="3.99"/>
    <n v="2.31"/>
    <s v="Alive"/>
    <n v="85"/>
    <n v="171"/>
    <n v="113"/>
    <n v="23"/>
    <s v="Poor"/>
    <n v="0"/>
    <n v="3.9900000000000005E-2"/>
    <n v="2.3099999999999999E-2"/>
    <d v="1899-12-30T13:16:00"/>
  </r>
  <r>
    <n v="198"/>
    <d v="2020-02-14T07:23:00"/>
    <d v="2020-02-14T00:00:00"/>
    <s v="07:23"/>
    <d v="2020-02-14T13:10:00"/>
    <d v="2020-02-14T00:00:00"/>
    <d v="1899-12-30T13:10:00"/>
    <n v="3"/>
    <x v="1"/>
    <x v="0"/>
    <x v="8"/>
    <n v="83"/>
    <n v="27.88"/>
    <n v="12.95"/>
    <s v="Alive"/>
    <n v="90"/>
    <n v="174"/>
    <n v="110"/>
    <n v="20"/>
    <s v="Very Poor"/>
    <n v="0"/>
    <n v="0.27879999999999999"/>
    <n v="0.1295"/>
    <d v="1899-12-30T05:47:00"/>
  </r>
  <r>
    <n v="199"/>
    <d v="2020-02-14T07:37:00"/>
    <d v="2020-02-14T00:00:00"/>
    <s v="07:37"/>
    <d v="2020-02-14T14:30:00"/>
    <d v="2020-02-14T00:00:00"/>
    <d v="1899-12-30T14:30:00"/>
    <n v="5"/>
    <x v="1"/>
    <x v="4"/>
    <x v="9"/>
    <n v="68"/>
    <n v="11"/>
    <n v="5.67"/>
    <s v="Alive"/>
    <n v="105"/>
    <n v="171"/>
    <n v="71"/>
    <n v="50"/>
    <s v="Moderate"/>
    <n v="0"/>
    <n v="0.11"/>
    <n v="5.67E-2"/>
    <d v="1899-12-30T06:53:00"/>
  </r>
  <r>
    <n v="200"/>
    <d v="2020-02-13T10:55:00"/>
    <d v="2020-02-13T00:00:00"/>
    <s v="10:55"/>
    <d v="2020-02-14T15:44:00"/>
    <d v="2020-02-14T00:00:00"/>
    <d v="1899-12-30T15:44:00"/>
    <n v="1"/>
    <x v="2"/>
    <x v="2"/>
    <x v="11"/>
    <n v="71"/>
    <n v="3.3"/>
    <n v="1.64"/>
    <s v="Alive"/>
    <n v="113"/>
    <n v="166"/>
    <n v="102"/>
    <n v="25"/>
    <s v="Poor"/>
    <n v="0"/>
    <n v="3.3000000000000002E-2"/>
    <n v="1.6399999999999998E-2"/>
    <d v="1899-12-31T04:49:00"/>
  </r>
  <r>
    <n v="201"/>
    <d v="2020-02-14T12:05:00"/>
    <d v="2020-02-14T00:00:00"/>
    <s v="12:05"/>
    <d v="2020-02-15T07:51:00"/>
    <d v="2020-02-15T00:00:00"/>
    <d v="1899-12-30T07:51:00"/>
    <n v="5"/>
    <x v="1"/>
    <x v="2"/>
    <x v="0"/>
    <n v="63"/>
    <n v="1.1499999999999999"/>
    <n v="0.61"/>
    <s v="Alive"/>
    <n v="135"/>
    <n v="164"/>
    <n v="66"/>
    <n v="55"/>
    <s v="Good"/>
    <n v="0"/>
    <n v="1.15E-2"/>
    <n v="6.0999999999999995E-3"/>
    <d v="1899-12-30T19:46:00"/>
  </r>
  <r>
    <n v="202"/>
    <d v="2020-02-14T15:00:00"/>
    <d v="2020-02-14T00:00:00"/>
    <s v="15:00"/>
    <d v="2020-02-15T08:28:00"/>
    <d v="2020-02-15T00:00:00"/>
    <d v="1899-12-30T08:28:00"/>
    <n v="2"/>
    <x v="1"/>
    <x v="0"/>
    <x v="10"/>
    <n v="69"/>
    <n v="6.35"/>
    <n v="4.37"/>
    <s v="Alive"/>
    <n v="84"/>
    <n v="179"/>
    <n v="83"/>
    <n v="50"/>
    <s v="Moderate"/>
    <n v="0"/>
    <n v="6.3500000000000001E-2"/>
    <n v="4.3700000000000003E-2"/>
    <d v="1899-12-30T17:28:00"/>
  </r>
  <r>
    <n v="203"/>
    <d v="2020-02-15T00:33:00"/>
    <d v="2020-02-15T00:00:00"/>
    <s v="00:33"/>
    <d v="2020-02-15T12:39:00"/>
    <d v="2020-02-15T00:00:00"/>
    <d v="1899-12-30T12:39:00"/>
    <n v="5"/>
    <x v="0"/>
    <x v="1"/>
    <x v="11"/>
    <n v="54"/>
    <n v="4.16"/>
    <n v="4.29"/>
    <s v="Alive"/>
    <n v="82"/>
    <n v="172"/>
    <n v="73"/>
    <n v="40"/>
    <s v="Moderate"/>
    <n v="0"/>
    <n v="4.1599999999999998E-2"/>
    <n v="4.2900000000000001E-2"/>
    <d v="1899-12-30T12:06:00"/>
  </r>
  <r>
    <n v="204"/>
    <d v="2020-02-16T14:00:00"/>
    <d v="2020-02-16T00:00:00"/>
    <s v="14:00"/>
    <d v="2020-02-17T07:55:00"/>
    <d v="2020-02-17T00:00:00"/>
    <d v="1899-12-30T07:55:00"/>
    <n v="1"/>
    <x v="1"/>
    <x v="2"/>
    <x v="0"/>
    <n v="72"/>
    <n v="3.91"/>
    <n v="1.2"/>
    <s v="Alive"/>
    <n v="66"/>
    <n v="172"/>
    <n v="79"/>
    <n v="45"/>
    <s v="Moderate"/>
    <n v="0"/>
    <n v="3.9100000000000003E-2"/>
    <n v="1.2E-2"/>
    <d v="1899-12-30T17:55:00"/>
  </r>
  <r>
    <n v="205"/>
    <d v="2020-02-16T14:00:00"/>
    <d v="2020-02-16T00:00:00"/>
    <s v="14:00"/>
    <d v="2020-02-17T08:04:00"/>
    <d v="2020-02-17T00:00:00"/>
    <d v="1899-12-30T08:04:00"/>
    <n v="3"/>
    <x v="1"/>
    <x v="2"/>
    <x v="3"/>
    <n v="65"/>
    <n v="2.93"/>
    <n v="1.47"/>
    <s v="Alive"/>
    <n v="79"/>
    <n v="165"/>
    <n v="91"/>
    <n v="20"/>
    <s v="Very Poor"/>
    <n v="0"/>
    <n v="2.9300000000000003E-2"/>
    <n v="1.47E-2"/>
    <d v="1899-12-30T18:04:00"/>
  </r>
  <r>
    <n v="206"/>
    <d v="2020-02-16T14:00:00"/>
    <d v="2020-02-16T00:00:00"/>
    <s v="14:00"/>
    <d v="2020-02-17T08:07:00"/>
    <d v="2020-02-17T00:00:00"/>
    <d v="1899-12-30T08:07:00"/>
    <n v="2"/>
    <x v="1"/>
    <x v="2"/>
    <x v="11"/>
    <n v="53"/>
    <n v="0.88"/>
    <n v="0.56000000000000005"/>
    <s v="Alive"/>
    <n v="86"/>
    <n v="178"/>
    <n v="87"/>
    <n v="60"/>
    <s v="Good"/>
    <n v="0"/>
    <n v="8.8000000000000005E-3"/>
    <n v="5.6000000000000008E-3"/>
    <d v="1899-12-30T18:07:00"/>
  </r>
  <r>
    <n v="207"/>
    <d v="2020-02-14T11:00:00"/>
    <d v="2020-02-14T00:00:00"/>
    <s v="11:00"/>
    <d v="2020-02-17T08:10:00"/>
    <d v="2020-02-17T00:00:00"/>
    <d v="1899-12-30T08:10:00"/>
    <n v="5"/>
    <x v="2"/>
    <x v="3"/>
    <x v="12"/>
    <n v="78"/>
    <n v="33.9"/>
    <n v="18.149999999999999"/>
    <s v="Alive"/>
    <n v="102"/>
    <n v="184"/>
    <n v="86"/>
    <n v="47"/>
    <s v="Moderate"/>
    <n v="0"/>
    <n v="0.33899999999999997"/>
    <n v="0.18149999999999999"/>
    <d v="1900-01-01T21:10:00"/>
  </r>
  <r>
    <n v="208"/>
    <d v="2020-02-16T14:17:00"/>
    <d v="2020-02-16T00:00:00"/>
    <s v="14:17"/>
    <d v="2020-02-17T09:12:00"/>
    <d v="2020-02-17T00:00:00"/>
    <d v="1899-12-30T09:12:00"/>
    <n v="6"/>
    <x v="1"/>
    <x v="3"/>
    <x v="1"/>
    <n v="79"/>
    <n v="14.52"/>
    <n v="4.7300000000000004"/>
    <s v="Alive"/>
    <n v="102"/>
    <n v="173"/>
    <n v="84"/>
    <n v="57"/>
    <s v="Good"/>
    <n v="0"/>
    <n v="0.1452"/>
    <n v="4.7300000000000002E-2"/>
    <d v="1899-12-30T18:55:00"/>
  </r>
  <r>
    <n v="209"/>
    <d v="2020-02-17T07:00:00"/>
    <d v="2020-02-17T00:00:00"/>
    <s v="07:00"/>
    <d v="2020-02-17T13:16:00"/>
    <d v="2020-02-17T00:00:00"/>
    <d v="1899-12-30T13:16:00"/>
    <n v="3"/>
    <x v="1"/>
    <x v="0"/>
    <x v="3"/>
    <n v="67"/>
    <n v="2.54"/>
    <n v="0.61"/>
    <s v="Alive"/>
    <n v="65"/>
    <n v="170"/>
    <n v="80"/>
    <n v="45"/>
    <s v="Moderate"/>
    <n v="0"/>
    <n v="2.5399999999999999E-2"/>
    <n v="6.0999999999999995E-3"/>
    <d v="1899-12-30T06:16:00"/>
  </r>
  <r>
    <n v="210"/>
    <d v="2020-02-17T13:04:00"/>
    <d v="2020-02-17T00:00:00"/>
    <s v="13:04"/>
    <d v="2020-02-17T15:10:00"/>
    <d v="2020-02-17T00:00:00"/>
    <d v="1899-12-30T15:10:00"/>
    <n v="1"/>
    <x v="0"/>
    <x v="3"/>
    <x v="0"/>
    <n v="77"/>
    <n v="54.24"/>
    <n v="18.63"/>
    <s v="Alive"/>
    <n v="65"/>
    <n v="166"/>
    <n v="62"/>
    <n v="24"/>
    <s v="Poor"/>
    <n v="0"/>
    <n v="0.54239999999999999"/>
    <n v="0.18629999999999999"/>
    <d v="1899-12-30T02:06:00"/>
  </r>
  <r>
    <n v="211"/>
    <d v="2020-02-17T10:30:00"/>
    <d v="2020-02-17T00:00:00"/>
    <s v="10:30"/>
    <d v="2020-02-18T08:00:00"/>
    <d v="2020-02-18T00:00:00"/>
    <d v="1899-12-30T08:00:00"/>
    <n v="3"/>
    <x v="2"/>
    <x v="2"/>
    <x v="11"/>
    <n v="59"/>
    <n v="1.43"/>
    <n v="1.58"/>
    <s v="Alive"/>
    <n v="67"/>
    <n v="176"/>
    <n v="74"/>
    <n v="27"/>
    <s v="Poor"/>
    <n v="0"/>
    <n v="1.43E-2"/>
    <n v="1.5800000000000002E-2"/>
    <d v="1899-12-30T21:30:00"/>
  </r>
  <r>
    <n v="212"/>
    <d v="2020-02-17T13:27:00"/>
    <d v="2020-02-17T00:00:00"/>
    <s v="13:27"/>
    <d v="2020-02-18T08:13:00"/>
    <d v="2020-02-18T00:00:00"/>
    <d v="1899-12-30T08:13:00"/>
    <n v="5"/>
    <x v="1"/>
    <x v="3"/>
    <x v="4"/>
    <n v="73"/>
    <n v="8.82"/>
    <n v="5.16"/>
    <s v="Alive"/>
    <n v="95"/>
    <n v="185"/>
    <n v="92"/>
    <n v="10"/>
    <s v="Moderate"/>
    <n v="0"/>
    <n v="8.8200000000000001E-2"/>
    <n v="5.16E-2"/>
    <d v="1899-12-30T18:46:00"/>
  </r>
  <r>
    <n v="213"/>
    <d v="2020-02-18T07:00:00"/>
    <d v="2020-02-18T00:00:00"/>
    <s v="07:00"/>
    <d v="2020-02-18T11:23:00"/>
    <d v="2020-02-18T00:00:00"/>
    <d v="1899-12-30T11:23:00"/>
    <n v="2"/>
    <x v="1"/>
    <x v="0"/>
    <x v="2"/>
    <n v="71"/>
    <n v="8.48"/>
    <n v="4.71"/>
    <s v="Alive"/>
    <n v="65"/>
    <n v="168"/>
    <n v="93"/>
    <n v="62"/>
    <s v="Good"/>
    <n v="0"/>
    <n v="8.48E-2"/>
    <n v="4.7100000000000003E-2"/>
    <d v="1899-12-30T04:23:00"/>
  </r>
  <r>
    <n v="214"/>
    <d v="2020-02-18T07:48:00"/>
    <d v="2020-02-18T00:00:00"/>
    <s v="07:48"/>
    <d v="2020-02-18T14:38:00"/>
    <d v="2020-02-18T00:00:00"/>
    <d v="1899-12-30T14:38:00"/>
    <n v="5"/>
    <x v="1"/>
    <x v="2"/>
    <x v="4"/>
    <n v="71"/>
    <n v="3.3"/>
    <n v="1.07"/>
    <s v="Alive"/>
    <n v="74"/>
    <n v="173"/>
    <n v="93"/>
    <n v="66"/>
    <s v="Good"/>
    <n v="0"/>
    <n v="3.3000000000000002E-2"/>
    <n v="1.0700000000000001E-2"/>
    <d v="1899-12-30T06:50:00"/>
  </r>
  <r>
    <n v="215"/>
    <d v="2020-02-18T10:00:00"/>
    <d v="2020-02-18T00:00:00"/>
    <s v="10:00"/>
    <d v="2020-02-19T07:45:00"/>
    <d v="2020-02-19T00:00:00"/>
    <d v="1899-12-30T07:45:00"/>
    <n v="3"/>
    <x v="2"/>
    <x v="0"/>
    <x v="11"/>
    <n v="59"/>
    <n v="1.51"/>
    <n v="0.92"/>
    <s v="Alive"/>
    <n v="62"/>
    <n v="167"/>
    <n v="77"/>
    <n v="67"/>
    <s v="Good"/>
    <n v="0"/>
    <n v="1.5100000000000001E-2"/>
    <n v="9.1999999999999998E-3"/>
    <d v="1899-12-30T21:45:00"/>
  </r>
  <r>
    <n v="216"/>
    <d v="2020-02-18T13:40:00"/>
    <d v="2020-02-18T00:00:00"/>
    <s v="13:40"/>
    <d v="2020-02-19T08:10:00"/>
    <d v="2020-02-19T00:00:00"/>
    <d v="1899-12-30T08:10:00"/>
    <n v="2"/>
    <x v="1"/>
    <x v="0"/>
    <x v="2"/>
    <n v="69"/>
    <n v="2.89"/>
    <n v="2.52"/>
    <s v="Alive"/>
    <n v="63"/>
    <n v="179"/>
    <n v="88"/>
    <n v="25"/>
    <s v="Poor"/>
    <n v="0"/>
    <n v="2.8900000000000002E-2"/>
    <n v="2.52E-2"/>
    <d v="1899-12-30T18:30:00"/>
  </r>
  <r>
    <n v="217"/>
    <d v="2020-02-12T11:00:00"/>
    <d v="2020-02-12T00:00:00"/>
    <s v="11:00"/>
    <d v="2020-02-19T08:13:00"/>
    <d v="2020-02-19T00:00:00"/>
    <d v="1899-12-30T08:13:00"/>
    <n v="6"/>
    <x v="2"/>
    <x v="2"/>
    <x v="12"/>
    <n v="67"/>
    <n v="2.5499999999999998"/>
    <n v="1.31"/>
    <s v="Alive"/>
    <n v="80"/>
    <n v="160"/>
    <n v="76"/>
    <n v="15"/>
    <s v="Very Poor"/>
    <n v="0"/>
    <n v="2.5499999999999998E-2"/>
    <n v="1.3100000000000001E-2"/>
    <d v="1900-01-05T21:13:00"/>
  </r>
  <r>
    <n v="218"/>
    <d v="2020-02-18T15:24:00"/>
    <d v="2020-02-18T00:00:00"/>
    <s v="15:24"/>
    <d v="2020-02-19T08:14:00"/>
    <d v="2020-02-19T00:00:00"/>
    <d v="1899-12-30T08:14:00"/>
    <n v="5"/>
    <x v="1"/>
    <x v="2"/>
    <x v="15"/>
    <n v="71"/>
    <n v="2.68"/>
    <n v="1.35"/>
    <s v="Alive"/>
    <n v="72"/>
    <n v="178"/>
    <n v="115"/>
    <n v="38"/>
    <s v="Moderate"/>
    <n v="0"/>
    <n v="2.6800000000000001E-2"/>
    <n v="1.3500000000000002E-2"/>
    <d v="1899-12-30T16:50:00"/>
  </r>
  <r>
    <n v="219"/>
    <d v="2020-02-14T07:13:00"/>
    <d v="2020-02-14T00:00:00"/>
    <s v="07:13"/>
    <d v="2020-02-19T13:48:00"/>
    <d v="2020-02-19T00:00:00"/>
    <d v="1899-12-30T13:48:00"/>
    <n v="6"/>
    <x v="2"/>
    <x v="2"/>
    <x v="12"/>
    <n v="56"/>
    <n v="0.88"/>
    <n v="0.69"/>
    <s v="Alive"/>
    <n v="128"/>
    <n v="179"/>
    <n v="101"/>
    <n v="50"/>
    <s v="Moderate"/>
    <n v="0"/>
    <n v="8.8000000000000005E-3"/>
    <n v="6.8999999999999999E-3"/>
    <d v="1900-01-04T06:35:00"/>
  </r>
  <r>
    <n v="220"/>
    <d v="2020-02-19T13:28:00"/>
    <d v="2020-02-19T00:00:00"/>
    <s v="13:28"/>
    <d v="2020-02-20T08:05:00"/>
    <d v="2020-02-20T00:00:00"/>
    <d v="1899-12-30T08:05:00"/>
    <n v="5"/>
    <x v="1"/>
    <x v="0"/>
    <x v="12"/>
    <n v="75"/>
    <n v="6.32"/>
    <n v="4.83"/>
    <s v="Alive"/>
    <n v="93"/>
    <n v="167"/>
    <n v="81"/>
    <n v="35"/>
    <s v="Moderate"/>
    <n v="0"/>
    <n v="6.3200000000000006E-2"/>
    <n v="4.8300000000000003E-2"/>
    <d v="1899-12-30T18:37:00"/>
  </r>
  <r>
    <n v="221"/>
    <d v="2020-02-19T13:56:00"/>
    <d v="2020-02-19T00:00:00"/>
    <s v="13:56"/>
    <d v="2020-02-20T08:25:00"/>
    <d v="2020-02-20T00:00:00"/>
    <d v="1899-12-30T08:25:00"/>
    <n v="2"/>
    <x v="1"/>
    <x v="3"/>
    <x v="10"/>
    <n v="83"/>
    <n v="28.58"/>
    <n v="7.1"/>
    <s v="Alive"/>
    <n v="82"/>
    <n v="170"/>
    <n v="103"/>
    <n v="35"/>
    <s v="Moderate"/>
    <n v="0"/>
    <n v="0.2858"/>
    <n v="7.0999999999999994E-2"/>
    <d v="1899-12-30T18:29:00"/>
  </r>
  <r>
    <n v="222"/>
    <d v="2020-02-19T11:00:00"/>
    <d v="2020-02-19T00:00:00"/>
    <s v="11:00"/>
    <d v="2020-02-20T10:39:00"/>
    <d v="2020-02-20T00:00:00"/>
    <d v="1899-12-30T10:39:00"/>
    <n v="3"/>
    <x v="2"/>
    <x v="4"/>
    <x v="11"/>
    <n v="71"/>
    <n v="17.28"/>
    <n v="6.74"/>
    <s v="Alive"/>
    <n v="75"/>
    <n v="162"/>
    <n v="85"/>
    <n v="29"/>
    <s v="Poor"/>
    <n v="0"/>
    <n v="0.17280000000000001"/>
    <n v="6.7400000000000002E-2"/>
    <d v="1899-12-30T23:39:00"/>
  </r>
  <r>
    <n v="223"/>
    <d v="2020-02-19T11:00:00"/>
    <d v="2020-02-19T00:00:00"/>
    <s v="11:00"/>
    <d v="2020-02-20T10:47:00"/>
    <d v="2020-02-20T00:00:00"/>
    <d v="1899-12-30T10:47:00"/>
    <n v="6"/>
    <x v="2"/>
    <x v="0"/>
    <x v="9"/>
    <n v="70"/>
    <n v="3.08"/>
    <n v="1.01"/>
    <s v="Alive"/>
    <n v="104"/>
    <n v="173"/>
    <n v="86"/>
    <n v="40"/>
    <s v="Moderate"/>
    <n v="0"/>
    <n v="3.0800000000000001E-2"/>
    <n v="1.01E-2"/>
    <d v="1899-12-30T23:47:00"/>
  </r>
  <r>
    <n v="225"/>
    <d v="2020-02-20T14:06:00"/>
    <d v="2020-02-20T00:00:00"/>
    <s v="14:06"/>
    <d v="2020-02-21T08:12:00"/>
    <d v="2020-02-21T00:00:00"/>
    <d v="1899-12-30T08:12:00"/>
    <n v="3"/>
    <x v="1"/>
    <x v="0"/>
    <x v="10"/>
    <n v="54"/>
    <n v="1.51"/>
    <n v="0.67"/>
    <s v="Alive"/>
    <n v="73"/>
    <n v="149"/>
    <n v="54"/>
    <n v="40"/>
    <s v="Moderate"/>
    <n v="0"/>
    <n v="1.5100000000000001E-2"/>
    <n v="6.7000000000000002E-3"/>
    <d v="1899-12-30T18:06:00"/>
  </r>
  <r>
    <n v="226"/>
    <d v="2020-02-20T14:12:00"/>
    <d v="2020-02-20T00:00:00"/>
    <s v="14:12"/>
    <d v="2020-02-21T09:18:00"/>
    <d v="2020-02-21T00:00:00"/>
    <d v="1899-12-30T09:18:00"/>
    <n v="1"/>
    <x v="1"/>
    <x v="0"/>
    <x v="9"/>
    <n v="24"/>
    <n v="2.08"/>
    <n v="0.69"/>
    <s v="Alive"/>
    <n v="65"/>
    <n v="167"/>
    <n v="115"/>
    <n v="50"/>
    <s v="Moderate"/>
    <n v="0"/>
    <n v="2.0799999999999999E-2"/>
    <n v="6.8999999999999999E-3"/>
    <d v="1899-12-30T19:06:00"/>
  </r>
  <r>
    <n v="227"/>
    <d v="2020-02-10T03:58:00"/>
    <d v="2020-02-10T00:00:00"/>
    <s v="03:58"/>
    <d v="2020-02-21T09:26:00"/>
    <d v="2020-02-21T00:00:00"/>
    <d v="1899-12-30T09:26:00"/>
    <n v="6"/>
    <x v="0"/>
    <x v="2"/>
    <x v="11"/>
    <n v="74"/>
    <n v="54.68"/>
    <n v="51.16"/>
    <s v="Died"/>
    <n v="82"/>
    <n v="146"/>
    <n v="75"/>
    <n v="45"/>
    <s v="Moderate"/>
    <n v="1"/>
    <n v="0.54679999999999995"/>
    <n v="0.51159999999999994"/>
    <d v="1900-01-10T05:28:00"/>
  </r>
  <r>
    <n v="228"/>
    <d v="2020-02-21T16:00:00"/>
    <d v="2020-02-21T00:00:00"/>
    <s v="16:00"/>
    <d v="2020-02-22T07:55:00"/>
    <d v="2020-02-22T00:00:00"/>
    <d v="1899-12-30T07:55:00"/>
    <n v="5"/>
    <x v="1"/>
    <x v="2"/>
    <x v="1"/>
    <n v="61"/>
    <n v="1.52"/>
    <n v="0.95"/>
    <s v="Alive"/>
    <n v="113"/>
    <n v="157"/>
    <n v="61"/>
    <n v="25"/>
    <s v="Poor"/>
    <n v="0"/>
    <n v="1.52E-2"/>
    <n v="9.4999999999999998E-3"/>
    <d v="1899-12-30T15:55:00"/>
  </r>
  <r>
    <n v="229"/>
    <d v="2020-02-21T14:14:00"/>
    <d v="2020-02-21T00:00:00"/>
    <s v="14:14"/>
    <d v="2020-02-22T08:04:00"/>
    <d v="2020-02-22T00:00:00"/>
    <d v="1899-12-30T08:04:00"/>
    <n v="2"/>
    <x v="1"/>
    <x v="2"/>
    <x v="0"/>
    <n v="73"/>
    <n v="2.21"/>
    <n v="1.0900000000000001"/>
    <s v="Alive"/>
    <n v="81"/>
    <n v="174"/>
    <n v="92"/>
    <n v="66"/>
    <s v="Good"/>
    <n v="0"/>
    <n v="2.2099999999999998E-2"/>
    <n v="1.09E-2"/>
    <d v="1899-12-30T17:50:00"/>
  </r>
  <r>
    <n v="230"/>
    <d v="2020-02-21T14:15:00"/>
    <d v="2020-02-21T00:00:00"/>
    <s v="14:15"/>
    <d v="2020-02-22T11:51:00"/>
    <d v="2020-02-22T00:00:00"/>
    <d v="1899-12-30T11:51:00"/>
    <n v="2"/>
    <x v="1"/>
    <x v="2"/>
    <x v="0"/>
    <n v="68"/>
    <n v="1.59"/>
    <n v="0.95"/>
    <s v="Alive"/>
    <n v="85"/>
    <n v="170"/>
    <n v="78"/>
    <n v="16"/>
    <s v="Very Poor"/>
    <n v="0"/>
    <n v="1.5900000000000001E-2"/>
    <n v="9.4999999999999998E-3"/>
    <d v="1899-12-30T21:36:00"/>
  </r>
  <r>
    <n v="231"/>
    <d v="2020-02-21T16:00:00"/>
    <d v="2020-02-21T00:00:00"/>
    <s v="16:00"/>
    <d v="2020-02-22T12:42:00"/>
    <d v="2020-02-22T00:00:00"/>
    <d v="1899-12-30T12:42:00"/>
    <n v="5"/>
    <x v="1"/>
    <x v="2"/>
    <x v="1"/>
    <n v="73"/>
    <n v="2.21"/>
    <n v="0.73"/>
    <s v="Alive"/>
    <n v="83"/>
    <n v="170"/>
    <n v="98"/>
    <n v="55"/>
    <s v="Good"/>
    <n v="0"/>
    <n v="2.2099999999999998E-2"/>
    <n v="7.3000000000000001E-3"/>
    <d v="1899-12-30T20:42:00"/>
  </r>
  <r>
    <n v="232"/>
    <d v="2020-02-12T11:00:00"/>
    <d v="2020-02-12T00:00:00"/>
    <s v="11:00"/>
    <d v="2020-02-24T07:55:00"/>
    <d v="2020-02-24T00:00:00"/>
    <d v="1899-12-30T07:55:00"/>
    <n v="5"/>
    <x v="2"/>
    <x v="0"/>
    <x v="12"/>
    <n v="79"/>
    <n v="15.46"/>
    <n v="20.69"/>
    <s v="Alive"/>
    <n v="77"/>
    <n v="182"/>
    <n v="93"/>
    <n v="58"/>
    <s v="Good"/>
    <n v="0"/>
    <n v="0.15460000000000002"/>
    <n v="0.2069"/>
    <d v="1900-01-10T20:55:00"/>
  </r>
  <r>
    <n v="233"/>
    <d v="2020-02-23T11:00:00"/>
    <d v="2020-02-23T00:00:00"/>
    <s v="11:00"/>
    <d v="2020-02-24T08:40:00"/>
    <d v="2020-02-24T00:00:00"/>
    <d v="1899-12-30T08:40:00"/>
    <n v="6"/>
    <x v="2"/>
    <x v="0"/>
    <x v="1"/>
    <n v="73"/>
    <n v="20.86"/>
    <n v="14.43"/>
    <s v="Alive"/>
    <n v="83"/>
    <n v="170"/>
    <n v="74"/>
    <n v="29"/>
    <s v="Poor"/>
    <n v="0"/>
    <n v="0.20860000000000001"/>
    <n v="0.14429999999999998"/>
    <d v="1899-12-30T21:40:00"/>
  </r>
  <r>
    <n v="234"/>
    <d v="2020-02-23T13:58:00"/>
    <d v="2020-02-23T00:00:00"/>
    <s v="13:58"/>
    <d v="2020-02-24T08:44:00"/>
    <d v="2020-02-24T00:00:00"/>
    <d v="1899-12-30T08:44:00"/>
    <n v="2"/>
    <x v="1"/>
    <x v="3"/>
    <x v="11"/>
    <n v="60"/>
    <n v="1.61"/>
    <n v="1.47"/>
    <s v="Alive"/>
    <n v="73"/>
    <n v="156"/>
    <n v="66"/>
    <n v="21"/>
    <s v="Poor"/>
    <n v="0"/>
    <n v="1.61E-2"/>
    <n v="1.47E-2"/>
    <d v="1899-12-30T18:46:00"/>
  </r>
  <r>
    <n v="235"/>
    <d v="2020-02-14T00:05:00"/>
    <d v="2020-02-14T00:00:00"/>
    <s v="00:05"/>
    <d v="2020-02-24T12:15:00"/>
    <d v="2020-02-24T00:00:00"/>
    <d v="1899-12-30T12:15:00"/>
    <n v="5"/>
    <x v="2"/>
    <x v="2"/>
    <x v="12"/>
    <n v="73"/>
    <n v="35.71"/>
    <n v="29.56"/>
    <s v="Alive"/>
    <n v="99"/>
    <n v="173"/>
    <n v="103"/>
    <n v="45"/>
    <s v="Moderate"/>
    <n v="0"/>
    <n v="0.35710000000000003"/>
    <n v="0.29559999999999997"/>
    <d v="1900-01-09T12:10:00"/>
  </r>
  <r>
    <n v="236"/>
    <d v="2020-02-23T10:40:00"/>
    <d v="2020-02-23T00:00:00"/>
    <s v="10:40"/>
    <d v="2020-02-24T13:27:00"/>
    <d v="2020-02-24T00:00:00"/>
    <d v="1899-12-30T13:27:00"/>
    <n v="3"/>
    <x v="1"/>
    <x v="0"/>
    <x v="6"/>
    <n v="69"/>
    <n v="5.92"/>
    <n v="3.15"/>
    <s v="Alive"/>
    <n v="94"/>
    <n v="170"/>
    <n v="68"/>
    <n v="45"/>
    <s v="Moderate"/>
    <n v="0"/>
    <n v="5.9200000000000003E-2"/>
    <n v="3.15E-2"/>
    <d v="1899-12-31T02:47:00"/>
  </r>
  <r>
    <n v="237"/>
    <d v="2020-02-24T13:13:00"/>
    <d v="2020-02-24T00:00:00"/>
    <s v="13:13"/>
    <d v="2020-02-25T07:55:00"/>
    <d v="2020-02-25T00:00:00"/>
    <d v="1899-12-30T07:55:00"/>
    <n v="3"/>
    <x v="1"/>
    <x v="0"/>
    <x v="3"/>
    <n v="58"/>
    <n v="1.51"/>
    <n v="0.67"/>
    <s v="Alive"/>
    <n v="65"/>
    <n v="155"/>
    <n v="58"/>
    <n v="46"/>
    <s v="Moderate"/>
    <n v="0"/>
    <n v="1.5100000000000001E-2"/>
    <n v="6.7000000000000002E-3"/>
    <d v="1899-12-30T18:42:00"/>
  </r>
  <r>
    <n v="238"/>
    <d v="2020-02-24T11:17:00"/>
    <d v="2020-02-24T00:00:00"/>
    <s v="11:17"/>
    <d v="2020-02-25T08:14:00"/>
    <d v="2020-02-25T00:00:00"/>
    <d v="1899-12-30T08:14:00"/>
    <n v="5"/>
    <x v="2"/>
    <x v="2"/>
    <x v="4"/>
    <n v="70"/>
    <n v="11.52"/>
    <n v="8.9600000000000009"/>
    <s v="Alive"/>
    <n v="66"/>
    <n v="159"/>
    <n v="73"/>
    <n v="65"/>
    <s v="Good"/>
    <n v="0"/>
    <n v="0.1152"/>
    <n v="8.9600000000000013E-2"/>
    <d v="1899-12-30T20:57:00"/>
  </r>
  <r>
    <n v="239"/>
    <d v="2020-02-24T10:40:00"/>
    <d v="2020-02-24T00:00:00"/>
    <s v="10:40"/>
    <d v="2020-02-25T08:27:00"/>
    <d v="2020-02-25T00:00:00"/>
    <d v="1899-12-30T08:27:00"/>
    <n v="6"/>
    <x v="1"/>
    <x v="0"/>
    <x v="15"/>
    <n v="73"/>
    <n v="3.74"/>
    <n v="1.02"/>
    <s v="Alive"/>
    <n v="86"/>
    <n v="183"/>
    <n v="95"/>
    <n v="28"/>
    <s v="Poor"/>
    <n v="0"/>
    <n v="3.7400000000000003E-2"/>
    <n v="1.0200000000000001E-2"/>
    <d v="1899-12-30T21:47:00"/>
  </r>
  <r>
    <n v="240"/>
    <d v="2020-02-24T13:39:00"/>
    <d v="2020-02-24T00:00:00"/>
    <s v="13:39"/>
    <d v="2020-02-25T08:29:00"/>
    <d v="2020-02-25T00:00:00"/>
    <d v="1899-12-30T08:29:00"/>
    <n v="2"/>
    <x v="1"/>
    <x v="2"/>
    <x v="7"/>
    <n v="79"/>
    <n v="3.26"/>
    <n v="1.1599999999999999"/>
    <s v="Alive"/>
    <n v="65"/>
    <n v="181"/>
    <n v="76"/>
    <n v="49"/>
    <s v="Moderate"/>
    <n v="0"/>
    <n v="3.2599999999999997E-2"/>
    <n v="1.1599999999999999E-2"/>
    <d v="1899-12-30T18:50:00"/>
  </r>
  <r>
    <n v="242"/>
    <d v="2020-02-25T07:25:00"/>
    <d v="2020-02-25T00:00:00"/>
    <s v="07:25"/>
    <d v="2020-02-25T14:14:00"/>
    <d v="2020-02-25T00:00:00"/>
    <d v="1899-12-30T14:14:00"/>
    <n v="5"/>
    <x v="1"/>
    <x v="2"/>
    <x v="4"/>
    <n v="75"/>
    <n v="3.47"/>
    <n v="1.43"/>
    <s v="Alive"/>
    <n v="101"/>
    <n v="177"/>
    <n v="103"/>
    <n v="60"/>
    <s v="Good"/>
    <n v="0"/>
    <n v="3.4700000000000002E-2"/>
    <n v="1.43E-2"/>
    <d v="1899-12-30T06:49:00"/>
  </r>
  <r>
    <n v="243"/>
    <d v="2020-02-25T10:59:00"/>
    <d v="2020-02-25T00:00:00"/>
    <s v="10:59"/>
    <d v="2020-02-26T08:19:00"/>
    <d v="2020-02-26T00:00:00"/>
    <d v="1899-12-30T08:19:00"/>
    <n v="6"/>
    <x v="2"/>
    <x v="2"/>
    <x v="15"/>
    <n v="63"/>
    <n v="1.1499999999999999"/>
    <n v="1.25"/>
    <s v="Alive"/>
    <n v="76"/>
    <n v="167"/>
    <n v="76"/>
    <n v="42"/>
    <s v="Moderate"/>
    <n v="0"/>
    <n v="1.15E-2"/>
    <n v="1.2500000000000001E-2"/>
    <d v="1899-12-30T21:20:00"/>
  </r>
  <r>
    <n v="244"/>
    <d v="2020-02-25T13:54:00"/>
    <d v="2020-02-25T00:00:00"/>
    <s v="13:54"/>
    <d v="2020-02-26T08:36:00"/>
    <d v="2020-02-26T00:00:00"/>
    <d v="1899-12-30T08:36:00"/>
    <n v="2"/>
    <x v="1"/>
    <x v="2"/>
    <x v="10"/>
    <n v="67"/>
    <n v="3.34"/>
    <n v="2.2200000000000002"/>
    <s v="Alive"/>
    <n v="62"/>
    <n v="160"/>
    <n v="87"/>
    <n v="35"/>
    <s v="Moderate"/>
    <n v="0"/>
    <n v="3.3399999999999999E-2"/>
    <n v="2.2200000000000001E-2"/>
    <d v="1899-12-30T18:42:00"/>
  </r>
  <r>
    <n v="245"/>
    <d v="2020-02-25T15:21:00"/>
    <d v="2020-02-25T00:00:00"/>
    <s v="15:21"/>
    <d v="2020-02-26T09:37:00"/>
    <d v="2020-02-26T00:00:00"/>
    <d v="1899-12-30T09:37:00"/>
    <n v="3"/>
    <x v="1"/>
    <x v="3"/>
    <x v="0"/>
    <n v="67"/>
    <n v="4.09"/>
    <n v="1.41"/>
    <s v="Alive"/>
    <n v="77"/>
    <n v="170"/>
    <n v="91"/>
    <n v="71"/>
    <s v="Good"/>
    <n v="0"/>
    <n v="4.0899999999999999E-2"/>
    <n v="1.41E-2"/>
    <d v="1899-12-30T18:16:00"/>
  </r>
  <r>
    <n v="246"/>
    <d v="2020-02-25T10:39:00"/>
    <d v="2020-02-25T00:00:00"/>
    <s v="10:39"/>
    <d v="2020-02-26T12:06:00"/>
    <d v="2020-02-26T00:00:00"/>
    <d v="1899-12-30T12:06:00"/>
    <n v="5"/>
    <x v="1"/>
    <x v="0"/>
    <x v="8"/>
    <n v="61"/>
    <n v="1.39"/>
    <n v="0.96"/>
    <s v="Alive"/>
    <n v="76"/>
    <n v="173"/>
    <n v="92"/>
    <n v="35"/>
    <s v="Moderate"/>
    <n v="0"/>
    <n v="1.3899999999999999E-2"/>
    <n v="9.5999999999999992E-3"/>
    <d v="1899-12-31T01:27:00"/>
  </r>
  <r>
    <n v="247"/>
    <d v="2020-02-25T15:56:00"/>
    <d v="2020-02-25T00:00:00"/>
    <s v="15:56"/>
    <d v="2020-02-26T14:56:00"/>
    <d v="2020-02-26T00:00:00"/>
    <d v="1899-12-30T14:56:00"/>
    <n v="3"/>
    <x v="1"/>
    <x v="2"/>
    <x v="0"/>
    <n v="74"/>
    <n v="3.54"/>
    <n v="1.1299999999999999"/>
    <s v="Alive"/>
    <n v="65"/>
    <n v="177"/>
    <n v="85"/>
    <n v="55"/>
    <s v="Good"/>
    <n v="0"/>
    <n v="3.5400000000000001E-2"/>
    <n v="1.1299999999999999E-2"/>
    <d v="1899-12-30T23:00:00"/>
  </r>
  <r>
    <n v="248"/>
    <d v="2020-02-26T14:00:00"/>
    <d v="2020-02-26T00:00:00"/>
    <s v="14:00"/>
    <d v="2020-02-27T08:00:00"/>
    <d v="2020-02-27T00:00:00"/>
    <d v="1899-12-30T08:00:00"/>
    <n v="3"/>
    <x v="1"/>
    <x v="0"/>
    <x v="1"/>
    <n v="63"/>
    <n v="10.49"/>
    <n v="3.27"/>
    <s v="Alive"/>
    <n v="89"/>
    <n v="169"/>
    <n v="66"/>
    <n v="27"/>
    <s v="Poor"/>
    <n v="0"/>
    <n v="0.10490000000000001"/>
    <n v="3.27E-2"/>
    <d v="1899-12-30T18:00:00"/>
  </r>
  <r>
    <n v="249"/>
    <d v="2020-02-13T12:00:00"/>
    <d v="2020-02-13T00:00:00"/>
    <s v="12:00"/>
    <d v="2020-02-27T11:10:00"/>
    <d v="2020-02-27T00:00:00"/>
    <d v="1899-12-30T11:10:00"/>
    <n v="6"/>
    <x v="2"/>
    <x v="2"/>
    <x v="9"/>
    <n v="83"/>
    <n v="46.31"/>
    <n v="34.32"/>
    <s v="Alive"/>
    <n v="109"/>
    <n v="181"/>
    <n v="85"/>
    <n v="55"/>
    <s v="Good"/>
    <n v="0"/>
    <n v="0.46310000000000001"/>
    <n v="0.34320000000000001"/>
    <d v="1900-01-12T23:10:00"/>
  </r>
  <r>
    <n v="250"/>
    <d v="2020-02-26T11:00:00"/>
    <d v="2020-02-26T00:00:00"/>
    <s v="11:00"/>
    <d v="2020-02-27T13:01:00"/>
    <d v="2020-02-27T00:00:00"/>
    <d v="1899-12-30T13:01:00"/>
    <n v="2"/>
    <x v="2"/>
    <x v="0"/>
    <x v="15"/>
    <n v="74"/>
    <n v="9.3699999999999992"/>
    <n v="3.02"/>
    <s v="Alive"/>
    <n v="73"/>
    <n v="164"/>
    <n v="73"/>
    <n v="60"/>
    <s v="Good"/>
    <n v="0"/>
    <n v="9.3699999999999992E-2"/>
    <n v="3.0200000000000001E-2"/>
    <d v="1899-12-31T02:01:00"/>
  </r>
  <r>
    <n v="251"/>
    <d v="2020-02-24T10:06:00"/>
    <d v="2020-02-24T00:00:00"/>
    <s v="10:06"/>
    <d v="2020-02-27T13:39:00"/>
    <d v="2020-02-27T00:00:00"/>
    <d v="1899-12-30T13:39:00"/>
    <n v="3"/>
    <x v="0"/>
    <x v="1"/>
    <x v="6"/>
    <n v="80"/>
    <n v="61.72"/>
    <n v="53.08"/>
    <s v="Died"/>
    <n v="80"/>
    <n v="171"/>
    <n v="67"/>
    <n v="42"/>
    <s v="Moderate"/>
    <n v="1"/>
    <n v="0.61719999999999997"/>
    <n v="0.53079999999999994"/>
    <d v="1900-01-02T03:33:00"/>
  </r>
  <r>
    <n v="252"/>
    <d v="2020-02-27T10:56:00"/>
    <d v="2020-02-27T00:00:00"/>
    <s v="10:56"/>
    <d v="2020-02-28T12:14:00"/>
    <d v="2020-02-28T00:00:00"/>
    <d v="1899-12-30T12:14:00"/>
    <n v="2"/>
    <x v="2"/>
    <x v="3"/>
    <x v="7"/>
    <n v="62"/>
    <n v="4.67"/>
    <n v="2.2000000000000002"/>
    <s v="Alive"/>
    <n v="85"/>
    <n v="173"/>
    <n v="66"/>
    <n v="47"/>
    <s v="Moderate"/>
    <n v="0"/>
    <n v="4.6699999999999998E-2"/>
    <n v="2.2000000000000002E-2"/>
    <d v="1899-12-31T01:18:00"/>
  </r>
  <r>
    <n v="253"/>
    <d v="2020-02-28T14:00:00"/>
    <d v="2020-02-28T00:00:00"/>
    <s v="14:00"/>
    <d v="2020-02-29T08:00:00"/>
    <d v="2020-02-29T00:00:00"/>
    <d v="1899-12-30T08:00:00"/>
    <n v="1"/>
    <x v="0"/>
    <x v="0"/>
    <x v="6"/>
    <n v="46"/>
    <n v="8.57"/>
    <n v="1.86"/>
    <s v="Alive"/>
    <n v="71"/>
    <n v="181"/>
    <n v="94"/>
    <n v="66"/>
    <s v="Good"/>
    <n v="0"/>
    <n v="8.5699999999999998E-2"/>
    <n v="1.8600000000000002E-2"/>
    <d v="1899-12-30T18:00:00"/>
  </r>
  <r>
    <n v="254"/>
    <d v="2020-02-28T10:50:00"/>
    <d v="2020-02-28T00:00:00"/>
    <s v="10:50"/>
    <d v="2020-02-29T08:10:00"/>
    <d v="2020-02-29T00:00:00"/>
    <d v="1899-12-30T08:10:00"/>
    <n v="2"/>
    <x v="1"/>
    <x v="2"/>
    <x v="13"/>
    <n v="70"/>
    <n v="4.4000000000000004"/>
    <n v="1.22"/>
    <s v="Alive"/>
    <n v="65"/>
    <n v="177"/>
    <n v="88"/>
    <n v="20"/>
    <s v="Very Poor"/>
    <n v="0"/>
    <n v="4.4000000000000004E-2"/>
    <n v="1.2199999999999999E-2"/>
    <d v="1899-12-30T21:20:00"/>
  </r>
  <r>
    <n v="255"/>
    <d v="2020-02-28T14:23:00"/>
    <d v="2020-02-28T00:00:00"/>
    <s v="14:23"/>
    <d v="2020-02-29T08:59:00"/>
    <d v="2020-02-29T00:00:00"/>
    <d v="1899-12-30T08:59:00"/>
    <n v="5"/>
    <x v="1"/>
    <x v="0"/>
    <x v="8"/>
    <n v="61"/>
    <n v="1.72"/>
    <n v="0.7"/>
    <s v="Alive"/>
    <n v="108"/>
    <n v="188"/>
    <n v="80"/>
    <n v="55"/>
    <s v="Good"/>
    <n v="0"/>
    <n v="1.72E-2"/>
    <n v="6.9999999999999993E-3"/>
    <d v="1899-12-30T18:36:00"/>
  </r>
  <r>
    <n v="256"/>
    <d v="2020-01-27T15:20:00"/>
    <d v="2020-01-27T00:00:00"/>
    <s v="15:20"/>
    <d v="2020-03-02T07:55:00"/>
    <d v="2020-03-02T00:00:00"/>
    <d v="1899-12-30T07:55:00"/>
    <n v="1"/>
    <x v="2"/>
    <x v="3"/>
    <x v="0"/>
    <n v="67"/>
    <n v="11.84"/>
    <n v="7.66"/>
    <s v="Alive"/>
    <n v="87"/>
    <n v="194"/>
    <n v="103"/>
    <n v="55"/>
    <s v="Good"/>
    <n v="0"/>
    <n v="0.11840000000000001"/>
    <n v="7.6600000000000001E-2"/>
    <d v="1900-02-02T16:35:00"/>
  </r>
  <r>
    <n v="257"/>
    <d v="2020-03-01T14:00:00"/>
    <d v="2020-03-01T00:00:00"/>
    <s v="14:00"/>
    <d v="2020-03-02T08:05:00"/>
    <d v="2020-03-02T00:00:00"/>
    <d v="1899-12-30T08:05:00"/>
    <n v="5"/>
    <x v="1"/>
    <x v="0"/>
    <x v="6"/>
    <n v="79"/>
    <n v="8.1"/>
    <n v="1.86"/>
    <s v="Alive"/>
    <n v="123"/>
    <n v="164"/>
    <n v="67"/>
    <n v="53"/>
    <s v="Good"/>
    <n v="0"/>
    <n v="8.1000000000000003E-2"/>
    <n v="1.8600000000000002E-2"/>
    <d v="1899-12-30T18:05:00"/>
  </r>
  <r>
    <n v="258"/>
    <d v="2020-03-01T13:00:00"/>
    <d v="2020-03-01T00:00:00"/>
    <s v="13:00"/>
    <d v="2020-03-02T08:10:00"/>
    <d v="2020-03-02T00:00:00"/>
    <d v="1899-12-30T08:10:00"/>
    <n v="3"/>
    <x v="1"/>
    <x v="2"/>
    <x v="4"/>
    <n v="70"/>
    <n v="8.7100000000000009"/>
    <n v="3.1"/>
    <s v="Alive"/>
    <n v="70"/>
    <n v="184"/>
    <n v="96"/>
    <n v="50"/>
    <s v="Moderate"/>
    <n v="0"/>
    <n v="8.7100000000000011E-2"/>
    <n v="3.1E-2"/>
    <d v="1899-12-30T19:10:00"/>
  </r>
  <r>
    <n v="259"/>
    <d v="2020-03-01T14:00:00"/>
    <d v="2020-03-01T00:00:00"/>
    <s v="14:00"/>
    <d v="2020-03-02T08:15:00"/>
    <d v="2020-03-02T00:00:00"/>
    <d v="1899-12-30T08:15:00"/>
    <n v="6"/>
    <x v="1"/>
    <x v="4"/>
    <x v="1"/>
    <n v="64"/>
    <n v="20.51"/>
    <n v="5.31"/>
    <s v="Alive"/>
    <n v="71"/>
    <n v="178"/>
    <n v="126"/>
    <n v="65"/>
    <s v="Good"/>
    <n v="0"/>
    <n v="0.2051"/>
    <n v="5.3099999999999994E-2"/>
    <d v="1899-12-30T18:15:00"/>
  </r>
  <r>
    <n v="260"/>
    <d v="2020-03-01T14:00:00"/>
    <d v="2020-03-01T00:00:00"/>
    <s v="14:00"/>
    <d v="2020-03-02T08:19:00"/>
    <d v="2020-03-02T00:00:00"/>
    <d v="1899-12-30T08:19:00"/>
    <n v="2"/>
    <x v="1"/>
    <x v="4"/>
    <x v="11"/>
    <n v="61"/>
    <n v="8.77"/>
    <n v="2.62"/>
    <s v="Alive"/>
    <n v="105"/>
    <n v="182"/>
    <n v="103"/>
    <n v="60"/>
    <s v="Good"/>
    <n v="0"/>
    <n v="8.77E-2"/>
    <n v="2.6200000000000001E-2"/>
    <d v="1899-12-30T18:19:00"/>
  </r>
  <r>
    <n v="261"/>
    <d v="2020-03-02T07:20:00"/>
    <d v="2020-03-02T00:00:00"/>
    <s v="07:20"/>
    <d v="2020-03-02T13:00:00"/>
    <d v="2020-03-02T00:00:00"/>
    <d v="1899-12-30T13:00:00"/>
    <n v="2"/>
    <x v="1"/>
    <x v="0"/>
    <x v="11"/>
    <n v="82"/>
    <n v="13.89"/>
    <n v="2.52"/>
    <s v="Alive"/>
    <n v="109"/>
    <n v="170"/>
    <n v="84"/>
    <n v="50"/>
    <s v="Moderate"/>
    <n v="0"/>
    <n v="0.1389"/>
    <n v="2.52E-2"/>
    <d v="1899-12-30T05:40:00"/>
  </r>
  <r>
    <n v="262"/>
    <d v="2020-02-19T11:05:00"/>
    <d v="2020-02-19T00:00:00"/>
    <s v="11:05"/>
    <d v="2020-03-02T13:25:00"/>
    <d v="2020-03-02T00:00:00"/>
    <d v="1899-12-30T13:25:00"/>
    <n v="3"/>
    <x v="2"/>
    <x v="2"/>
    <x v="4"/>
    <n v="82"/>
    <n v="5.89"/>
    <n v="3.14"/>
    <s v="Alive"/>
    <n v="61"/>
    <n v="163"/>
    <n v="62"/>
    <n v="65"/>
    <s v="Good"/>
    <n v="0"/>
    <n v="5.8899999999999994E-2"/>
    <n v="3.1400000000000004E-2"/>
    <d v="1900-01-11T02:20:00"/>
  </r>
  <r>
    <n v="263"/>
    <d v="2020-03-02T07:32:00"/>
    <d v="2020-03-02T00:00:00"/>
    <s v="07:32"/>
    <d v="2020-03-02T14:43:00"/>
    <d v="2020-03-02T00:00:00"/>
    <d v="1899-12-30T14:43:00"/>
    <n v="1"/>
    <x v="1"/>
    <x v="2"/>
    <x v="0"/>
    <n v="51"/>
    <n v="1.22"/>
    <n v="0.69"/>
    <s v="Alive"/>
    <n v="156"/>
    <n v="174"/>
    <n v="80"/>
    <n v="62"/>
    <s v="Good"/>
    <n v="0"/>
    <n v="1.2199999999999999E-2"/>
    <n v="6.8999999999999999E-3"/>
    <d v="1899-12-30T07:11:00"/>
  </r>
  <r>
    <n v="264"/>
    <d v="2020-03-02T13:50:00"/>
    <d v="2020-03-02T00:00:00"/>
    <s v="13:50"/>
    <d v="2020-03-03T07:55:00"/>
    <d v="2020-03-03T00:00:00"/>
    <d v="1899-12-30T07:55:00"/>
    <n v="5"/>
    <x v="1"/>
    <x v="0"/>
    <x v="11"/>
    <n v="77"/>
    <n v="4.83"/>
    <n v="2.99"/>
    <s v="Alive"/>
    <n v="91"/>
    <n v="183"/>
    <n v="80"/>
    <n v="29"/>
    <s v="Poor"/>
    <n v="0"/>
    <n v="4.8300000000000003E-2"/>
    <n v="2.9900000000000003E-2"/>
    <d v="1899-12-30T18:05:00"/>
  </r>
  <r>
    <n v="265"/>
    <d v="2020-02-26T11:00:00"/>
    <d v="2020-02-26T00:00:00"/>
    <s v="11:00"/>
    <d v="2020-03-03T08:00:00"/>
    <d v="2020-03-03T00:00:00"/>
    <d v="1899-12-30T08:00:00"/>
    <n v="6"/>
    <x v="2"/>
    <x v="2"/>
    <x v="7"/>
    <n v="57"/>
    <n v="3.95"/>
    <n v="1.22"/>
    <s v="Alive"/>
    <n v="103"/>
    <n v="174"/>
    <n v="80"/>
    <n v="65"/>
    <s v="Good"/>
    <n v="0"/>
    <n v="3.95E-2"/>
    <n v="1.2199999999999999E-2"/>
    <d v="1900-01-04T21:00:00"/>
  </r>
  <r>
    <n v="266"/>
    <d v="2020-03-02T14:04:00"/>
    <d v="2020-03-02T00:00:00"/>
    <s v="14:04"/>
    <d v="2020-03-03T08:05:00"/>
    <d v="2020-03-03T00:00:00"/>
    <d v="1899-12-30T08:05:00"/>
    <n v="3"/>
    <x v="1"/>
    <x v="3"/>
    <x v="1"/>
    <n v="82"/>
    <n v="12"/>
    <n v="5.67"/>
    <s v="Alive"/>
    <n v="61"/>
    <n v="172"/>
    <n v="78"/>
    <n v="35"/>
    <s v="Moderate"/>
    <n v="0"/>
    <n v="0.12"/>
    <n v="5.67E-2"/>
    <d v="1899-12-30T18:01:00"/>
  </r>
  <r>
    <n v="267"/>
    <d v="2020-03-02T13:50:00"/>
    <d v="2020-03-02T00:00:00"/>
    <s v="13:50"/>
    <d v="2020-03-03T08:20:00"/>
    <d v="2020-03-03T00:00:00"/>
    <d v="1899-12-30T08:20:00"/>
    <n v="2"/>
    <x v="1"/>
    <x v="0"/>
    <x v="2"/>
    <n v="72"/>
    <n v="4.8099999999999996"/>
    <n v="2.27"/>
    <s v="Alive"/>
    <n v="83"/>
    <n v="172"/>
    <n v="66"/>
    <n v="55"/>
    <s v="Good"/>
    <n v="0"/>
    <n v="4.8099999999999997E-2"/>
    <n v="2.2700000000000001E-2"/>
    <d v="1899-12-30T18:30:00"/>
  </r>
  <r>
    <n v="268"/>
    <d v="2020-03-02T17:00:00"/>
    <d v="2020-03-02T00:00:00"/>
    <s v="17:00"/>
    <d v="2020-03-03T12:00:00"/>
    <d v="2020-03-03T00:00:00"/>
    <d v="1899-12-30T12:00:00"/>
    <n v="5"/>
    <x v="2"/>
    <x v="2"/>
    <x v="11"/>
    <n v="82"/>
    <n v="9.75"/>
    <n v="6.17"/>
    <s v="Alive"/>
    <n v="95"/>
    <n v="174"/>
    <n v="80"/>
    <n v="44"/>
    <s v="Moderate"/>
    <n v="0"/>
    <n v="9.7500000000000003E-2"/>
    <n v="6.1699999999999998E-2"/>
    <d v="1899-12-30T19:00:00"/>
  </r>
  <r>
    <n v="269"/>
    <d v="2020-03-03T07:49:00"/>
    <d v="2020-03-03T00:00:00"/>
    <s v="07:49"/>
    <d v="2020-03-03T14:10:00"/>
    <d v="2020-03-03T00:00:00"/>
    <d v="1899-12-30T14:10:00"/>
    <n v="3"/>
    <x v="1"/>
    <x v="2"/>
    <x v="1"/>
    <n v="57"/>
    <n v="1.33"/>
    <n v="0.69"/>
    <s v="Alive"/>
    <n v="79"/>
    <n v="163"/>
    <n v="82"/>
    <n v="40"/>
    <s v="Moderate"/>
    <n v="0"/>
    <n v="1.3300000000000001E-2"/>
    <n v="6.8999999999999999E-3"/>
    <d v="1899-12-30T06:21:00"/>
  </r>
  <r>
    <n v="270"/>
    <d v="2020-03-03T08:22:00"/>
    <d v="2020-03-03T00:00:00"/>
    <s v="08:22"/>
    <d v="2020-03-03T14:41:00"/>
    <d v="2020-03-03T00:00:00"/>
    <d v="1899-12-30T14:41:00"/>
    <n v="2"/>
    <x v="1"/>
    <x v="0"/>
    <x v="2"/>
    <n v="69"/>
    <n v="3.98"/>
    <n v="2.3199999999999998"/>
    <s v="Alive"/>
    <n v="94"/>
    <n v="172"/>
    <n v="80"/>
    <n v="25"/>
    <s v="Poor"/>
    <n v="0"/>
    <n v="3.9800000000000002E-2"/>
    <n v="2.3199999999999998E-2"/>
    <d v="1899-12-30T06:19:00"/>
  </r>
  <r>
    <n v="271"/>
    <d v="2020-03-03T08:03:00"/>
    <d v="2020-03-03T00:00:00"/>
    <s v="08:03"/>
    <d v="2020-03-03T15:01:00"/>
    <d v="2020-03-03T00:00:00"/>
    <d v="1899-12-30T15:01:00"/>
    <n v="6"/>
    <x v="1"/>
    <x v="2"/>
    <x v="13"/>
    <n v="58"/>
    <n v="0.88"/>
    <n v="0.75"/>
    <s v="Alive"/>
    <n v="150"/>
    <n v="175"/>
    <n v="88"/>
    <n v="55"/>
    <s v="Good"/>
    <n v="0"/>
    <n v="8.8000000000000005E-3"/>
    <n v="7.4999999999999997E-3"/>
    <d v="1899-12-30T06:58:00"/>
  </r>
  <r>
    <n v="272"/>
    <d v="2020-03-01T11:00:00"/>
    <d v="2020-03-01T00:00:00"/>
    <s v="11:00"/>
    <d v="2020-03-04T07:54:00"/>
    <d v="2020-03-04T00:00:00"/>
    <d v="1899-12-30T07:54:00"/>
    <n v="6"/>
    <x v="2"/>
    <x v="2"/>
    <x v="15"/>
    <n v="70"/>
    <n v="3.09"/>
    <n v="1.43"/>
    <s v="Alive"/>
    <n v="106"/>
    <n v="143"/>
    <n v="50"/>
    <n v="54"/>
    <s v="Good"/>
    <n v="0"/>
    <n v="3.0899999999999997E-2"/>
    <n v="1.43E-2"/>
    <d v="1900-01-01T20:54:00"/>
  </r>
  <r>
    <n v="273"/>
    <d v="2020-03-03T13:34:00"/>
    <d v="2020-03-03T00:00:00"/>
    <s v="13:34"/>
    <d v="2020-03-04T08:00:00"/>
    <d v="2020-03-04T00:00:00"/>
    <d v="1899-12-30T08:00:00"/>
    <n v="3"/>
    <x v="1"/>
    <x v="2"/>
    <x v="0"/>
    <n v="74"/>
    <n v="2.36"/>
    <n v="0.83"/>
    <s v="Alive"/>
    <n v="72"/>
    <n v="175"/>
    <n v="70"/>
    <n v="55"/>
    <s v="Good"/>
    <n v="0"/>
    <n v="2.3599999999999999E-2"/>
    <n v="8.3000000000000001E-3"/>
    <d v="1899-12-30T18:26:00"/>
  </r>
  <r>
    <n v="274"/>
    <d v="2020-02-24T10:16:00"/>
    <d v="2020-02-24T00:00:00"/>
    <s v="10:16"/>
    <d v="2020-03-04T08:15:00"/>
    <d v="2020-03-04T00:00:00"/>
    <d v="1899-12-30T08:15:00"/>
    <n v="5"/>
    <x v="2"/>
    <x v="0"/>
    <x v="8"/>
    <n v="72"/>
    <n v="12.83"/>
    <n v="9.5399999999999991"/>
    <s v="Alive"/>
    <n v="85"/>
    <n v="172"/>
    <n v="75"/>
    <n v="53"/>
    <s v="Good"/>
    <n v="0"/>
    <n v="0.1283"/>
    <n v="9.5399999999999985E-2"/>
    <d v="1900-01-07T21:59:00"/>
  </r>
  <r>
    <n v="275"/>
    <d v="2020-03-04T06:36:00"/>
    <d v="2020-03-04T00:00:00"/>
    <s v="06:36"/>
    <d v="2020-03-04T08:17:00"/>
    <d v="2020-03-04T00:00:00"/>
    <d v="1899-12-30T08:17:00"/>
    <n v="2"/>
    <x v="1"/>
    <x v="0"/>
    <x v="2"/>
    <n v="67"/>
    <n v="5.22"/>
    <n v="3.58"/>
    <s v="Alive"/>
    <n v="120"/>
    <n v="174"/>
    <n v="109"/>
    <n v="68"/>
    <s v="Good"/>
    <n v="0"/>
    <n v="5.2199999999999996E-2"/>
    <n v="3.5799999999999998E-2"/>
    <d v="1899-12-30T01:41:00"/>
  </r>
  <r>
    <n v="276"/>
    <d v="2020-02-27T11:00:00"/>
    <d v="2020-02-27T00:00:00"/>
    <s v="11:00"/>
    <d v="2020-03-05T07:55:00"/>
    <d v="2020-03-05T00:00:00"/>
    <d v="1899-12-30T07:55:00"/>
    <n v="6"/>
    <x v="2"/>
    <x v="4"/>
    <x v="11"/>
    <n v="61"/>
    <n v="5.28"/>
    <n v="3.08"/>
    <s v="Alive"/>
    <n v="74"/>
    <n v="148"/>
    <n v="99"/>
    <n v="62"/>
    <s v="Good"/>
    <n v="0"/>
    <n v="5.28E-2"/>
    <n v="3.0800000000000001E-2"/>
    <d v="1900-01-05T20:55:00"/>
  </r>
  <r>
    <n v="277"/>
    <d v="2020-03-03T10:25:00"/>
    <d v="2020-03-03T00:00:00"/>
    <s v="10:25"/>
    <d v="2020-03-05T08:07:00"/>
    <d v="2020-03-05T00:00:00"/>
    <d v="1899-12-30T08:07:00"/>
    <n v="2"/>
    <x v="1"/>
    <x v="2"/>
    <x v="15"/>
    <n v="69"/>
    <n v="2.9"/>
    <n v="2"/>
    <s v="Alive"/>
    <n v="65"/>
    <n v="190"/>
    <n v="95"/>
    <n v="45"/>
    <s v="Moderate"/>
    <n v="0"/>
    <n v="2.8999999999999998E-2"/>
    <n v="0.02"/>
    <d v="1899-12-31T21:42:00"/>
  </r>
  <r>
    <n v="278"/>
    <d v="2020-03-04T10:50:00"/>
    <d v="2020-03-04T00:00:00"/>
    <s v="10:50"/>
    <d v="2020-03-05T13:57:00"/>
    <d v="2020-03-05T00:00:00"/>
    <d v="1899-12-30T13:57:00"/>
    <n v="2"/>
    <x v="2"/>
    <x v="2"/>
    <x v="15"/>
    <n v="76"/>
    <n v="6.22"/>
    <n v="1.56"/>
    <s v="Alive"/>
    <n v="82"/>
    <n v="172"/>
    <n v="80"/>
    <n v="45"/>
    <s v="Moderate"/>
    <n v="0"/>
    <n v="6.2199999999999998E-2"/>
    <n v="1.5600000000000001E-2"/>
    <d v="1899-12-31T03:07:00"/>
  </r>
  <r>
    <n v="279"/>
    <d v="2020-03-05T13:45:00"/>
    <d v="2020-03-05T00:00:00"/>
    <s v="13:45"/>
    <d v="2020-03-06T08:00:00"/>
    <d v="2020-03-06T00:00:00"/>
    <d v="1899-12-30T08:00:00"/>
    <n v="5"/>
    <x v="1"/>
    <x v="3"/>
    <x v="9"/>
    <n v="77"/>
    <n v="4.83"/>
    <n v="3.77"/>
    <s v="Alive"/>
    <n v="62"/>
    <n v="165"/>
    <n v="65"/>
    <n v="52"/>
    <s v="Good"/>
    <n v="0"/>
    <n v="4.8300000000000003E-2"/>
    <n v="3.7699999999999997E-2"/>
    <d v="1899-12-30T18:15:00"/>
  </r>
  <r>
    <n v="280"/>
    <d v="2020-03-05T10:49:00"/>
    <d v="2020-03-05T00:00:00"/>
    <s v="10:49"/>
    <d v="2020-03-06T08:11:00"/>
    <d v="2020-03-06T00:00:00"/>
    <d v="1899-12-30T08:11:00"/>
    <n v="3"/>
    <x v="1"/>
    <x v="4"/>
    <x v="1"/>
    <n v="53"/>
    <n v="6.35"/>
    <n v="2.04"/>
    <s v="Alive"/>
    <n v="76"/>
    <n v="165"/>
    <n v="95"/>
    <n v="12"/>
    <s v="Very Poor"/>
    <n v="0"/>
    <n v="6.3500000000000001E-2"/>
    <n v="2.0400000000000001E-2"/>
    <d v="1899-12-30T21:22:00"/>
  </r>
  <r>
    <n v="281"/>
    <d v="2020-03-02T11:00:00"/>
    <d v="2020-03-02T00:00:00"/>
    <s v="11:00"/>
    <d v="2020-03-06T09:30:00"/>
    <d v="2020-03-06T00:00:00"/>
    <d v="1899-12-30T09:30:00"/>
    <n v="6"/>
    <x v="2"/>
    <x v="3"/>
    <x v="11"/>
    <n v="77"/>
    <n v="11.75"/>
    <n v="5.61"/>
    <s v="Alive"/>
    <n v="65"/>
    <n v="173"/>
    <n v="87"/>
    <n v="36"/>
    <s v="Moderate"/>
    <n v="0"/>
    <n v="0.11749999999999999"/>
    <n v="5.6100000000000004E-2"/>
    <d v="1900-01-02T22:30:00"/>
  </r>
  <r>
    <n v="282"/>
    <d v="2020-03-05T11:07:00"/>
    <d v="2020-03-05T00:00:00"/>
    <s v="11:07"/>
    <d v="2020-03-06T12:31:00"/>
    <d v="2020-03-06T00:00:00"/>
    <d v="1899-12-30T12:31:00"/>
    <n v="3"/>
    <x v="1"/>
    <x v="2"/>
    <x v="1"/>
    <n v="66"/>
    <n v="1.4"/>
    <n v="0.66"/>
    <s v="Alive"/>
    <n v="61"/>
    <n v="169"/>
    <n v="125"/>
    <n v="60"/>
    <s v="Good"/>
    <n v="0"/>
    <n v="1.3999999999999999E-2"/>
    <n v="6.6E-3"/>
    <d v="1899-12-31T01:24:00"/>
  </r>
  <r>
    <n v="283"/>
    <d v="2020-03-06T08:06:00"/>
    <d v="2020-03-06T00:00:00"/>
    <s v="08:06"/>
    <d v="2020-03-06T13:00:00"/>
    <d v="2020-03-06T00:00:00"/>
    <d v="1899-12-30T13:00:00"/>
    <n v="5"/>
    <x v="1"/>
    <x v="3"/>
    <x v="9"/>
    <n v="59"/>
    <n v="2.27"/>
    <n v="1.98"/>
    <s v="Alive"/>
    <n v="83"/>
    <n v="165"/>
    <n v="78"/>
    <n v="50"/>
    <s v="Moderate"/>
    <n v="0"/>
    <n v="2.2700000000000001E-2"/>
    <n v="1.9799999999999998E-2"/>
    <d v="1899-12-30T04:54:00"/>
  </r>
  <r>
    <n v="284"/>
    <d v="2020-03-06T14:57:00"/>
    <d v="2020-03-06T00:00:00"/>
    <s v="14:57"/>
    <d v="2020-03-07T08:00:00"/>
    <d v="2020-03-07T00:00:00"/>
    <d v="1899-12-30T08:00:00"/>
    <n v="2"/>
    <x v="1"/>
    <x v="0"/>
    <x v="0"/>
    <n v="52"/>
    <n v="4.38"/>
    <n v="1.67"/>
    <s v="Alive"/>
    <n v="105"/>
    <n v="161"/>
    <n v="46"/>
    <n v="60"/>
    <s v="Good"/>
    <n v="0"/>
    <n v="4.3799999999999999E-2"/>
    <n v="1.67E-2"/>
    <d v="1899-12-30T17:03:00"/>
  </r>
  <r>
    <n v="285"/>
    <d v="2020-03-06T14:33:00"/>
    <d v="2020-03-06T00:00:00"/>
    <s v="14:33"/>
    <d v="2020-03-07T08:05:00"/>
    <d v="2020-03-07T00:00:00"/>
    <d v="1899-12-30T08:05:00"/>
    <n v="5"/>
    <x v="1"/>
    <x v="4"/>
    <x v="9"/>
    <n v="69"/>
    <n v="19.12"/>
    <n v="5.71"/>
    <s v="Alive"/>
    <n v="78"/>
    <n v="154"/>
    <n v="85"/>
    <n v="51"/>
    <s v="Good"/>
    <n v="0"/>
    <n v="0.19120000000000001"/>
    <n v="5.7099999999999998E-2"/>
    <d v="1899-12-30T17:32:00"/>
  </r>
  <r>
    <n v="286"/>
    <d v="2020-03-06T14:02:00"/>
    <d v="2020-03-06T00:00:00"/>
    <s v="14:02"/>
    <d v="2020-03-07T11:56:00"/>
    <d v="2020-03-07T00:00:00"/>
    <d v="1899-12-30T11:56:00"/>
    <n v="2"/>
    <x v="1"/>
    <x v="2"/>
    <x v="0"/>
    <n v="76"/>
    <n v="5.61"/>
    <n v="1.75"/>
    <s v="Alive"/>
    <n v="81"/>
    <n v="181"/>
    <n v="93"/>
    <n v="56"/>
    <s v="Good"/>
    <n v="0"/>
    <n v="5.6100000000000004E-2"/>
    <n v="1.7500000000000002E-2"/>
    <d v="1899-12-30T21:54:00"/>
  </r>
  <r>
    <n v="287"/>
    <d v="2020-02-26T13:00:00"/>
    <d v="2020-02-26T00:00:00"/>
    <s v="13:00"/>
    <d v="2020-03-09T08:10:00"/>
    <d v="2020-03-09T00:00:00"/>
    <d v="1899-12-30T08:10:00"/>
    <n v="5"/>
    <x v="2"/>
    <x v="2"/>
    <x v="12"/>
    <n v="69"/>
    <n v="3.99"/>
    <n v="1.28"/>
    <s v="Alive"/>
    <n v="76"/>
    <n v="169"/>
    <n v="83"/>
    <n v="60"/>
    <s v="Good"/>
    <n v="0"/>
    <n v="3.9900000000000005E-2"/>
    <n v="1.2800000000000001E-2"/>
    <d v="1900-01-10T19:10:00"/>
  </r>
  <r>
    <n v="288"/>
    <d v="2020-03-08T14:00:00"/>
    <d v="2020-03-08T00:00:00"/>
    <s v="14:00"/>
    <d v="2020-03-09T08:15:00"/>
    <d v="2020-03-09T00:00:00"/>
    <d v="1899-12-30T08:15:00"/>
    <n v="2"/>
    <x v="1"/>
    <x v="2"/>
    <x v="11"/>
    <n v="82"/>
    <n v="3.95"/>
    <n v="1.04"/>
    <s v="Alive"/>
    <n v="84"/>
    <n v="171"/>
    <n v="77"/>
    <n v="10"/>
    <s v="Very Poor"/>
    <n v="0"/>
    <n v="3.95E-2"/>
    <n v="1.04E-2"/>
    <d v="1899-12-30T18:15:00"/>
  </r>
  <r>
    <n v="289"/>
    <d v="2020-03-08T14:00:00"/>
    <d v="2020-03-08T00:00:00"/>
    <s v="14:00"/>
    <d v="2020-03-09T08:23:00"/>
    <d v="2020-03-09T00:00:00"/>
    <d v="1899-12-30T08:23:00"/>
    <n v="6"/>
    <x v="1"/>
    <x v="2"/>
    <x v="1"/>
    <n v="83"/>
    <n v="4.21"/>
    <n v="0.96"/>
    <s v="Alive"/>
    <n v="99"/>
    <n v="169"/>
    <n v="91"/>
    <n v="60"/>
    <s v="Good"/>
    <n v="0"/>
    <n v="4.2099999999999999E-2"/>
    <n v="9.5999999999999992E-3"/>
    <d v="1899-12-30T18:23:00"/>
  </r>
  <r>
    <n v="290"/>
    <d v="2020-03-08T13:00:00"/>
    <d v="2020-03-08T00:00:00"/>
    <s v="13:00"/>
    <d v="2020-03-09T10:15:00"/>
    <d v="2020-03-09T00:00:00"/>
    <d v="1899-12-30T10:15:00"/>
    <n v="3"/>
    <x v="1"/>
    <x v="3"/>
    <x v="6"/>
    <n v="66"/>
    <n v="3.57"/>
    <n v="1.87"/>
    <s v="Alive"/>
    <n v="66"/>
    <n v="173"/>
    <n v="77"/>
    <n v="35"/>
    <s v="Moderate"/>
    <n v="0"/>
    <n v="3.5699999999999996E-2"/>
    <n v="1.8700000000000001E-2"/>
    <d v="1899-12-30T21:15:00"/>
  </r>
  <r>
    <n v="291"/>
    <d v="2020-03-08T11:00:00"/>
    <d v="2020-03-08T00:00:00"/>
    <s v="11:00"/>
    <d v="2020-03-09T11:50:00"/>
    <d v="2020-03-09T00:00:00"/>
    <d v="1899-12-30T11:50:00"/>
    <n v="2"/>
    <x v="2"/>
    <x v="3"/>
    <x v="11"/>
    <n v="80"/>
    <n v="24.21"/>
    <n v="5.8"/>
    <s v="Alive"/>
    <n v="103"/>
    <n v="175"/>
    <n v="82"/>
    <n v="42"/>
    <s v="Moderate"/>
    <n v="0"/>
    <n v="0.24210000000000001"/>
    <n v="5.7999999999999996E-2"/>
    <d v="1899-12-31T00:50:00"/>
  </r>
  <r>
    <n v="292"/>
    <d v="2020-03-09T08:00:00"/>
    <d v="2020-03-09T00:00:00"/>
    <s v="08:00"/>
    <d v="2020-03-09T12:30:00"/>
    <d v="2020-03-09T00:00:00"/>
    <d v="1899-12-30T12:30:00"/>
    <n v="6"/>
    <x v="1"/>
    <x v="2"/>
    <x v="1"/>
    <n v="63"/>
    <n v="1.59"/>
    <n v="0.68"/>
    <s v="Alive"/>
    <n v="66"/>
    <n v="183"/>
    <n v="119"/>
    <n v="39"/>
    <s v="Moderate"/>
    <n v="0"/>
    <n v="1.5900000000000001E-2"/>
    <n v="6.8000000000000005E-3"/>
    <d v="1899-12-30T04:30:00"/>
  </r>
  <r>
    <n v="293"/>
    <d v="2020-03-09T08:10:00"/>
    <d v="2020-03-09T00:00:00"/>
    <s v="08:10"/>
    <d v="2020-03-09T12:43:00"/>
    <d v="2020-03-09T00:00:00"/>
    <d v="1899-12-30T12:43:00"/>
    <n v="5"/>
    <x v="1"/>
    <x v="3"/>
    <x v="12"/>
    <n v="70"/>
    <n v="4.95"/>
    <n v="1.53"/>
    <s v="Alive"/>
    <n v="86"/>
    <n v="167"/>
    <n v="61"/>
    <n v="55"/>
    <s v="Good"/>
    <n v="0"/>
    <n v="4.9500000000000002E-2"/>
    <n v="1.5300000000000001E-2"/>
    <d v="1899-12-30T04:33:00"/>
  </r>
  <r>
    <n v="294"/>
    <d v="2020-03-09T07:50:00"/>
    <d v="2020-03-09T00:00:00"/>
    <s v="07:50"/>
    <d v="2020-03-09T15:05:00"/>
    <d v="2020-03-09T00:00:00"/>
    <d v="1899-12-30T15:05:00"/>
    <n v="3"/>
    <x v="1"/>
    <x v="2"/>
    <x v="6"/>
    <n v="60"/>
    <n v="2.23"/>
    <n v="0.81"/>
    <s v="Alive"/>
    <n v="90"/>
    <n v="162"/>
    <n v="101"/>
    <n v="60"/>
    <s v="Good"/>
    <n v="0"/>
    <n v="2.23E-2"/>
    <n v="8.1000000000000013E-3"/>
    <d v="1899-12-30T07:15:00"/>
  </r>
  <r>
    <n v="295"/>
    <d v="2020-03-09T10:48:00"/>
    <d v="2020-03-09T00:00:00"/>
    <s v="10:48"/>
    <d v="2020-03-10T08:05:00"/>
    <d v="2020-03-10T00:00:00"/>
    <d v="1899-12-30T08:05:00"/>
    <n v="6"/>
    <x v="1"/>
    <x v="0"/>
    <x v="15"/>
    <n v="77"/>
    <n v="6.59"/>
    <n v="1.82"/>
    <s v="Alive"/>
    <n v="93"/>
    <n v="165"/>
    <n v="86"/>
    <n v="45"/>
    <s v="Moderate"/>
    <n v="0"/>
    <n v="6.59E-2"/>
    <n v="1.8200000000000001E-2"/>
    <d v="1899-12-30T21:17:00"/>
  </r>
  <r>
    <n v="296"/>
    <d v="2020-03-09T10:42:00"/>
    <d v="2020-03-09T00:00:00"/>
    <s v="10:42"/>
    <d v="2020-03-10T08:07:00"/>
    <d v="2020-03-10T00:00:00"/>
    <d v="1899-12-30T08:07:00"/>
    <n v="3"/>
    <x v="2"/>
    <x v="3"/>
    <x v="11"/>
    <n v="77"/>
    <n v="7.67"/>
    <n v="2.54"/>
    <s v="Alive"/>
    <n v="70"/>
    <n v="177"/>
    <n v="75"/>
    <n v="50"/>
    <s v="Moderate"/>
    <n v="0"/>
    <n v="7.6700000000000004E-2"/>
    <n v="2.5399999999999999E-2"/>
    <d v="1899-12-30T21:25:00"/>
  </r>
  <r>
    <n v="297"/>
    <d v="2020-02-26T13:00:00"/>
    <d v="2020-02-26T00:00:00"/>
    <s v="13:00"/>
    <d v="2020-03-10T08:23:00"/>
    <d v="2020-03-10T00:00:00"/>
    <d v="1899-12-30T08:23:00"/>
    <n v="5"/>
    <x v="2"/>
    <x v="2"/>
    <x v="4"/>
    <n v="75"/>
    <n v="4.0599999999999996"/>
    <n v="1.9"/>
    <s v="Alive"/>
    <n v="130"/>
    <n v="171"/>
    <n v="78"/>
    <n v="58"/>
    <s v="Good"/>
    <n v="0"/>
    <n v="4.0599999999999997E-2"/>
    <n v="1.9E-2"/>
    <d v="1900-01-11T19:23:00"/>
  </r>
  <r>
    <n v="298"/>
    <d v="2020-03-09T11:00:00"/>
    <d v="2020-03-09T00:00:00"/>
    <s v="11:00"/>
    <d v="2020-03-10T12:07:00"/>
    <d v="2020-03-10T00:00:00"/>
    <d v="1899-12-30T12:07:00"/>
    <n v="6"/>
    <x v="2"/>
    <x v="0"/>
    <x v="15"/>
    <n v="52"/>
    <n v="1.51"/>
    <n v="1.31"/>
    <s v="Alive"/>
    <n v="98"/>
    <n v="167"/>
    <n v="68"/>
    <n v="49"/>
    <s v="Moderate"/>
    <n v="0"/>
    <n v="1.5100000000000001E-2"/>
    <n v="1.3100000000000001E-2"/>
    <d v="1899-12-31T01:07:00"/>
  </r>
  <r>
    <n v="299"/>
    <d v="2020-03-09T17:00:00"/>
    <d v="2020-03-09T00:00:00"/>
    <s v="17:00"/>
    <d v="2020-03-10T13:27:00"/>
    <d v="2020-03-10T00:00:00"/>
    <d v="1899-12-30T13:27:00"/>
    <n v="5"/>
    <x v="1"/>
    <x v="0"/>
    <x v="4"/>
    <n v="74"/>
    <n v="3.99"/>
    <n v="1"/>
    <s v="Alive"/>
    <n v="80"/>
    <n v="185"/>
    <n v="100"/>
    <n v="59"/>
    <s v="Good"/>
    <n v="0"/>
    <n v="3.9900000000000005E-2"/>
    <n v="0.01"/>
    <d v="1899-12-30T20:27:00"/>
  </r>
  <r>
    <n v="300"/>
    <d v="2020-03-10T08:03:00"/>
    <d v="2020-03-10T00:00:00"/>
    <s v="08:03"/>
    <d v="2020-03-10T14:03:00"/>
    <d v="2020-03-10T00:00:00"/>
    <d v="1899-12-30T14:03:00"/>
    <n v="3"/>
    <x v="1"/>
    <x v="2"/>
    <x v="11"/>
    <n v="77"/>
    <n v="2.87"/>
    <n v="0.9"/>
    <s v="Alive"/>
    <n v="70"/>
    <n v="175"/>
    <n v="90"/>
    <n v="55"/>
    <s v="Good"/>
    <n v="0"/>
    <n v="2.87E-2"/>
    <n v="9.0000000000000011E-3"/>
    <d v="1899-12-30T06:00:00"/>
  </r>
  <r>
    <n v="301"/>
    <d v="2020-03-09T13:19:00"/>
    <d v="2020-03-09T00:00:00"/>
    <s v="13:19"/>
    <d v="2020-03-10T15:00:00"/>
    <d v="2020-03-10T00:00:00"/>
    <d v="1899-12-30T15:00:00"/>
    <n v="4"/>
    <x v="1"/>
    <x v="2"/>
    <x v="2"/>
    <n v="79"/>
    <n v="3.26"/>
    <n v="1.28"/>
    <s v="Alive"/>
    <n v="110"/>
    <n v="157"/>
    <n v="109"/>
    <n v="45"/>
    <s v="Moderate"/>
    <n v="0"/>
    <n v="3.2599999999999997E-2"/>
    <n v="1.2800000000000001E-2"/>
    <d v="1899-12-31T01:41:00"/>
  </r>
  <r>
    <n v="302"/>
    <d v="2020-03-10T14:01:00"/>
    <d v="2020-03-10T00:00:00"/>
    <s v="14:01"/>
    <d v="2020-03-11T08:00:00"/>
    <d v="2020-03-11T00:00:00"/>
    <d v="1899-12-30T08:00:00"/>
    <n v="3"/>
    <x v="1"/>
    <x v="4"/>
    <x v="15"/>
    <n v="63"/>
    <n v="5.98"/>
    <n v="1.79"/>
    <s v="Alive"/>
    <n v="73"/>
    <n v="176"/>
    <n v="90"/>
    <n v="65"/>
    <s v="Good"/>
    <n v="0"/>
    <n v="5.9800000000000006E-2"/>
    <n v="1.7899999999999999E-2"/>
    <d v="1899-12-30T17:59:00"/>
  </r>
  <r>
    <n v="303"/>
    <d v="2020-03-10T11:00:00"/>
    <d v="2020-03-10T00:00:00"/>
    <s v="11:00"/>
    <d v="2020-03-11T08:10:00"/>
    <d v="2020-03-11T00:00:00"/>
    <d v="1899-12-30T08:10:00"/>
    <n v="6"/>
    <x v="2"/>
    <x v="3"/>
    <x v="9"/>
    <n v="81"/>
    <n v="6.21"/>
    <n v="3.21"/>
    <s v="Alive"/>
    <n v="73"/>
    <n v="165"/>
    <n v="83"/>
    <n v="37"/>
    <s v="Moderate"/>
    <n v="0"/>
    <n v="6.2100000000000002E-2"/>
    <n v="3.2099999999999997E-2"/>
    <d v="1899-12-30T21:10:00"/>
  </r>
  <r>
    <n v="304"/>
    <d v="2020-03-11T06:56:00"/>
    <d v="2020-03-11T00:00:00"/>
    <s v="06:56"/>
    <d v="2020-03-11T08:22:00"/>
    <d v="2020-03-11T00:00:00"/>
    <d v="1899-12-30T08:22:00"/>
    <n v="2"/>
    <x v="1"/>
    <x v="0"/>
    <x v="2"/>
    <n v="70"/>
    <n v="6.76"/>
    <n v="1.5"/>
    <s v="Alive"/>
    <n v="74"/>
    <n v="155"/>
    <n v="63"/>
    <n v="51"/>
    <s v="Good"/>
    <n v="0"/>
    <n v="6.7599999999999993E-2"/>
    <n v="1.4999999999999999E-2"/>
    <d v="1899-12-30T01:26:00"/>
  </r>
  <r>
    <n v="305"/>
    <d v="2020-03-10T11:00:00"/>
    <d v="2020-03-10T00:00:00"/>
    <s v="11:00"/>
    <d v="2020-03-11T13:52:00"/>
    <d v="2020-03-11T00:00:00"/>
    <d v="1899-12-30T13:52:00"/>
    <n v="2"/>
    <x v="2"/>
    <x v="2"/>
    <x v="2"/>
    <n v="81"/>
    <n v="5.53"/>
    <n v="2.52"/>
    <s v="Alive"/>
    <n v="78"/>
    <n v="180"/>
    <n v="91"/>
    <n v="64"/>
    <s v="Good"/>
    <n v="0"/>
    <n v="5.5300000000000002E-2"/>
    <n v="2.52E-2"/>
    <d v="1899-12-31T02:52:00"/>
  </r>
  <r>
    <n v="306"/>
    <d v="2020-03-11T07:50:00"/>
    <d v="2020-03-11T00:00:00"/>
    <s v="07:50"/>
    <d v="2020-03-11T14:17:00"/>
    <d v="2020-03-11T00:00:00"/>
    <d v="1899-12-30T14:17:00"/>
    <n v="6"/>
    <x v="1"/>
    <x v="4"/>
    <x v="9"/>
    <n v="75"/>
    <n v="3.47"/>
    <n v="1.28"/>
    <s v="Died"/>
    <n v="76"/>
    <n v="175"/>
    <n v="109"/>
    <n v="65"/>
    <s v="Good"/>
    <n v="1"/>
    <n v="3.4700000000000002E-2"/>
    <n v="1.2800000000000001E-2"/>
    <d v="1899-12-30T06:27:00"/>
  </r>
  <r>
    <n v="307"/>
    <d v="2020-03-10T13:11:00"/>
    <d v="2020-03-10T00:00:00"/>
    <s v="13:11"/>
    <d v="2020-03-11T14:50:00"/>
    <d v="2020-03-11T00:00:00"/>
    <d v="1899-12-30T14:50:00"/>
    <n v="3"/>
    <x v="1"/>
    <x v="0"/>
    <x v="15"/>
    <n v="73"/>
    <n v="3.74"/>
    <n v="0.81"/>
    <s v="Alive"/>
    <n v="66"/>
    <n v="178"/>
    <n v="109"/>
    <n v="32"/>
    <s v="Moderate"/>
    <n v="0"/>
    <n v="3.7400000000000003E-2"/>
    <n v="8.1000000000000013E-3"/>
    <d v="1899-12-31T01:39:00"/>
  </r>
  <r>
    <n v="308"/>
    <d v="2020-03-10T11:00:00"/>
    <d v="2020-03-10T00:00:00"/>
    <s v="11:00"/>
    <d v="2020-03-12T07:57:00"/>
    <d v="2020-03-12T00:00:00"/>
    <d v="1899-12-30T07:57:00"/>
    <n v="3"/>
    <x v="2"/>
    <x v="3"/>
    <x v="12"/>
    <n v="66"/>
    <n v="10.94"/>
    <n v="7.01"/>
    <s v="Died"/>
    <n v="70"/>
    <n v="180"/>
    <n v="68"/>
    <n v="15"/>
    <s v="Very Poor"/>
    <n v="1"/>
    <n v="0.1094"/>
    <n v="7.0099999999999996E-2"/>
    <d v="1899-12-31T20:57:00"/>
  </r>
  <r>
    <n v="309"/>
    <d v="2020-03-11T15:40:00"/>
    <d v="2020-03-11T00:00:00"/>
    <s v="15:40"/>
    <d v="2020-03-12T08:09:00"/>
    <d v="2020-03-12T00:00:00"/>
    <d v="1899-12-30T08:09:00"/>
    <n v="5"/>
    <x v="1"/>
    <x v="0"/>
    <x v="1"/>
    <n v="79"/>
    <n v="32.06"/>
    <n v="20.39"/>
    <s v="Alive"/>
    <n v="96"/>
    <n v="167"/>
    <n v="72"/>
    <n v="55"/>
    <s v="Good"/>
    <n v="0"/>
    <n v="0.3206"/>
    <n v="0.2039"/>
    <d v="1899-12-30T16:29:00"/>
  </r>
  <r>
    <n v="310"/>
    <d v="2020-03-11T16:30:00"/>
    <d v="2020-03-11T00:00:00"/>
    <s v="16:30"/>
    <d v="2020-03-12T08:10:00"/>
    <d v="2020-03-12T00:00:00"/>
    <d v="1899-12-30T08:10:00"/>
    <n v="6"/>
    <x v="1"/>
    <x v="0"/>
    <x v="2"/>
    <n v="73"/>
    <n v="5.98"/>
    <n v="2.37"/>
    <s v="Alive"/>
    <n v="72"/>
    <n v="154"/>
    <n v="98"/>
    <n v="20"/>
    <s v="Very Poor"/>
    <n v="0"/>
    <n v="5.9800000000000006E-2"/>
    <n v="2.3700000000000002E-2"/>
    <d v="1899-12-30T15:40:00"/>
  </r>
  <r>
    <n v="311"/>
    <d v="2020-03-11T14:30:00"/>
    <d v="2020-03-11T00:00:00"/>
    <s v="14:30"/>
    <d v="2020-03-12T08:10:00"/>
    <d v="2020-03-12T00:00:00"/>
    <d v="1899-12-30T08:10:00"/>
    <n v="1"/>
    <x v="2"/>
    <x v="4"/>
    <x v="6"/>
    <n v="71"/>
    <n v="14.16"/>
    <n v="7.27"/>
    <s v="Alive"/>
    <n v="61"/>
    <n v="172"/>
    <n v="82"/>
    <n v="30"/>
    <s v="Poor"/>
    <n v="0"/>
    <n v="0.1416"/>
    <n v="7.2700000000000001E-2"/>
    <d v="1899-12-30T17:40:00"/>
  </r>
  <r>
    <n v="312"/>
    <d v="2020-03-12T07:31:00"/>
    <d v="2020-03-12T00:00:00"/>
    <s v="07:31"/>
    <d v="2020-03-12T09:21:00"/>
    <d v="2020-03-12T00:00:00"/>
    <d v="1899-12-30T09:21:00"/>
    <n v="2"/>
    <x v="1"/>
    <x v="0"/>
    <x v="7"/>
    <n v="70"/>
    <n v="3.08"/>
    <n v="0.67"/>
    <s v="Alive"/>
    <n v="79"/>
    <n v="181"/>
    <n v="104"/>
    <n v="51"/>
    <s v="Good"/>
    <n v="0"/>
    <n v="3.0800000000000001E-2"/>
    <n v="6.7000000000000002E-3"/>
    <d v="1899-12-30T01:50:00"/>
  </r>
  <r>
    <n v="313"/>
    <d v="2020-03-12T08:50:00"/>
    <d v="2020-03-12T00:00:00"/>
    <s v="08:50"/>
    <d v="2020-03-12T12:22:00"/>
    <d v="2020-03-12T00:00:00"/>
    <d v="1899-12-30T12:22:00"/>
    <n v="1"/>
    <x v="1"/>
    <x v="0"/>
    <x v="6"/>
    <n v="75"/>
    <n v="6.32"/>
    <n v="1.17"/>
    <s v="Alive"/>
    <n v="108"/>
    <n v="156"/>
    <n v="67"/>
    <n v="64"/>
    <s v="Good"/>
    <n v="0"/>
    <n v="6.3200000000000006E-2"/>
    <n v="1.1699999999999999E-2"/>
    <d v="1899-12-30T03:32:00"/>
  </r>
  <r>
    <n v="314"/>
    <d v="2020-03-12T08:00:00"/>
    <d v="2020-03-12T00:00:00"/>
    <s v="08:00"/>
    <d v="2020-03-12T13:04:00"/>
    <d v="2020-03-12T00:00:00"/>
    <d v="1899-12-30T13:04:00"/>
    <n v="5"/>
    <x v="1"/>
    <x v="3"/>
    <x v="1"/>
    <n v="72"/>
    <n v="3.51"/>
    <n v="2.88"/>
    <s v="Alive"/>
    <n v="80"/>
    <n v="175"/>
    <n v="167"/>
    <n v="60"/>
    <s v="Good"/>
    <n v="0"/>
    <n v="3.5099999999999999E-2"/>
    <n v="2.8799999999999999E-2"/>
    <d v="1899-12-30T05:04:00"/>
  </r>
  <r>
    <n v="315"/>
    <d v="2020-03-12T07:56:00"/>
    <d v="2020-03-12T00:00:00"/>
    <s v="07:56"/>
    <d v="2020-03-12T13:35:00"/>
    <d v="2020-03-12T00:00:00"/>
    <d v="1899-12-30T13:35:00"/>
    <n v="3"/>
    <x v="1"/>
    <x v="3"/>
    <x v="12"/>
    <n v="81"/>
    <n v="20.07"/>
    <n v="16.09"/>
    <s v="Died"/>
    <n v="65"/>
    <n v="180"/>
    <n v="80"/>
    <n v="28"/>
    <s v="Poor"/>
    <n v="1"/>
    <n v="0.20069999999999999"/>
    <n v="0.16089999999999999"/>
    <d v="1899-12-30T05:39:00"/>
  </r>
  <r>
    <n v="316"/>
    <d v="2020-03-12T07:52:00"/>
    <d v="2020-03-12T00:00:00"/>
    <s v="07:52"/>
    <d v="2020-03-12T14:28:00"/>
    <d v="2020-03-12T00:00:00"/>
    <d v="1899-12-30T14:28:00"/>
    <n v="6"/>
    <x v="1"/>
    <x v="0"/>
    <x v="2"/>
    <n v="60"/>
    <n v="2.2200000000000002"/>
    <n v="0.62"/>
    <s v="Alive"/>
    <n v="92"/>
    <n v="165"/>
    <n v="65"/>
    <n v="51"/>
    <s v="Good"/>
    <n v="0"/>
    <n v="2.2200000000000001E-2"/>
    <n v="6.1999999999999998E-3"/>
    <d v="1899-12-30T06:36:00"/>
  </r>
  <r>
    <n v="317"/>
    <d v="2020-03-11T14:15:00"/>
    <d v="2020-03-11T00:00:00"/>
    <s v="14:15"/>
    <d v="2020-03-13T08:08:00"/>
    <d v="2020-03-13T00:00:00"/>
    <d v="1899-12-30T08:08:00"/>
    <n v="2"/>
    <x v="1"/>
    <x v="0"/>
    <x v="7"/>
    <n v="60"/>
    <n v="4.55"/>
    <n v="3.14"/>
    <s v="Alive"/>
    <n v="70"/>
    <n v="170"/>
    <n v="71"/>
    <n v="50"/>
    <s v="Moderate"/>
    <n v="0"/>
    <n v="4.5499999999999999E-2"/>
    <n v="3.1400000000000004E-2"/>
    <d v="1899-12-31T17:53:00"/>
  </r>
  <r>
    <n v="318"/>
    <d v="2020-03-12T13:40:00"/>
    <d v="2020-03-12T00:00:00"/>
    <s v="13:40"/>
    <d v="2020-03-13T08:09:00"/>
    <d v="2020-03-13T00:00:00"/>
    <d v="1899-12-30T08:09:00"/>
    <n v="3"/>
    <x v="1"/>
    <x v="0"/>
    <x v="8"/>
    <n v="59"/>
    <n v="1.51"/>
    <n v="0.5"/>
    <s v="Alive"/>
    <n v="74"/>
    <n v="175"/>
    <n v="95"/>
    <n v="71"/>
    <s v="Good"/>
    <n v="0"/>
    <n v="1.5100000000000001E-2"/>
    <n v="5.0000000000000001E-3"/>
    <d v="1899-12-30T18:29:00"/>
  </r>
  <r>
    <n v="319"/>
    <d v="2020-03-13T06:57:00"/>
    <d v="2020-03-13T00:00:00"/>
    <s v="06:57"/>
    <d v="2020-03-13T08:11:00"/>
    <d v="2020-03-13T00:00:00"/>
    <d v="1899-12-30T08:11:00"/>
    <n v="5"/>
    <x v="1"/>
    <x v="0"/>
    <x v="2"/>
    <n v="74"/>
    <n v="5.46"/>
    <n v="6.07"/>
    <s v="Alive"/>
    <n v="73"/>
    <n v="173"/>
    <n v="70"/>
    <n v="55"/>
    <s v="Good"/>
    <n v="0"/>
    <n v="5.4600000000000003E-2"/>
    <n v="6.0700000000000004E-2"/>
    <d v="1899-12-30T01:14:00"/>
  </r>
  <r>
    <n v="320"/>
    <d v="2020-03-12T10:23:00"/>
    <d v="2020-03-12T00:00:00"/>
    <s v="10:23"/>
    <d v="2020-03-13T09:34:00"/>
    <d v="2020-03-13T00:00:00"/>
    <d v="1899-12-30T09:34:00"/>
    <n v="6"/>
    <x v="1"/>
    <x v="2"/>
    <x v="11"/>
    <n v="81"/>
    <n v="10.14"/>
    <n v="2.34"/>
    <s v="Alive"/>
    <n v="81"/>
    <n v="150"/>
    <n v="60"/>
    <n v="54"/>
    <s v="Good"/>
    <n v="0"/>
    <n v="0.1014"/>
    <n v="2.3399999999999997E-2"/>
    <d v="1899-12-30T23:11:00"/>
  </r>
  <r>
    <n v="321"/>
    <d v="2020-03-12T12:37:00"/>
    <d v="2020-03-12T00:00:00"/>
    <s v="12:37"/>
    <d v="2020-03-13T12:15:00"/>
    <d v="2020-03-13T00:00:00"/>
    <d v="1899-12-30T12:15:00"/>
    <n v="6"/>
    <x v="1"/>
    <x v="2"/>
    <x v="11"/>
    <n v="70"/>
    <n v="2.94"/>
    <n v="0.89"/>
    <s v="Alive"/>
    <n v="92"/>
    <n v="176"/>
    <n v="89"/>
    <n v="50"/>
    <s v="Moderate"/>
    <n v="0"/>
    <n v="2.9399999999999999E-2"/>
    <n v="8.8999999999999999E-3"/>
    <d v="1899-12-30T23:38:00"/>
  </r>
  <r>
    <n v="322"/>
    <d v="2020-03-13T07:25:00"/>
    <d v="2020-03-13T00:00:00"/>
    <s v="07:25"/>
    <d v="2020-03-13T13:59:00"/>
    <d v="2020-03-13T00:00:00"/>
    <d v="1899-12-30T13:59:00"/>
    <n v="3"/>
    <x v="1"/>
    <x v="0"/>
    <x v="8"/>
    <n v="68"/>
    <n v="1.59"/>
    <n v="0.63"/>
    <s v="Alive"/>
    <n v="174"/>
    <n v="175"/>
    <n v="91"/>
    <n v="34"/>
    <s v="Moderate"/>
    <n v="0"/>
    <n v="1.5900000000000001E-2"/>
    <n v="6.3E-3"/>
    <d v="1899-12-30T06:34:00"/>
  </r>
  <r>
    <n v="323"/>
    <d v="2020-03-13T15:50:00"/>
    <d v="2020-03-13T00:00:00"/>
    <s v="15:50"/>
    <d v="2020-03-14T07:58:00"/>
    <d v="2020-03-14T00:00:00"/>
    <d v="1899-12-30T07:58:00"/>
    <n v="2"/>
    <x v="1"/>
    <x v="0"/>
    <x v="1"/>
    <n v="76"/>
    <n v="4.53"/>
    <n v="0.88"/>
    <s v="Alive"/>
    <n v="93"/>
    <n v="175"/>
    <n v="93"/>
    <n v="50"/>
    <s v="Moderate"/>
    <n v="0"/>
    <n v="4.53E-2"/>
    <n v="8.8000000000000005E-3"/>
    <d v="1899-12-30T16:08:00"/>
  </r>
  <r>
    <n v="324"/>
    <d v="2020-03-13T13:29:00"/>
    <d v="2020-03-13T00:00:00"/>
    <s v="13:29"/>
    <d v="2020-03-14T08:00:00"/>
    <d v="2020-03-14T00:00:00"/>
    <d v="1899-12-30T08:00:00"/>
    <n v="5"/>
    <x v="1"/>
    <x v="0"/>
    <x v="15"/>
    <n v="67"/>
    <n v="2.54"/>
    <n v="0.68"/>
    <s v="Alive"/>
    <n v="135"/>
    <n v="159"/>
    <n v="94"/>
    <n v="41"/>
    <s v="Moderate"/>
    <n v="0"/>
    <n v="2.5399999999999999E-2"/>
    <n v="6.8000000000000005E-3"/>
    <d v="1899-12-30T18:31:00"/>
  </r>
  <r>
    <n v="325"/>
    <d v="2020-03-01T12:00:00"/>
    <d v="2020-03-01T00:00:00"/>
    <s v="12:00"/>
    <d v="2020-03-14T09:17:00"/>
    <d v="2020-03-14T00:00:00"/>
    <d v="1899-12-30T09:17:00"/>
    <n v="1"/>
    <x v="0"/>
    <x v="1"/>
    <x v="11"/>
    <n v="67"/>
    <n v="12.24"/>
    <n v="6.56"/>
    <s v="Alive"/>
    <n v="137"/>
    <n v="189"/>
    <n v="88"/>
    <n v="50"/>
    <s v="Moderate"/>
    <n v="0"/>
    <n v="0.12240000000000001"/>
    <n v="6.5599999999999992E-2"/>
    <d v="1900-01-11T21:17:00"/>
  </r>
  <r>
    <n v="326"/>
    <d v="2020-03-13T13:51:00"/>
    <d v="2020-03-13T00:00:00"/>
    <s v="13:51"/>
    <d v="2020-03-14T11:30:00"/>
    <d v="2020-03-14T00:00:00"/>
    <d v="1899-12-30T11:30:00"/>
    <n v="2"/>
    <x v="1"/>
    <x v="2"/>
    <x v="1"/>
    <n v="69"/>
    <n v="3.23"/>
    <n v="1.48"/>
    <s v="Alive"/>
    <n v="62"/>
    <n v="181"/>
    <n v="77"/>
    <n v="50"/>
    <s v="Moderate"/>
    <n v="0"/>
    <n v="3.2300000000000002E-2"/>
    <n v="1.4800000000000001E-2"/>
    <d v="1899-12-30T21:39:00"/>
  </r>
  <r>
    <n v="327"/>
    <d v="2020-03-13T10:52:00"/>
    <d v="2020-03-13T00:00:00"/>
    <s v="10:52"/>
    <d v="2020-03-14T13:06:00"/>
    <d v="2020-03-14T00:00:00"/>
    <d v="1899-12-30T13:06:00"/>
    <n v="5"/>
    <x v="1"/>
    <x v="3"/>
    <x v="15"/>
    <n v="70"/>
    <n v="3.08"/>
    <n v="1.27"/>
    <s v="Alive"/>
    <n v="92"/>
    <n v="170"/>
    <n v="72"/>
    <n v="35"/>
    <s v="Moderate"/>
    <n v="0"/>
    <n v="3.0800000000000001E-2"/>
    <n v="1.2699999999999999E-2"/>
    <d v="1899-12-31T02:14:00"/>
  </r>
  <r>
    <n v="328"/>
    <d v="2020-03-06T12:00:00"/>
    <d v="2020-03-06T00:00:00"/>
    <s v="12:00"/>
    <d v="2020-03-16T08:07:00"/>
    <d v="2020-03-16T00:00:00"/>
    <d v="1899-12-30T08:07:00"/>
    <n v="5"/>
    <x v="2"/>
    <x v="2"/>
    <x v="15"/>
    <n v="54"/>
    <n v="2.64"/>
    <n v="1.73"/>
    <s v="Alive"/>
    <n v="94"/>
    <n v="180"/>
    <n v="130"/>
    <n v="60"/>
    <s v="Good"/>
    <n v="0"/>
    <n v="2.64E-2"/>
    <n v="1.7299999999999999E-2"/>
    <d v="1900-01-08T20:07:00"/>
  </r>
  <r>
    <n v="329"/>
    <d v="2020-03-15T14:00:00"/>
    <d v="2020-03-15T00:00:00"/>
    <s v="14:00"/>
    <d v="2020-03-16T08:15:00"/>
    <d v="2020-03-16T00:00:00"/>
    <d v="1899-12-30T08:15:00"/>
    <n v="2"/>
    <x v="1"/>
    <x v="2"/>
    <x v="11"/>
    <n v="61"/>
    <n v="1.01"/>
    <n v="0.52"/>
    <s v="Alive"/>
    <n v="159"/>
    <n v="152"/>
    <n v="64"/>
    <n v="55"/>
    <s v="Good"/>
    <n v="0"/>
    <n v="1.01E-2"/>
    <n v="5.1999999999999998E-3"/>
    <d v="1899-12-30T18:15:00"/>
  </r>
  <r>
    <n v="330"/>
    <d v="2020-03-08T12:00:00"/>
    <d v="2020-03-08T00:00:00"/>
    <s v="12:00"/>
    <d v="2020-03-16T14:23:00"/>
    <d v="2020-03-16T00:00:00"/>
    <d v="1899-12-30T14:23:00"/>
    <n v="2"/>
    <x v="2"/>
    <x v="2"/>
    <x v="11"/>
    <n v="72"/>
    <n v="3.52"/>
    <n v="1.25"/>
    <s v="Alive"/>
    <n v="74"/>
    <n v="177"/>
    <n v="90"/>
    <n v="42"/>
    <s v="Moderate"/>
    <n v="0"/>
    <n v="3.5200000000000002E-2"/>
    <n v="1.2500000000000001E-2"/>
    <d v="1900-01-07T02:23:00"/>
  </r>
  <r>
    <n v="331"/>
    <d v="2020-03-15T16:00:00"/>
    <d v="2020-03-15T00:00:00"/>
    <s v="16:00"/>
    <d v="2020-03-17T08:19:00"/>
    <d v="2020-03-17T00:00:00"/>
    <d v="1899-12-30T08:19:00"/>
    <n v="3"/>
    <x v="1"/>
    <x v="4"/>
    <x v="1"/>
    <n v="75"/>
    <n v="16.46"/>
    <n v="1.82"/>
    <s v="Alive"/>
    <n v="74"/>
    <n v="165"/>
    <n v="83"/>
    <n v="55"/>
    <s v="Good"/>
    <n v="0"/>
    <n v="0.1646"/>
    <n v="1.8200000000000001E-2"/>
    <d v="1899-12-31T16:19:00"/>
  </r>
  <r>
    <n v="332"/>
    <d v="2020-03-17T07:03:00"/>
    <d v="2020-03-17T00:00:00"/>
    <s v="07:03"/>
    <d v="2020-03-17T08:20:00"/>
    <d v="2020-03-17T00:00:00"/>
    <d v="1899-12-30T08:20:00"/>
    <n v="2"/>
    <x v="1"/>
    <x v="3"/>
    <x v="2"/>
    <n v="84"/>
    <n v="19.510000000000002"/>
    <n v="15.66"/>
    <s v="Alive"/>
    <n v="102"/>
    <n v="175"/>
    <n v="107"/>
    <n v="55"/>
    <s v="Good"/>
    <n v="0"/>
    <n v="0.19510000000000002"/>
    <n v="0.15659999999999999"/>
    <d v="1899-12-30T01:17:00"/>
  </r>
  <r>
    <n v="333"/>
    <d v="2020-03-15T15:30:00"/>
    <d v="2020-03-15T00:00:00"/>
    <s v="15:30"/>
    <d v="2020-03-17T09:15:00"/>
    <d v="2020-03-17T00:00:00"/>
    <d v="1899-12-30T09:15:00"/>
    <n v="6"/>
    <x v="2"/>
    <x v="2"/>
    <x v="7"/>
    <n v="77"/>
    <n v="22.08"/>
    <n v="4.8499999999999996"/>
    <s v="Alive"/>
    <n v="73"/>
    <n v="162"/>
    <n v="70"/>
    <n v="57"/>
    <s v="Good"/>
    <n v="0"/>
    <n v="0.2208"/>
    <n v="4.8499999999999995E-2"/>
    <d v="1899-12-31T17:45:00"/>
  </r>
  <r>
    <n v="334"/>
    <d v="2020-03-17T11:00:00"/>
    <d v="2020-03-17T00:00:00"/>
    <s v="11:00"/>
    <d v="2020-03-18T08:15:00"/>
    <d v="2020-03-18T00:00:00"/>
    <d v="1899-12-30T08:15:00"/>
    <n v="5"/>
    <x v="2"/>
    <x v="3"/>
    <x v="8"/>
    <n v="77"/>
    <n v="2.87"/>
    <n v="1.1100000000000001"/>
    <s v="Alive"/>
    <n v="79"/>
    <n v="168"/>
    <n v="74"/>
    <n v="35"/>
    <s v="Moderate"/>
    <n v="0"/>
    <n v="2.87E-2"/>
    <n v="1.11E-2"/>
    <d v="1899-12-30T21:15:00"/>
  </r>
  <r>
    <n v="335"/>
    <d v="2020-03-03T10:30:00"/>
    <d v="2020-03-03T00:00:00"/>
    <s v="10:30"/>
    <d v="2020-03-18T08:21:00"/>
    <d v="2020-03-18T00:00:00"/>
    <d v="1899-12-30T08:21:00"/>
    <n v="3"/>
    <x v="2"/>
    <x v="0"/>
    <x v="0"/>
    <n v="68"/>
    <n v="5.56"/>
    <n v="2.63"/>
    <s v="Alive"/>
    <n v="114"/>
    <n v="177"/>
    <n v="80"/>
    <n v="52"/>
    <s v="Good"/>
    <n v="0"/>
    <n v="5.5599999999999997E-2"/>
    <n v="2.63E-2"/>
    <d v="1900-01-13T21:51:00"/>
  </r>
  <r>
    <n v="336"/>
    <d v="2020-03-18T11:00:00"/>
    <d v="2020-03-18T00:00:00"/>
    <s v="11:00"/>
    <d v="2020-03-19T10:02:00"/>
    <d v="2020-03-19T00:00:00"/>
    <d v="1899-12-30T10:02:00"/>
    <n v="3"/>
    <x v="2"/>
    <x v="3"/>
    <x v="10"/>
    <n v="59"/>
    <n v="2.27"/>
    <n v="1.49"/>
    <s v="Alive"/>
    <n v="89"/>
    <n v="173"/>
    <n v="80"/>
    <n v="50"/>
    <s v="Moderate"/>
    <n v="0"/>
    <n v="2.2700000000000001E-2"/>
    <n v="1.49E-2"/>
    <d v="1899-12-30T23:02:00"/>
  </r>
  <r>
    <n v="337"/>
    <d v="2020-03-18T11:00:00"/>
    <d v="2020-03-18T00:00:00"/>
    <s v="11:00"/>
    <d v="2020-03-19T10:03:00"/>
    <d v="2020-03-19T00:00:00"/>
    <d v="1899-12-30T10:03:00"/>
    <n v="1"/>
    <x v="1"/>
    <x v="0"/>
    <x v="15"/>
    <n v="70"/>
    <n v="1.82"/>
    <n v="1.56"/>
    <s v="Alive"/>
    <n v="114"/>
    <n v="168"/>
    <n v="75"/>
    <n v="65"/>
    <s v="Good"/>
    <n v="0"/>
    <n v="1.8200000000000001E-2"/>
    <n v="1.5600000000000001E-2"/>
    <d v="1899-12-30T23:03:00"/>
  </r>
  <r>
    <n v="338"/>
    <d v="2020-03-15T10:00:00"/>
    <d v="2020-03-15T00:00:00"/>
    <s v="10:00"/>
    <d v="2020-03-19T11:10:00"/>
    <d v="2020-03-19T00:00:00"/>
    <d v="1899-12-30T11:10:00"/>
    <n v="5"/>
    <x v="0"/>
    <x v="2"/>
    <x v="11"/>
    <n v="74"/>
    <n v="11.45"/>
    <n v="6.12"/>
    <s v="Alive"/>
    <n v="74"/>
    <n v="172"/>
    <n v="98"/>
    <n v="50"/>
    <s v="Moderate"/>
    <n v="0"/>
    <n v="0.11449999999999999"/>
    <n v="6.1200000000000004E-2"/>
    <d v="1900-01-03T01:10:00"/>
  </r>
  <r>
    <n v="339"/>
    <d v="2020-03-13T07:01:00"/>
    <d v="2020-03-13T00:00:00"/>
    <s v="07:01"/>
    <d v="2020-03-19T14:40:00"/>
    <d v="2020-03-19T00:00:00"/>
    <d v="1899-12-30T14:40:00"/>
    <n v="6"/>
    <x v="2"/>
    <x v="2"/>
    <x v="11"/>
    <n v="78"/>
    <n v="6.7"/>
    <n v="1.71"/>
    <s v="Alive"/>
    <n v="95"/>
    <n v="172"/>
    <n v="100"/>
    <n v="20"/>
    <s v="Very Poor"/>
    <n v="0"/>
    <n v="6.7000000000000004E-2"/>
    <n v="1.7100000000000001E-2"/>
    <d v="1900-01-05T07:39:00"/>
  </r>
  <r>
    <n v="340"/>
    <d v="2020-03-17T14:10:00"/>
    <d v="2020-03-17T00:00:00"/>
    <s v="14:10"/>
    <d v="2020-03-20T08:15:00"/>
    <d v="2020-03-20T00:00:00"/>
    <d v="1899-12-30T08:15:00"/>
    <n v="3"/>
    <x v="2"/>
    <x v="2"/>
    <x v="7"/>
    <n v="71"/>
    <n v="1.94"/>
    <n v="1.63"/>
    <s v="Alive"/>
    <n v="108"/>
    <n v="171"/>
    <n v="80"/>
    <n v="57"/>
    <s v="Good"/>
    <n v="0"/>
    <n v="1.9400000000000001E-2"/>
    <n v="1.6299999999999999E-2"/>
    <d v="1900-01-01T18:05:00"/>
  </r>
  <r>
    <n v="341"/>
    <d v="2020-02-25T17:00:00"/>
    <d v="2020-02-25T00:00:00"/>
    <s v="17:00"/>
    <d v="2020-03-20T08:20:00"/>
    <d v="2020-03-20T00:00:00"/>
    <d v="1899-12-30T08:20:00"/>
    <n v="5"/>
    <x v="2"/>
    <x v="0"/>
    <x v="8"/>
    <n v="71"/>
    <n v="3.29"/>
    <n v="0.94"/>
    <s v="Alive"/>
    <n v="124"/>
    <n v="160"/>
    <n v="78"/>
    <n v="57"/>
    <s v="Good"/>
    <n v="0"/>
    <n v="3.2899999999999999E-2"/>
    <n v="9.3999999999999986E-3"/>
    <d v="1900-01-22T15:20:00"/>
  </r>
  <r>
    <n v="342"/>
    <d v="2020-03-10T10:00:00"/>
    <d v="2020-03-10T00:00:00"/>
    <s v="10:00"/>
    <d v="2020-03-20T16:17:00"/>
    <d v="2020-03-20T00:00:00"/>
    <d v="1899-12-30T16:17:00"/>
    <n v="5"/>
    <x v="0"/>
    <x v="2"/>
    <x v="15"/>
    <n v="77"/>
    <n v="26.09"/>
    <n v="4.38"/>
    <s v="Alive"/>
    <n v="71"/>
    <n v="182"/>
    <n v="95"/>
    <n v="55"/>
    <s v="Good"/>
    <n v="0"/>
    <n v="0.26090000000000002"/>
    <n v="4.3799999999999999E-2"/>
    <d v="1900-01-09T06:17:00"/>
  </r>
  <r>
    <n v="343"/>
    <d v="2020-03-20T08:54:00"/>
    <d v="2020-03-20T00:00:00"/>
    <s v="08:54"/>
    <d v="2020-03-22T12:30:00"/>
    <d v="2020-03-22T00:00:00"/>
    <d v="1899-12-30T12:30:00"/>
    <n v="5"/>
    <x v="0"/>
    <x v="4"/>
    <x v="1"/>
    <n v="61"/>
    <n v="36.94"/>
    <n v="5.01"/>
    <s v="Alive"/>
    <n v="67"/>
    <n v="177"/>
    <n v="77"/>
    <n v="56"/>
    <s v="Good"/>
    <n v="0"/>
    <n v="0.36939999999999995"/>
    <n v="5.0099999999999999E-2"/>
    <d v="1900-01-01T03:36:00"/>
  </r>
  <r>
    <n v="344"/>
    <d v="2020-03-22T13:30:00"/>
    <d v="2020-03-22T00:00:00"/>
    <s v="13:30"/>
    <d v="2020-03-23T08:27:00"/>
    <d v="2020-03-23T00:00:00"/>
    <d v="1899-12-30T08:27:00"/>
    <n v="3"/>
    <x v="2"/>
    <x v="5"/>
    <x v="0"/>
    <n v="70"/>
    <n v="6.13"/>
    <n v="2.41"/>
    <s v="Alive"/>
    <n v="98"/>
    <n v="174"/>
    <n v="91"/>
    <n v="56"/>
    <s v="Good"/>
    <n v="0"/>
    <n v="6.13E-2"/>
    <n v="2.41E-2"/>
    <d v="1899-12-30T18:57:00"/>
  </r>
  <r>
    <n v="345"/>
    <d v="2020-03-13T10:00:00"/>
    <d v="2020-03-13T00:00:00"/>
    <s v="10:00"/>
    <d v="2020-03-23T12:00:00"/>
    <d v="2020-03-23T00:00:00"/>
    <d v="1899-12-30T12:00:00"/>
    <n v="3"/>
    <x v="1"/>
    <x v="2"/>
    <x v="6"/>
    <n v="76"/>
    <n v="21.59"/>
    <n v="4.59"/>
    <s v="Alive"/>
    <n v="113"/>
    <n v="156"/>
    <n v="72"/>
    <n v="59"/>
    <s v="Good"/>
    <n v="0"/>
    <n v="0.21590000000000001"/>
    <n v="4.5899999999999996E-2"/>
    <d v="1900-01-09T02:00:00"/>
  </r>
  <r>
    <n v="346"/>
    <d v="2020-03-05T13:58:00"/>
    <d v="2020-03-05T00:00:00"/>
    <s v="13:58"/>
    <d v="2020-03-24T08:17:00"/>
    <d v="2020-03-24T00:00:00"/>
    <d v="1899-12-30T08:17:00"/>
    <n v="3"/>
    <x v="2"/>
    <x v="3"/>
    <x v="11"/>
    <n v="81"/>
    <n v="13.72"/>
    <n v="5.71"/>
    <s v="Alive"/>
    <n v="72"/>
    <n v="180"/>
    <n v="127"/>
    <n v="50"/>
    <s v="Moderate"/>
    <n v="0"/>
    <n v="0.13720000000000002"/>
    <n v="5.7099999999999998E-2"/>
    <d v="1900-01-17T18:19:00"/>
  </r>
  <r>
    <n v="347"/>
    <d v="2020-03-23T10:50:00"/>
    <d v="2020-03-23T00:00:00"/>
    <s v="10:50"/>
    <d v="2020-03-24T13:00:00"/>
    <d v="2020-03-24T00:00:00"/>
    <d v="1899-12-30T13:00:00"/>
    <n v="5"/>
    <x v="1"/>
    <x v="2"/>
    <x v="15"/>
    <n v="63"/>
    <n v="2.96"/>
    <n v="1.37"/>
    <s v="Alive"/>
    <n v="90"/>
    <n v="169"/>
    <n v="113"/>
    <n v="55"/>
    <s v="Good"/>
    <n v="0"/>
    <n v="2.9600000000000001E-2"/>
    <n v="1.37E-2"/>
    <d v="1899-12-31T02:10:00"/>
  </r>
  <r>
    <n v="348"/>
    <d v="2020-03-17T11:00:00"/>
    <d v="2020-03-17T00:00:00"/>
    <s v="11:00"/>
    <d v="2020-03-25T07:58:00"/>
    <d v="2020-03-25T00:00:00"/>
    <d v="1899-12-30T07:58:00"/>
    <n v="5"/>
    <x v="2"/>
    <x v="0"/>
    <x v="2"/>
    <n v="68"/>
    <n v="7.73"/>
    <n v="2.38"/>
    <s v="Alive"/>
    <n v="80"/>
    <n v="175"/>
    <n v="68"/>
    <n v="60"/>
    <s v="Good"/>
    <n v="0"/>
    <n v="7.7300000000000008E-2"/>
    <n v="2.3799999999999998E-2"/>
    <d v="1900-01-06T20:58:00"/>
  </r>
  <r>
    <n v="349"/>
    <d v="2020-03-24T14:00:00"/>
    <d v="2020-03-24T00:00:00"/>
    <s v="14:00"/>
    <d v="2020-03-25T08:35:00"/>
    <d v="2020-03-25T00:00:00"/>
    <d v="1899-12-30T08:35:00"/>
    <n v="3"/>
    <x v="1"/>
    <x v="0"/>
    <x v="8"/>
    <n v="83"/>
    <n v="9.52"/>
    <n v="1.2"/>
    <s v="Alive"/>
    <n v="105"/>
    <n v="172"/>
    <n v="80"/>
    <n v="55"/>
    <s v="Good"/>
    <n v="0"/>
    <n v="9.5199999999999993E-2"/>
    <n v="1.2E-2"/>
    <d v="1899-12-30T18:35:00"/>
  </r>
  <r>
    <n v="350"/>
    <d v="2020-03-19T17:10:00"/>
    <d v="2020-03-19T00:00:00"/>
    <s v="17:10"/>
    <d v="2020-03-26T08:20:00"/>
    <d v="2020-03-26T00:00:00"/>
    <d v="1899-12-30T08:20:00"/>
    <n v="3"/>
    <x v="2"/>
    <x v="0"/>
    <x v="6"/>
    <n v="74"/>
    <n v="14.68"/>
    <n v="5.43"/>
    <s v="Alive"/>
    <n v="88"/>
    <n v="177"/>
    <n v="88"/>
    <n v="45"/>
    <s v="Moderate"/>
    <n v="0"/>
    <n v="0.14679999999999999"/>
    <n v="5.4299999999999994E-2"/>
    <d v="1900-01-05T15:10:00"/>
  </r>
  <r>
    <n v="351"/>
    <d v="2020-03-20T08:05:00"/>
    <d v="2020-03-20T00:00:00"/>
    <s v="08:05"/>
    <d v="2020-03-26T08:29:00"/>
    <d v="2020-03-26T00:00:00"/>
    <d v="1899-12-30T08:29:00"/>
    <n v="5"/>
    <x v="2"/>
    <x v="5"/>
    <x v="7"/>
    <n v="73"/>
    <n v="5.33"/>
    <n v="3.46"/>
    <s v="Alive"/>
    <n v="73"/>
    <n v="173"/>
    <n v="89"/>
    <n v="60"/>
    <s v="Good"/>
    <n v="0"/>
    <n v="5.33E-2"/>
    <n v="3.4599999999999999E-2"/>
    <d v="1900-01-05T00:24:00"/>
  </r>
  <r>
    <n v="352"/>
    <d v="2020-03-25T11:00:00"/>
    <d v="2020-03-25T00:00:00"/>
    <s v="11:00"/>
    <d v="2020-03-26T13:25:00"/>
    <d v="2020-03-26T00:00:00"/>
    <d v="1899-12-30T13:25:00"/>
    <n v="3"/>
    <x v="1"/>
    <x v="4"/>
    <x v="6"/>
    <n v="52"/>
    <n v="23.88"/>
    <n v="9.1999999999999993"/>
    <s v="Alive"/>
    <n v="128"/>
    <n v="175"/>
    <n v="84"/>
    <n v="48"/>
    <s v="Moderate"/>
    <n v="0"/>
    <n v="0.23879999999999998"/>
    <n v="9.1999999999999998E-2"/>
    <d v="1899-12-31T02:25:00"/>
  </r>
  <r>
    <n v="353"/>
    <d v="2020-03-26T13:25:00"/>
    <d v="2020-03-26T00:00:00"/>
    <s v="13:25"/>
    <d v="2020-03-26T18:18:00"/>
    <d v="2020-03-26T00:00:00"/>
    <d v="1899-12-30T18:18:00"/>
    <n v="5"/>
    <x v="0"/>
    <x v="0"/>
    <x v="11"/>
    <n v="55"/>
    <n v="64.930000000000007"/>
    <n v="34.299999999999997"/>
    <s v="Died"/>
    <n v="77"/>
    <n v="169"/>
    <n v="77"/>
    <n v="16"/>
    <s v="Very Poor"/>
    <n v="1"/>
    <n v="0.6493000000000001"/>
    <n v="0.34299999999999997"/>
    <d v="1899-12-30T04:53:00"/>
  </r>
  <r>
    <n v="354"/>
    <d v="2020-03-25T10:18:00"/>
    <d v="2020-03-25T00:00:00"/>
    <s v="10:18"/>
    <d v="2020-03-27T08:59:00"/>
    <d v="2020-03-27T00:00:00"/>
    <d v="1899-12-30T08:59:00"/>
    <n v="5"/>
    <x v="0"/>
    <x v="2"/>
    <x v="11"/>
    <n v="71"/>
    <n v="14.97"/>
    <n v="5.27"/>
    <s v="Alive"/>
    <n v="86"/>
    <n v="162"/>
    <n v="91"/>
    <n v="50"/>
    <s v="Moderate"/>
    <n v="0"/>
    <n v="0.1497"/>
    <n v="5.2699999999999997E-2"/>
    <d v="1899-12-31T22:41:00"/>
  </r>
  <r>
    <n v="355"/>
    <d v="2020-03-26T10:26:00"/>
    <d v="2020-03-26T00:00:00"/>
    <s v="10:26"/>
    <d v="2020-03-27T13:41:00"/>
    <d v="2020-03-27T00:00:00"/>
    <d v="1899-12-30T13:41:00"/>
    <n v="3"/>
    <x v="2"/>
    <x v="3"/>
    <x v="15"/>
    <n v="70"/>
    <n v="4.6100000000000003"/>
    <n v="2.7"/>
    <s v="Alive"/>
    <n v="112"/>
    <n v="169"/>
    <n v="69"/>
    <n v="70"/>
    <s v="Good"/>
    <n v="0"/>
    <n v="4.6100000000000002E-2"/>
    <n v="2.7000000000000003E-2"/>
    <d v="1899-12-31T03:15:00"/>
  </r>
  <r>
    <n v="356"/>
    <d v="2020-03-15T09:00:00"/>
    <d v="2020-03-15T00:00:00"/>
    <s v="09:00"/>
    <d v="2020-03-27T14:40:00"/>
    <d v="2020-03-27T00:00:00"/>
    <d v="1899-12-30T14:40:00"/>
    <n v="5"/>
    <x v="2"/>
    <x v="2"/>
    <x v="11"/>
    <n v="81"/>
    <n v="6.23"/>
    <n v="1.45"/>
    <s v="Alive"/>
    <n v="74"/>
    <n v="165"/>
    <n v="100"/>
    <n v="29"/>
    <s v="Poor"/>
    <n v="0"/>
    <n v="6.2300000000000001E-2"/>
    <n v="1.4499999999999999E-2"/>
    <d v="1900-01-11T05:40:00"/>
  </r>
  <r>
    <n v="357"/>
    <d v="2020-03-29T11:00:00"/>
    <d v="2020-03-29T00:00:00"/>
    <s v="11:00"/>
    <d v="2020-03-30T09:15:00"/>
    <d v="2020-03-30T00:00:00"/>
    <d v="1899-12-30T09:15:00"/>
    <n v="3"/>
    <x v="2"/>
    <x v="2"/>
    <x v="1"/>
    <n v="61"/>
    <n v="1.72"/>
    <n v="0.92"/>
    <s v="Alive"/>
    <n v="102"/>
    <n v="149"/>
    <n v="58"/>
    <n v="48"/>
    <s v="Moderate"/>
    <n v="0"/>
    <n v="1.72E-2"/>
    <n v="9.1999999999999998E-3"/>
    <d v="1899-12-30T22:15:00"/>
  </r>
  <r>
    <n v="358"/>
    <d v="2020-03-27T14:00:00"/>
    <d v="2020-03-27T00:00:00"/>
    <s v="14:00"/>
    <d v="2020-03-30T09:24:00"/>
    <d v="2020-03-30T00:00:00"/>
    <d v="1899-12-30T09:24:00"/>
    <n v="5"/>
    <x v="2"/>
    <x v="0"/>
    <x v="2"/>
    <n v="62"/>
    <n v="5.32"/>
    <n v="2.2999999999999998"/>
    <s v="Died"/>
    <n v="69"/>
    <n v="173"/>
    <n v="103"/>
    <n v="60"/>
    <s v="Good"/>
    <n v="1"/>
    <n v="5.3200000000000004E-2"/>
    <n v="2.3E-2"/>
    <d v="1900-01-01T19:24:00"/>
  </r>
  <r>
    <n v="359"/>
    <d v="2020-03-29T11:00:00"/>
    <d v="2020-03-29T00:00:00"/>
    <s v="11:00"/>
    <d v="2020-03-30T15:07:00"/>
    <d v="2020-03-30T00:00:00"/>
    <d v="1899-12-30T15:07:00"/>
    <n v="3"/>
    <x v="2"/>
    <x v="0"/>
    <x v="1"/>
    <n v="62"/>
    <n v="5.28"/>
    <n v="2.16"/>
    <s v="Alive"/>
    <n v="124"/>
    <n v="160"/>
    <n v="80"/>
    <n v="60"/>
    <s v="Good"/>
    <n v="0"/>
    <n v="5.28E-2"/>
    <n v="2.1600000000000001E-2"/>
    <d v="1899-12-31T04:07:00"/>
  </r>
  <r>
    <n v="360"/>
    <d v="2020-03-30T11:00:00"/>
    <d v="2020-03-30T00:00:00"/>
    <s v="11:00"/>
    <d v="2020-03-31T10:27:00"/>
    <d v="2020-03-31T00:00:00"/>
    <d v="1899-12-30T10:27:00"/>
    <n v="5"/>
    <x v="2"/>
    <x v="2"/>
    <x v="8"/>
    <n v="73"/>
    <n v="2.21"/>
    <n v="1.49"/>
    <s v="Died"/>
    <n v="77"/>
    <n v="162"/>
    <n v="64"/>
    <n v="60"/>
    <s v="Good"/>
    <n v="1"/>
    <n v="2.2099999999999998E-2"/>
    <n v="1.49E-2"/>
    <d v="1899-12-30T23:27:00"/>
  </r>
  <r>
    <n v="361"/>
    <d v="2020-03-30T13:29:00"/>
    <d v="2020-03-30T00:00:00"/>
    <s v="13:29"/>
    <d v="2020-03-31T10:27:00"/>
    <d v="2020-03-31T00:00:00"/>
    <d v="1899-12-30T10:27:00"/>
    <n v="3"/>
    <x v="2"/>
    <x v="2"/>
    <x v="3"/>
    <n v="80"/>
    <n v="5.85"/>
    <n v="1.56"/>
    <s v="Alive"/>
    <n v="104"/>
    <n v="171"/>
    <n v="100"/>
    <n v="52"/>
    <s v="Good"/>
    <n v="0"/>
    <n v="5.8499999999999996E-2"/>
    <n v="1.5600000000000001E-2"/>
    <d v="1899-12-30T20:58:00"/>
  </r>
  <r>
    <n v="362"/>
    <d v="2020-03-30T10:40:00"/>
    <d v="2020-03-30T00:00:00"/>
    <s v="10:40"/>
    <d v="2020-03-31T15:55:00"/>
    <d v="2020-03-31T00:00:00"/>
    <d v="1899-12-30T15:55:00"/>
    <n v="3"/>
    <x v="2"/>
    <x v="2"/>
    <x v="3"/>
    <n v="50"/>
    <n v="2.15"/>
    <n v="2.5"/>
    <s v="Alive"/>
    <n v="73"/>
    <n v="154"/>
    <n v="108"/>
    <n v="60"/>
    <s v="Good"/>
    <n v="0"/>
    <n v="2.1499999999999998E-2"/>
    <n v="2.5000000000000001E-2"/>
    <d v="1899-12-31T05:15:00"/>
  </r>
  <r>
    <n v="363"/>
    <d v="2020-03-27T07:39:00"/>
    <d v="2020-03-27T00:00:00"/>
    <s v="07:39"/>
    <d v="2020-04-01T09:10:00"/>
    <d v="2020-04-01T00:00:00"/>
    <d v="1899-12-30T09:10:00"/>
    <n v="3"/>
    <x v="2"/>
    <x v="2"/>
    <x v="0"/>
    <n v="48"/>
    <n v="1.54"/>
    <n v="1.1499999999999999"/>
    <s v="Alive"/>
    <n v="86"/>
    <n v="172"/>
    <n v="79"/>
    <n v="62"/>
    <s v="Good"/>
    <n v="0"/>
    <n v="1.54E-2"/>
    <n v="1.15E-2"/>
    <d v="1900-01-04T01:31:00"/>
  </r>
  <r>
    <n v="364"/>
    <d v="2020-03-08T13:00:00"/>
    <d v="2020-03-08T00:00:00"/>
    <s v="13:00"/>
    <d v="2020-04-01T15:09:00"/>
    <d v="2020-04-01T00:00:00"/>
    <d v="1899-12-30T15:09:00"/>
    <n v="3"/>
    <x v="2"/>
    <x v="3"/>
    <x v="0"/>
    <n v="83"/>
    <n v="11.55"/>
    <n v="4.66"/>
    <s v="Alive"/>
    <n v="72"/>
    <n v="173"/>
    <n v="90"/>
    <n v="48"/>
    <s v="Moderate"/>
    <n v="0"/>
    <n v="0.11550000000000001"/>
    <n v="4.6600000000000003E-2"/>
    <d v="1900-01-23T02:09:00"/>
  </r>
  <r>
    <n v="365"/>
    <d v="2020-03-29T11:00:00"/>
    <d v="2020-03-29T00:00:00"/>
    <s v="11:00"/>
    <d v="2020-04-02T09:15:00"/>
    <d v="2020-04-02T00:00:00"/>
    <d v="1899-12-30T09:15:00"/>
    <n v="5"/>
    <x v="2"/>
    <x v="2"/>
    <x v="12"/>
    <n v="73"/>
    <n v="5.15"/>
    <n v="2.15"/>
    <s v="Alive"/>
    <n v="68"/>
    <n v="195"/>
    <n v="105"/>
    <n v="38"/>
    <s v="Moderate"/>
    <n v="0"/>
    <n v="5.1500000000000004E-2"/>
    <n v="2.1499999999999998E-2"/>
    <d v="1900-01-02T22:15:00"/>
  </r>
  <r>
    <n v="366"/>
    <d v="2020-04-01T11:00:00"/>
    <d v="2020-04-01T00:00:00"/>
    <s v="11:00"/>
    <d v="2020-04-02T09:40:00"/>
    <d v="2020-04-02T00:00:00"/>
    <d v="1899-12-30T09:40:00"/>
    <n v="1"/>
    <x v="2"/>
    <x v="2"/>
    <x v="6"/>
    <n v="54"/>
    <n v="2.2799999999999998"/>
    <n v="1.87"/>
    <s v="Alive"/>
    <n v="140"/>
    <n v="160"/>
    <n v="59"/>
    <n v="67"/>
    <s v="Good"/>
    <n v="0"/>
    <n v="2.2799999999999997E-2"/>
    <n v="1.8700000000000001E-2"/>
    <d v="1899-12-30T22:40:00"/>
  </r>
  <r>
    <n v="367"/>
    <d v="2020-03-21T14:00:00"/>
    <d v="2020-03-21T00:00:00"/>
    <s v="14:00"/>
    <d v="2020-04-03T14:20:00"/>
    <d v="2020-04-03T00:00:00"/>
    <d v="1899-12-30T14:20:00"/>
    <n v="3"/>
    <x v="2"/>
    <x v="2"/>
    <x v="11"/>
    <n v="56"/>
    <n v="0.88"/>
    <n v="0.69"/>
    <s v="Alive"/>
    <n v="70"/>
    <n v="160"/>
    <n v="78"/>
    <n v="60"/>
    <s v="Good"/>
    <n v="0"/>
    <n v="8.8000000000000005E-3"/>
    <n v="6.8999999999999999E-3"/>
    <d v="1900-01-12T00:20:00"/>
  </r>
  <r>
    <n v="368"/>
    <d v="2020-04-05T22:30:00"/>
    <d v="2020-04-05T00:00:00"/>
    <s v="22:30"/>
    <d v="2020-04-06T08:06:00"/>
    <d v="2020-04-06T00:00:00"/>
    <d v="1899-12-30T08:06:00"/>
    <n v="5"/>
    <x v="0"/>
    <x v="1"/>
    <x v="0"/>
    <n v="65"/>
    <n v="23.2"/>
    <n v="21.94"/>
    <s v="Alive"/>
    <n v="119"/>
    <n v="160"/>
    <n v="80"/>
    <n v="55"/>
    <s v="Good"/>
    <n v="0"/>
    <n v="0.23199999999999998"/>
    <n v="0.21940000000000001"/>
    <d v="1899-12-30T09:36:00"/>
  </r>
  <r>
    <n v="369"/>
    <d v="2020-04-03T07:00:00"/>
    <d v="2020-04-03T00:00:00"/>
    <s v="07:00"/>
    <d v="2020-04-06T08:50:00"/>
    <d v="2020-04-06T00:00:00"/>
    <d v="1899-12-30T08:50:00"/>
    <n v="3"/>
    <x v="1"/>
    <x v="3"/>
    <x v="1"/>
    <n v="76"/>
    <n v="6.73"/>
    <n v="6.95"/>
    <s v="Alive"/>
    <n v="130"/>
    <n v="170"/>
    <n v="57"/>
    <n v="18"/>
    <s v="Very Poor"/>
    <n v="0"/>
    <n v="6.7299999999999999E-2"/>
    <n v="6.9500000000000006E-2"/>
    <d v="1900-01-02T01:50:00"/>
  </r>
  <r>
    <n v="371"/>
    <d v="2020-03-31T10:00:00"/>
    <d v="2020-03-31T00:00:00"/>
    <s v="10:00"/>
    <d v="2020-04-07T09:15:00"/>
    <d v="2020-04-07T00:00:00"/>
    <d v="1899-12-30T09:15:00"/>
    <n v="3"/>
    <x v="2"/>
    <x v="3"/>
    <x v="12"/>
    <n v="64"/>
    <n v="5.3"/>
    <n v="8.31"/>
    <s v="Alive"/>
    <n v="100"/>
    <n v="173"/>
    <n v="77"/>
    <n v="60"/>
    <s v="Good"/>
    <n v="0"/>
    <n v="5.2999999999999999E-2"/>
    <n v="8.3100000000000007E-2"/>
    <d v="1900-01-05T23:15:00"/>
  </r>
  <r>
    <n v="372"/>
    <d v="2020-03-16T10:00:00"/>
    <d v="2020-03-16T00:00:00"/>
    <s v="10:00"/>
    <d v="2020-04-07T14:25:00"/>
    <d v="2020-04-07T00:00:00"/>
    <d v="1899-12-30T14:25:00"/>
    <n v="4"/>
    <x v="2"/>
    <x v="0"/>
    <x v="12"/>
    <n v="67"/>
    <n v="5.6"/>
    <n v="2.1800000000000002"/>
    <s v="Alive"/>
    <n v="109"/>
    <n v="163"/>
    <n v="79"/>
    <n v="50"/>
    <s v="Moderate"/>
    <n v="0"/>
    <n v="5.5999999999999994E-2"/>
    <n v="2.18E-2"/>
    <d v="1900-01-21T04:25:00"/>
  </r>
  <r>
    <n v="373"/>
    <d v="2020-04-07T11:00:00"/>
    <d v="2020-04-07T00:00:00"/>
    <s v="11:00"/>
    <d v="2020-04-08T11:32:00"/>
    <d v="2020-04-08T00:00:00"/>
    <d v="1899-12-30T11:32:00"/>
    <n v="3"/>
    <x v="2"/>
    <x v="0"/>
    <x v="8"/>
    <n v="74"/>
    <n v="3.99"/>
    <n v="1.02"/>
    <s v="Alive"/>
    <n v="124"/>
    <n v="175"/>
    <n v="119"/>
    <n v="65"/>
    <s v="Good"/>
    <n v="0"/>
    <n v="3.9900000000000005E-2"/>
    <n v="1.0200000000000001E-2"/>
    <d v="1899-12-31T00:32:00"/>
  </r>
  <r>
    <n v="375"/>
    <d v="2020-04-06T11:00:00"/>
    <d v="2020-04-06T00:00:00"/>
    <s v="11:00"/>
    <d v="2020-04-14T08:35:00"/>
    <d v="2020-04-14T00:00:00"/>
    <d v="1899-12-30T08:35:00"/>
    <n v="3"/>
    <x v="1"/>
    <x v="2"/>
    <x v="1"/>
    <n v="49"/>
    <n v="0.88"/>
    <n v="0.5"/>
    <s v="Alive"/>
    <n v="97"/>
    <n v="170"/>
    <n v="76"/>
    <n v="65"/>
    <s v="Good"/>
    <n v="0"/>
    <n v="8.8000000000000005E-3"/>
    <n v="5.0000000000000001E-3"/>
    <d v="1900-01-06T21:35:00"/>
  </r>
  <r>
    <n v="376"/>
    <d v="2020-04-12T10:00:00"/>
    <d v="2020-04-12T00:00:00"/>
    <s v="10:00"/>
    <d v="2020-04-14T09:30:00"/>
    <d v="2020-04-14T00:00:00"/>
    <d v="1899-12-30T09:30:00"/>
    <n v="5"/>
    <x v="1"/>
    <x v="0"/>
    <x v="3"/>
    <n v="19"/>
    <n v="0.88"/>
    <n v="0.55000000000000004"/>
    <s v="Alive"/>
    <n v="69"/>
    <n v="178"/>
    <n v="116"/>
    <n v="40"/>
    <s v="Moderate"/>
    <n v="0"/>
    <n v="8.8000000000000005E-3"/>
    <n v="5.5000000000000005E-3"/>
    <d v="1899-12-31T23:30:00"/>
  </r>
  <r>
    <n v="377"/>
    <d v="2020-04-18T11:34:00"/>
    <d v="2020-04-18T00:00:00"/>
    <s v="11:34"/>
    <d v="2020-04-18T13:06:00"/>
    <d v="2020-04-18T00:00:00"/>
    <d v="1899-12-30T13:06:00"/>
    <n v="5"/>
    <x v="0"/>
    <x v="4"/>
    <x v="0"/>
    <n v="76"/>
    <n v="23.59"/>
    <n v="7.51"/>
    <s v="Died"/>
    <n v="128"/>
    <n v="155"/>
    <n v="70"/>
    <n v="50"/>
    <s v="Moderate"/>
    <n v="1"/>
    <n v="0.2359"/>
    <n v="7.51E-2"/>
    <d v="1899-12-30T01:32:00"/>
  </r>
  <r>
    <n v="378"/>
    <d v="2020-04-19T14:00:00"/>
    <d v="2020-04-19T00:00:00"/>
    <s v="14:00"/>
    <d v="2020-04-20T08:08:00"/>
    <d v="2020-04-20T00:00:00"/>
    <d v="1899-12-30T08:08:00"/>
    <n v="3"/>
    <x v="1"/>
    <x v="0"/>
    <x v="12"/>
    <n v="72"/>
    <n v="10.29"/>
    <n v="5.66"/>
    <s v="Alive"/>
    <n v="97"/>
    <n v="163"/>
    <n v="82"/>
    <n v="60"/>
    <s v="Good"/>
    <n v="0"/>
    <n v="0.10289999999999999"/>
    <n v="5.6600000000000004E-2"/>
    <d v="1899-12-30T18:08:00"/>
  </r>
  <r>
    <n v="379"/>
    <d v="2020-04-18T15:06:00"/>
    <d v="2020-04-18T00:00:00"/>
    <s v="15:06"/>
    <d v="2020-04-20T08:30:00"/>
    <d v="2020-04-20T00:00:00"/>
    <d v="1899-12-30T08:30:00"/>
    <n v="5"/>
    <x v="2"/>
    <x v="3"/>
    <x v="1"/>
    <n v="76"/>
    <n v="32.04"/>
    <n v="22.09"/>
    <s v="Alive"/>
    <n v="95"/>
    <n v="176"/>
    <n v="80"/>
    <n v="67"/>
    <s v="Good"/>
    <n v="0"/>
    <n v="0.32040000000000002"/>
    <n v="0.22089999999999999"/>
    <d v="1899-12-31T17:24:00"/>
  </r>
  <r>
    <n v="380"/>
    <d v="2020-04-18T22:32:00"/>
    <d v="2020-04-18T00:00:00"/>
    <s v="22:32"/>
    <d v="2020-04-20T12:15:00"/>
    <d v="2020-04-20T00:00:00"/>
    <d v="1899-12-30T12:15:00"/>
    <n v="4"/>
    <x v="0"/>
    <x v="4"/>
    <x v="0"/>
    <n v="58"/>
    <n v="16.079999999999998"/>
    <n v="7.21"/>
    <s v="Alive"/>
    <n v="92"/>
    <n v="178"/>
    <n v="105"/>
    <n v="50"/>
    <s v="Moderate"/>
    <n v="0"/>
    <n v="0.16079999999999997"/>
    <n v="7.2099999999999997E-2"/>
    <d v="1899-12-31T13:43:00"/>
  </r>
  <r>
    <n v="381"/>
    <d v="2020-04-24T21:42:00"/>
    <d v="2020-04-24T00:00:00"/>
    <s v="21:42"/>
    <d v="2020-04-25T00:27:00"/>
    <d v="2020-04-25T00:00:00"/>
    <d v="1899-12-30T00:27:00"/>
    <n v="5"/>
    <x v="0"/>
    <x v="4"/>
    <x v="0"/>
    <n v="60"/>
    <n v="22.18"/>
    <n v="4"/>
    <s v="Alive"/>
    <n v="113"/>
    <n v="181"/>
    <n v="75"/>
    <n v="63"/>
    <s v="Good"/>
    <n v="0"/>
    <n v="0.2218"/>
    <n v="0.04"/>
    <d v="1899-12-30T02:45:00"/>
  </r>
  <r>
    <n v="382"/>
    <d v="2020-04-25T12:50:00"/>
    <d v="2020-04-25T00:00:00"/>
    <s v="12:50"/>
    <d v="2020-04-25T15:30:00"/>
    <d v="2020-04-25T00:00:00"/>
    <d v="1899-12-30T15:30:00"/>
    <n v="3"/>
    <x v="0"/>
    <x v="4"/>
    <x v="0"/>
    <n v="42"/>
    <n v="16.079999999999998"/>
    <n v="8.08"/>
    <s v="Alive"/>
    <n v="81"/>
    <n v="177"/>
    <n v="106"/>
    <n v="47"/>
    <s v="Moderate"/>
    <n v="0"/>
    <n v="0.16079999999999997"/>
    <n v="8.0799999999999997E-2"/>
    <d v="1899-12-30T02:40:00"/>
  </r>
  <r>
    <n v="383"/>
    <d v="2020-04-27T21:36:00"/>
    <d v="2020-04-27T00:00:00"/>
    <s v="21:36"/>
    <d v="2020-04-27T23:16:00"/>
    <d v="2020-04-27T00:00:00"/>
    <d v="1899-12-30T23:16:00"/>
    <n v="4"/>
    <x v="0"/>
    <x v="4"/>
    <x v="1"/>
    <n v="67"/>
    <n v="36.549999999999997"/>
    <n v="8.1999999999999993"/>
    <s v="Alive"/>
    <n v="82"/>
    <n v="147"/>
    <n v="49"/>
    <n v="64"/>
    <s v="Good"/>
    <n v="0"/>
    <n v="0.36549999999999999"/>
    <n v="8.199999999999999E-2"/>
    <d v="1899-12-30T01:40:00"/>
  </r>
  <r>
    <n v="384"/>
    <d v="2020-04-29T07:00:00"/>
    <d v="2020-04-29T00:00:00"/>
    <s v="07:00"/>
    <d v="2020-04-29T10:40:00"/>
    <d v="2020-04-29T00:00:00"/>
    <d v="1899-12-30T10:40:00"/>
    <n v="5"/>
    <x v="1"/>
    <x v="3"/>
    <x v="1"/>
    <n v="66"/>
    <n v="3.28"/>
    <n v="1.27"/>
    <s v="Alive"/>
    <n v="63"/>
    <n v="161"/>
    <n v="63"/>
    <n v="70"/>
    <s v="Good"/>
    <n v="0"/>
    <n v="3.2799999999999996E-2"/>
    <n v="1.2699999999999999E-2"/>
    <d v="1899-12-30T03:40:00"/>
  </r>
  <r>
    <n v="385"/>
    <d v="2020-04-30T07:00:00"/>
    <d v="2020-04-30T00:00:00"/>
    <s v="07:00"/>
    <d v="2020-04-30T09:59:00"/>
    <d v="2020-04-30T00:00:00"/>
    <d v="1899-12-30T09:59:00"/>
    <n v="5"/>
    <x v="1"/>
    <x v="0"/>
    <x v="11"/>
    <n v="69"/>
    <n v="12.49"/>
    <n v="2.42"/>
    <s v="Alive"/>
    <n v="108"/>
    <n v="179"/>
    <n v="113"/>
    <n v="35"/>
    <s v="Moderate"/>
    <n v="0"/>
    <n v="0.1249"/>
    <n v="2.4199999999999999E-2"/>
    <d v="1899-12-30T02:59:00"/>
  </r>
  <r>
    <n v="386"/>
    <d v="2020-05-02T11:47:00"/>
    <d v="2020-05-02T00:00:00"/>
    <s v="11:47"/>
    <d v="2020-05-04T09:45:00"/>
    <d v="2020-05-04T00:00:00"/>
    <d v="1899-12-30T09:45:00"/>
    <n v="5"/>
    <x v="0"/>
    <x v="0"/>
    <x v="1"/>
    <n v="18"/>
    <n v="26.27"/>
    <n v="6.68"/>
    <s v="Alive"/>
    <n v="73"/>
    <n v="170"/>
    <n v="105"/>
    <n v="45"/>
    <s v="Moderate"/>
    <n v="0"/>
    <n v="0.26269999999999999"/>
    <n v="6.6799999999999998E-2"/>
    <d v="1899-12-31T21:58:00"/>
  </r>
  <r>
    <n v="387"/>
    <d v="2020-05-05T00:37:00"/>
    <d v="2020-05-05T00:00:00"/>
    <s v="00:37"/>
    <d v="2020-05-05T17:10:00"/>
    <d v="2020-05-05T00:00:00"/>
    <d v="1899-12-30T17:10:00"/>
    <n v="1"/>
    <x v="0"/>
    <x v="3"/>
    <x v="2"/>
    <n v="68"/>
    <n v="25.23"/>
    <n v="17.79"/>
    <s v="Alive"/>
    <n v="90"/>
    <n v="161"/>
    <n v="65"/>
    <n v="62"/>
    <s v="Good"/>
    <n v="0"/>
    <n v="0.25230000000000002"/>
    <n v="0.1779"/>
    <d v="1899-12-30T16:33:00"/>
  </r>
  <r>
    <n v="388"/>
    <d v="2020-05-06T07:00:00"/>
    <d v="2020-05-06T00:00:00"/>
    <s v="07:00"/>
    <d v="2020-05-06T10:30:00"/>
    <d v="2020-05-06T00:00:00"/>
    <d v="1899-12-30T10:30:00"/>
    <n v="5"/>
    <x v="1"/>
    <x v="4"/>
    <x v="1"/>
    <n v="75"/>
    <n v="12.4"/>
    <n v="3.76"/>
    <s v="Alive"/>
    <n v="71"/>
    <n v="165"/>
    <n v="91"/>
    <n v="55"/>
    <s v="Good"/>
    <n v="0"/>
    <n v="0.124"/>
    <n v="3.7599999999999995E-2"/>
    <d v="1899-12-30T03:30:00"/>
  </r>
  <r>
    <n v="389"/>
    <d v="2020-05-04T15:45:00"/>
    <d v="2020-05-04T00:00:00"/>
    <s v="15:45"/>
    <d v="2020-05-06T13:00:00"/>
    <d v="2020-05-06T00:00:00"/>
    <d v="1899-12-30T13:00:00"/>
    <n v="3"/>
    <x v="0"/>
    <x v="3"/>
    <x v="0"/>
    <n v="68"/>
    <n v="92.24"/>
    <n v="70.790000000000006"/>
    <s v="Alive"/>
    <n v="62"/>
    <n v="157"/>
    <n v="87"/>
    <n v="39"/>
    <s v="Moderate"/>
    <n v="0"/>
    <n v="0.9224"/>
    <n v="0.70790000000000008"/>
    <d v="1899-12-31T21:15:00"/>
  </r>
  <r>
    <n v="391"/>
    <d v="2020-05-07T13:18:00"/>
    <d v="2020-05-07T00:00:00"/>
    <s v="13:18"/>
    <d v="2020-05-07T14:10:00"/>
    <d v="2020-05-07T00:00:00"/>
    <d v="1899-12-30T14:10:00"/>
    <n v="3"/>
    <x v="0"/>
    <x v="4"/>
    <x v="0"/>
    <n v="59"/>
    <n v="32.159999999999997"/>
    <n v="9.02"/>
    <s v="Alive"/>
    <n v="73"/>
    <n v="177"/>
    <n v="73"/>
    <n v="56"/>
    <s v="Good"/>
    <n v="0"/>
    <n v="0.32159999999999994"/>
    <n v="9.0200000000000002E-2"/>
    <d v="1899-12-30T00:52:00"/>
  </r>
  <r>
    <n v="392"/>
    <d v="2020-05-11T07:00:00"/>
    <d v="2020-05-11T00:00:00"/>
    <s v="07:00"/>
    <d v="2020-05-11T09:52:00"/>
    <d v="2020-05-11T00:00:00"/>
    <d v="1899-12-30T09:52:00"/>
    <n v="5"/>
    <x v="1"/>
    <x v="4"/>
    <x v="1"/>
    <n v="80"/>
    <n v="41.07"/>
    <n v="9.76"/>
    <s v="Alive"/>
    <n v="95"/>
    <n v="156"/>
    <n v="105"/>
    <n v="64"/>
    <s v="Good"/>
    <n v="0"/>
    <n v="0.41070000000000001"/>
    <n v="9.7599999999999992E-2"/>
    <d v="1899-12-30T02:52:00"/>
  </r>
  <r>
    <n v="393"/>
    <d v="2020-05-11T07:00:00"/>
    <d v="2020-05-11T00:00:00"/>
    <s v="07:00"/>
    <d v="2020-05-11T10:03:00"/>
    <d v="2020-05-11T00:00:00"/>
    <d v="1899-12-30T10:03:00"/>
    <n v="4"/>
    <x v="1"/>
    <x v="4"/>
    <x v="9"/>
    <n v="66"/>
    <n v="7.21"/>
    <n v="1.95"/>
    <s v="Alive"/>
    <n v="70"/>
    <n v="170"/>
    <n v="85"/>
    <n v="35"/>
    <s v="Moderate"/>
    <n v="0"/>
    <n v="7.2099999999999997E-2"/>
    <n v="1.95E-2"/>
    <d v="1899-12-30T03:03:00"/>
  </r>
  <r>
    <n v="394"/>
    <d v="2020-05-09T15:03:00"/>
    <d v="2020-05-09T00:00:00"/>
    <s v="15:03"/>
    <d v="2020-05-11T16:08:00"/>
    <d v="2020-05-11T00:00:00"/>
    <d v="1899-12-30T16:08:00"/>
    <n v="3"/>
    <x v="0"/>
    <x v="3"/>
    <x v="1"/>
    <n v="17"/>
    <n v="7.16"/>
    <n v="7.36"/>
    <s v="Alive"/>
    <n v="95"/>
    <n v="165"/>
    <n v="65"/>
    <n v="55"/>
    <s v="Good"/>
    <n v="0"/>
    <n v="7.1599999999999997E-2"/>
    <n v="7.3599999999999999E-2"/>
    <d v="1900-01-01T01:05:00"/>
  </r>
  <r>
    <n v="395"/>
    <d v="2020-05-12T07:00:00"/>
    <d v="2020-05-12T00:00:00"/>
    <s v="07:00"/>
    <d v="2020-05-12T07:41:00"/>
    <d v="2020-05-12T00:00:00"/>
    <d v="1899-12-30T07:41:00"/>
    <n v="5"/>
    <x v="1"/>
    <x v="0"/>
    <x v="6"/>
    <n v="80"/>
    <n v="15.36"/>
    <n v="8.24"/>
    <s v="Alive"/>
    <n v="76"/>
    <n v="180"/>
    <n v="111"/>
    <n v="65"/>
    <s v="Good"/>
    <n v="0"/>
    <n v="0.15359999999999999"/>
    <n v="8.2400000000000001E-2"/>
    <d v="1899-12-30T00:41:00"/>
  </r>
  <r>
    <n v="396"/>
    <d v="2020-05-12T07:00:00"/>
    <d v="2020-05-12T00:00:00"/>
    <s v="07:00"/>
    <d v="2020-05-12T10:08:00"/>
    <d v="2020-05-12T00:00:00"/>
    <d v="1899-12-30T10:08:00"/>
    <n v="4"/>
    <x v="1"/>
    <x v="0"/>
    <x v="8"/>
    <n v="40"/>
    <n v="2.08"/>
    <n v="0.62"/>
    <s v="Alive"/>
    <n v="81"/>
    <n v="183"/>
    <n v="68"/>
    <n v="55"/>
    <s v="Good"/>
    <n v="0"/>
    <n v="2.0799999999999999E-2"/>
    <n v="6.1999999999999998E-3"/>
    <d v="1899-12-30T03:08:00"/>
  </r>
  <r>
    <n v="397"/>
    <d v="2020-05-09T10:27:00"/>
    <d v="2020-05-09T00:00:00"/>
    <s v="10:27"/>
    <d v="2020-05-13T09:08:00"/>
    <d v="2020-05-13T00:00:00"/>
    <d v="1899-12-30T09:08:00"/>
    <n v="4"/>
    <x v="2"/>
    <x v="2"/>
    <x v="15"/>
    <n v="54"/>
    <n v="2.09"/>
    <n v="2.15"/>
    <s v="Alive"/>
    <n v="68"/>
    <n v="178"/>
    <n v="78"/>
    <n v="55"/>
    <s v="Good"/>
    <n v="0"/>
    <n v="2.0899999999999998E-2"/>
    <n v="2.1499999999999998E-2"/>
    <d v="1900-01-02T22:41:00"/>
  </r>
  <r>
    <n v="398"/>
    <d v="2020-05-13T07:00:00"/>
    <d v="2020-05-13T00:00:00"/>
    <s v="07:00"/>
    <d v="2020-05-13T10:05:00"/>
    <d v="2020-05-13T00:00:00"/>
    <d v="1899-12-30T10:05:00"/>
    <n v="5"/>
    <x v="1"/>
    <x v="0"/>
    <x v="12"/>
    <n v="70"/>
    <n v="4.24"/>
    <n v="1.44"/>
    <s v="Alive"/>
    <n v="97"/>
    <n v="175"/>
    <n v="87"/>
    <n v="71"/>
    <s v="Good"/>
    <n v="0"/>
    <n v="4.24E-2"/>
    <n v="1.44E-2"/>
    <d v="1899-12-30T03:05:00"/>
  </r>
  <r>
    <n v="399"/>
    <d v="2020-05-12T11:00:00"/>
    <d v="2020-05-12T00:00:00"/>
    <s v="11:00"/>
    <d v="2020-05-14T10:00:00"/>
    <d v="2020-05-14T00:00:00"/>
    <d v="1899-12-30T10:00:00"/>
    <n v="5"/>
    <x v="2"/>
    <x v="2"/>
    <x v="3"/>
    <n v="73"/>
    <n v="3.75"/>
    <n v="1.94"/>
    <s v="Alive"/>
    <n v="73"/>
    <n v="163"/>
    <n v="67"/>
    <n v="70"/>
    <s v="Good"/>
    <n v="0"/>
    <n v="3.7499999999999999E-2"/>
    <n v="1.9400000000000001E-2"/>
    <d v="1899-12-31T23:00:00"/>
  </r>
  <r>
    <n v="400"/>
    <d v="2020-05-14T06:50:00"/>
    <d v="2020-05-14T00:00:00"/>
    <s v="06:50"/>
    <d v="2020-05-14T10:11:00"/>
    <d v="2020-05-14T00:00:00"/>
    <d v="1899-12-30T10:11:00"/>
    <n v="4"/>
    <x v="1"/>
    <x v="2"/>
    <x v="11"/>
    <n v="73"/>
    <n v="2.21"/>
    <n v="0.97"/>
    <s v="Alive"/>
    <n v="66"/>
    <n v="167"/>
    <n v="50"/>
    <n v="65"/>
    <s v="Good"/>
    <n v="0"/>
    <n v="2.2099999999999998E-2"/>
    <n v="9.7000000000000003E-3"/>
    <d v="1899-12-30T03:21:00"/>
  </r>
  <r>
    <n v="401"/>
    <d v="2020-05-15T07:00:00"/>
    <d v="2020-05-15T00:00:00"/>
    <s v="07:00"/>
    <d v="2020-05-15T10:14:00"/>
    <d v="2020-05-15T00:00:00"/>
    <d v="1899-12-30T10:14:00"/>
    <n v="5"/>
    <x v="2"/>
    <x v="0"/>
    <x v="9"/>
    <n v="45"/>
    <n v="2.08"/>
    <n v="0.86"/>
    <s v="Alive"/>
    <n v="67"/>
    <n v="178"/>
    <n v="85"/>
    <n v="55"/>
    <s v="Good"/>
    <n v="0"/>
    <n v="2.0799999999999999E-2"/>
    <n v="8.6E-3"/>
    <d v="1899-12-30T03:14:00"/>
  </r>
  <r>
    <n v="402"/>
    <d v="2020-05-15T20:22:00"/>
    <d v="2020-05-15T00:00:00"/>
    <s v="20:22"/>
    <d v="2020-05-15T20:40:00"/>
    <d v="2020-05-15T00:00:00"/>
    <d v="1899-12-30T20:40:00"/>
    <n v="2"/>
    <x v="0"/>
    <x v="1"/>
    <x v="0"/>
    <n v="63"/>
    <n v="3.91"/>
    <n v="2.84"/>
    <s v="Alive"/>
    <n v="74"/>
    <n v="176"/>
    <n v="70"/>
    <n v="52"/>
    <s v="Good"/>
    <n v="0"/>
    <n v="3.9100000000000003E-2"/>
    <n v="2.8399999999999998E-2"/>
    <d v="1899-12-30T00:18:00"/>
  </r>
  <r>
    <n v="403"/>
    <d v="2020-05-14T11:00:00"/>
    <d v="2020-05-14T00:00:00"/>
    <s v="11:00"/>
    <d v="2020-05-18T08:25:00"/>
    <d v="2020-05-18T00:00:00"/>
    <d v="1899-12-30T08:25:00"/>
    <n v="5"/>
    <x v="2"/>
    <x v="0"/>
    <x v="1"/>
    <n v="19"/>
    <n v="4.37"/>
    <n v="5.0599999999999996"/>
    <s v="Alive"/>
    <n v="96"/>
    <n v="164"/>
    <n v="60"/>
    <n v="55"/>
    <s v="Good"/>
    <n v="0"/>
    <n v="4.3700000000000003E-2"/>
    <n v="5.0599999999999999E-2"/>
    <d v="1900-01-02T21:25:00"/>
  </r>
  <r>
    <n v="404"/>
    <d v="2020-05-18T06:50:00"/>
    <d v="2020-05-18T00:00:00"/>
    <s v="06:50"/>
    <d v="2020-05-18T10:02:00"/>
    <d v="2020-05-18T00:00:00"/>
    <d v="1899-12-30T10:02:00"/>
    <n v="4"/>
    <x v="1"/>
    <x v="2"/>
    <x v="15"/>
    <n v="73"/>
    <n v="2.21"/>
    <n v="0.81"/>
    <s v="Alive"/>
    <n v="92"/>
    <n v="171"/>
    <n v="84"/>
    <n v="55"/>
    <s v="Good"/>
    <n v="0"/>
    <n v="2.2099999999999998E-2"/>
    <n v="8.1000000000000013E-3"/>
    <d v="1899-12-30T03:12:00"/>
  </r>
  <r>
    <n v="405"/>
    <d v="2020-05-19T07:00:00"/>
    <d v="2020-05-19T00:00:00"/>
    <s v="07:00"/>
    <d v="2020-05-19T10:00:00"/>
    <d v="2020-05-19T00:00:00"/>
    <d v="1899-12-30T10:00:00"/>
    <n v="5"/>
    <x v="1"/>
    <x v="2"/>
    <x v="4"/>
    <n v="78"/>
    <n v="13.14"/>
    <n v="4.95"/>
    <s v="Alive"/>
    <n v="134"/>
    <n v="191"/>
    <n v="99"/>
    <n v="39"/>
    <s v="Poor"/>
    <n v="0"/>
    <n v="0.13140000000000002"/>
    <n v="4.9500000000000002E-2"/>
    <d v="1899-12-30T03:00:00"/>
  </r>
  <r>
    <n v="406"/>
    <d v="2020-05-19T07:22:00"/>
    <d v="2020-05-19T00:00:00"/>
    <s v="07:22"/>
    <d v="2020-05-19T10:05:00"/>
    <d v="2020-05-19T00:00:00"/>
    <d v="1899-12-30T10:05:00"/>
    <n v="4"/>
    <x v="1"/>
    <x v="3"/>
    <x v="3"/>
    <n v="80"/>
    <n v="5.83"/>
    <n v="4.96"/>
    <s v="Alive"/>
    <n v="83"/>
    <n v="180"/>
    <n v="65"/>
    <n v="60"/>
    <s v="Good"/>
    <n v="0"/>
    <n v="5.8299999999999998E-2"/>
    <n v="4.9599999999999998E-2"/>
    <d v="1899-12-30T02:43:00"/>
  </r>
  <r>
    <n v="407"/>
    <d v="2020-05-20T07:20:00"/>
    <d v="2020-05-20T00:00:00"/>
    <s v="07:20"/>
    <d v="2020-05-20T10:41:00"/>
    <d v="2020-05-20T00:00:00"/>
    <d v="1899-12-30T10:41:00"/>
    <n v="4"/>
    <x v="1"/>
    <x v="0"/>
    <x v="8"/>
    <n v="72"/>
    <n v="4.8099999999999996"/>
    <n v="0.88"/>
    <s v="Alive"/>
    <n v="66"/>
    <n v="161"/>
    <n v="80"/>
    <n v="55"/>
    <s v="Good"/>
    <n v="0"/>
    <n v="4.8099999999999997E-2"/>
    <n v="8.8000000000000005E-3"/>
    <d v="1899-12-30T03:21:00"/>
  </r>
  <r>
    <n v="408"/>
    <d v="2020-05-21T07:14:00"/>
    <d v="2020-05-21T00:00:00"/>
    <s v="07:14"/>
    <d v="2020-05-21T12:11:00"/>
    <d v="2020-05-21T00:00:00"/>
    <d v="1899-12-30T12:11:00"/>
    <n v="4"/>
    <x v="1"/>
    <x v="0"/>
    <x v="12"/>
    <n v="61"/>
    <n v="7.73"/>
    <n v="1.93"/>
    <s v="Alive"/>
    <n v="92"/>
    <n v="182"/>
    <n v="78"/>
    <n v="55"/>
    <s v="Good"/>
    <n v="0"/>
    <n v="7.7300000000000008E-2"/>
    <n v="1.9299999999999998E-2"/>
    <d v="1899-12-30T04:57:00"/>
  </r>
  <r>
    <n v="409"/>
    <d v="2020-05-22T07:01:00"/>
    <d v="2020-05-22T00:00:00"/>
    <s v="07:01"/>
    <d v="2020-05-22T11:30:00"/>
    <d v="2020-05-22T00:00:00"/>
    <d v="1899-12-30T11:30:00"/>
    <n v="4"/>
    <x v="1"/>
    <x v="0"/>
    <x v="8"/>
    <n v="69"/>
    <n v="6.9"/>
    <n v="1.42"/>
    <s v="Alive"/>
    <n v="81"/>
    <n v="168"/>
    <n v="96"/>
    <n v="68"/>
    <s v="Good"/>
    <n v="0"/>
    <n v="6.9000000000000006E-2"/>
    <n v="1.4199999999999999E-2"/>
    <d v="1899-12-30T04:29:00"/>
  </r>
  <r>
    <n v="410"/>
    <d v="2020-05-22T09:00:00"/>
    <d v="2020-05-22T00:00:00"/>
    <s v="09:00"/>
    <d v="2020-05-23T08:21:00"/>
    <d v="2020-05-23T00:00:00"/>
    <d v="1899-12-30T08:21:00"/>
    <n v="4"/>
    <x v="0"/>
    <x v="2"/>
    <x v="1"/>
    <n v="65"/>
    <n v="2.63"/>
    <n v="1.1599999999999999"/>
    <s v="Alive"/>
    <n v="91"/>
    <n v="170"/>
    <n v="66"/>
    <n v="25"/>
    <s v="Poor"/>
    <n v="0"/>
    <n v="2.63E-2"/>
    <n v="1.1599999999999999E-2"/>
    <d v="1899-12-30T23:21:00"/>
  </r>
  <r>
    <n v="411"/>
    <d v="2020-05-20T16:00:00"/>
    <d v="2020-05-20T00:00:00"/>
    <s v="16:00"/>
    <d v="2020-05-23T09:52:00"/>
    <d v="2020-05-23T00:00:00"/>
    <d v="1899-12-30T09:52:00"/>
    <n v="5"/>
    <x v="1"/>
    <x v="2"/>
    <x v="4"/>
    <n v="58"/>
    <n v="1.22"/>
    <n v="0.62"/>
    <s v="Alive"/>
    <n v="85"/>
    <n v="163"/>
    <n v="63"/>
    <n v="55"/>
    <s v="Good"/>
    <n v="0"/>
    <n v="1.2199999999999999E-2"/>
    <n v="6.1999999999999998E-3"/>
    <d v="1900-01-01T17:52:00"/>
  </r>
  <r>
    <n v="412"/>
    <d v="2020-05-22T17:43:00"/>
    <d v="2020-05-22T00:00:00"/>
    <s v="17:43"/>
    <d v="2020-05-24T13:25:00"/>
    <d v="2020-05-24T00:00:00"/>
    <d v="1899-12-30T13:25:00"/>
    <n v="5"/>
    <x v="0"/>
    <x v="4"/>
    <x v="1"/>
    <n v="64"/>
    <n v="12.18"/>
    <n v="3.65"/>
    <s v="Alive"/>
    <n v="65"/>
    <n v="153"/>
    <n v="68"/>
    <n v="45"/>
    <s v="Moderate"/>
    <n v="0"/>
    <n v="0.12179999999999999"/>
    <n v="3.6499999999999998E-2"/>
    <d v="1899-12-31T19:42:00"/>
  </r>
  <r>
    <n v="413"/>
    <d v="2020-05-23T08:38:00"/>
    <d v="2020-05-23T00:00:00"/>
    <s v="08:38"/>
    <d v="2020-05-25T14:24:00"/>
    <d v="2020-05-25T00:00:00"/>
    <d v="1899-12-30T14:24:00"/>
    <n v="4"/>
    <x v="0"/>
    <x v="3"/>
    <x v="15"/>
    <n v="82"/>
    <n v="79.03"/>
    <n v="30.65"/>
    <s v="Alive"/>
    <n v="94"/>
    <n v="184"/>
    <n v="84"/>
    <n v="55"/>
    <s v="Good"/>
    <n v="0"/>
    <n v="0.7903"/>
    <n v="0.30649999999999999"/>
    <d v="1900-01-01T05:46:00"/>
  </r>
  <r>
    <n v="414"/>
    <d v="2020-05-26T07:00:00"/>
    <d v="2020-05-26T00:00:00"/>
    <s v="07:00"/>
    <d v="2020-05-26T09:45:00"/>
    <d v="2020-05-26T00:00:00"/>
    <d v="1899-12-30T09:45:00"/>
    <n v="5"/>
    <x v="1"/>
    <x v="3"/>
    <x v="1"/>
    <n v="62"/>
    <n v="1.83"/>
    <n v="1.38"/>
    <s v="Alive"/>
    <n v="91"/>
    <n v="152"/>
    <n v="81"/>
    <n v="72"/>
    <s v="Good"/>
    <n v="0"/>
    <n v="1.83E-2"/>
    <n v="1.38E-2"/>
    <d v="1899-12-30T02:45:00"/>
  </r>
  <r>
    <n v="415"/>
    <d v="2020-05-24T10:00:00"/>
    <d v="2020-05-24T00:00:00"/>
    <s v="10:00"/>
    <d v="2020-05-26T09:50:00"/>
    <d v="2020-05-26T00:00:00"/>
    <d v="1899-12-30T09:50:00"/>
    <n v="4"/>
    <x v="2"/>
    <x v="2"/>
    <x v="6"/>
    <n v="67"/>
    <n v="2.42"/>
    <n v="1.1200000000000001"/>
    <s v="Alive"/>
    <n v="83"/>
    <n v="187"/>
    <n v="87"/>
    <n v="67"/>
    <s v="Good"/>
    <n v="0"/>
    <n v="2.4199999999999999E-2"/>
    <n v="1.1200000000000002E-2"/>
    <d v="1899-12-31T23:50:00"/>
  </r>
  <r>
    <n v="416"/>
    <d v="2020-05-27T07:00:00"/>
    <d v="2020-05-27T00:00:00"/>
    <s v="07:00"/>
    <d v="2020-05-27T09:00:00"/>
    <d v="2020-05-27T00:00:00"/>
    <d v="1899-12-30T09:00:00"/>
    <n v="5"/>
    <x v="1"/>
    <x v="2"/>
    <x v="1"/>
    <n v="67"/>
    <n v="2.42"/>
    <n v="1"/>
    <s v="Alive"/>
    <n v="61"/>
    <n v="169"/>
    <n v="106"/>
    <n v="37"/>
    <s v="Moderate"/>
    <n v="0"/>
    <n v="2.4199999999999999E-2"/>
    <n v="0.01"/>
    <d v="1899-12-30T02:00:00"/>
  </r>
  <r>
    <n v="417"/>
    <d v="2020-05-27T07:00:00"/>
    <d v="2020-05-27T00:00:00"/>
    <s v="07:00"/>
    <d v="2020-05-27T09:45:00"/>
    <d v="2020-05-27T00:00:00"/>
    <d v="1899-12-30T09:45:00"/>
    <n v="4"/>
    <x v="1"/>
    <x v="0"/>
    <x v="8"/>
    <n v="55"/>
    <n v="2.08"/>
    <n v="0.62"/>
    <s v="Alive"/>
    <n v="80"/>
    <n v="167"/>
    <n v="76"/>
    <n v="60"/>
    <s v="Good"/>
    <n v="0"/>
    <n v="2.0799999999999999E-2"/>
    <n v="6.1999999999999998E-3"/>
    <d v="1899-12-30T02:45:00"/>
  </r>
  <r>
    <n v="418"/>
    <d v="2020-05-16T18:23:00"/>
    <d v="2020-05-16T00:00:00"/>
    <s v="18:23"/>
    <d v="2020-05-28T08:12:00"/>
    <d v="2020-05-28T00:00:00"/>
    <d v="1899-12-30T08:12:00"/>
    <n v="4"/>
    <x v="2"/>
    <x v="0"/>
    <x v="12"/>
    <n v="49"/>
    <n v="32.14"/>
    <n v="11.95"/>
    <s v="Alive"/>
    <n v="92"/>
    <n v="189"/>
    <n v="92"/>
    <n v="50"/>
    <s v="Moderate"/>
    <n v="0"/>
    <n v="0.32140000000000002"/>
    <n v="0.1195"/>
    <d v="1900-01-10T13:49:00"/>
  </r>
  <r>
    <n v="419"/>
    <d v="2020-05-28T07:13:00"/>
    <d v="2020-05-28T00:00:00"/>
    <s v="07:13"/>
    <d v="2020-05-28T10:09:00"/>
    <d v="2020-05-28T00:00:00"/>
    <d v="1899-12-30T10:09:00"/>
    <n v="5"/>
    <x v="1"/>
    <x v="3"/>
    <x v="4"/>
    <n v="60"/>
    <n v="2.42"/>
    <n v="1.58"/>
    <s v="Alive"/>
    <n v="75"/>
    <n v="175"/>
    <n v="109"/>
    <n v="60"/>
    <s v="Good"/>
    <n v="0"/>
    <n v="2.4199999999999999E-2"/>
    <n v="1.5800000000000002E-2"/>
    <d v="1899-12-30T02:56:00"/>
  </r>
  <r>
    <n v="420"/>
    <d v="2020-05-29T07:09:00"/>
    <d v="2020-05-29T00:00:00"/>
    <s v="07:09"/>
    <d v="2020-05-29T08:54:00"/>
    <d v="2020-05-29T00:00:00"/>
    <d v="1899-12-30T08:54:00"/>
    <n v="5"/>
    <x v="1"/>
    <x v="3"/>
    <x v="11"/>
    <n v="78"/>
    <n v="5.14"/>
    <n v="2.58"/>
    <s v="Alive"/>
    <n v="77"/>
    <n v="172"/>
    <n v="112"/>
    <n v="55"/>
    <s v="Good"/>
    <n v="0"/>
    <n v="5.1399999999999994E-2"/>
    <n v="2.58E-2"/>
    <d v="1899-12-30T01:45:00"/>
  </r>
  <r>
    <n v="421"/>
    <d v="2020-05-27T09:33:00"/>
    <d v="2020-05-27T00:00:00"/>
    <s v="09:33"/>
    <d v="2020-06-01T08:25:00"/>
    <d v="2020-06-01T00:00:00"/>
    <d v="1899-12-30T08:25:00"/>
    <n v="5"/>
    <x v="2"/>
    <x v="3"/>
    <x v="12"/>
    <n v="53"/>
    <n v="6.17"/>
    <n v="1.84"/>
    <s v="Alive"/>
    <n v="123"/>
    <n v="175"/>
    <n v="102"/>
    <n v="66"/>
    <s v="Good"/>
    <n v="0"/>
    <n v="6.1699999999999998E-2"/>
    <n v="1.84E-2"/>
    <d v="1900-01-03T22:52:00"/>
  </r>
  <r>
    <n v="422"/>
    <d v="2020-06-01T07:12:00"/>
    <d v="2020-06-01T00:00:00"/>
    <s v="07:12"/>
    <d v="2020-06-01T11:53:00"/>
    <d v="2020-06-01T00:00:00"/>
    <d v="1899-12-30T11:53:00"/>
    <n v="4"/>
    <x v="1"/>
    <x v="3"/>
    <x v="12"/>
    <n v="82"/>
    <n v="32.090000000000003"/>
    <n v="11.99"/>
    <s v="Alive"/>
    <n v="121"/>
    <n v="172"/>
    <n v="81"/>
    <n v="46"/>
    <s v="Moderate"/>
    <n v="0"/>
    <n v="0.32090000000000002"/>
    <n v="0.11990000000000001"/>
    <d v="1899-12-30T04:41:00"/>
  </r>
  <r>
    <n v="423"/>
    <d v="2020-06-01T09:23:00"/>
    <d v="2020-06-01T00:00:00"/>
    <s v="09:23"/>
    <d v="2020-06-02T08:50:00"/>
    <d v="2020-06-02T00:00:00"/>
    <d v="1899-12-30T08:50:00"/>
    <n v="4"/>
    <x v="1"/>
    <x v="0"/>
    <x v="8"/>
    <n v="76"/>
    <n v="4.53"/>
    <n v="2.0499999999999998"/>
    <s v="Alive"/>
    <n v="66"/>
    <n v="165"/>
    <n v="88"/>
    <n v="55"/>
    <s v="Good"/>
    <n v="0"/>
    <n v="4.53E-2"/>
    <n v="2.0499999999999997E-2"/>
    <d v="1899-12-30T23:27:00"/>
  </r>
  <r>
    <n v="424"/>
    <d v="2020-06-01T15:27:00"/>
    <d v="2020-06-01T00:00:00"/>
    <s v="15:27"/>
    <d v="2020-06-02T09:00:00"/>
    <d v="2020-06-02T00:00:00"/>
    <d v="1899-12-30T09:00:00"/>
    <n v="5"/>
    <x v="2"/>
    <x v="2"/>
    <x v="4"/>
    <n v="58"/>
    <n v="7.32"/>
    <n v="3.51"/>
    <s v="Alive"/>
    <n v="75"/>
    <n v="166"/>
    <n v="68"/>
    <n v="68"/>
    <s v="Good"/>
    <n v="0"/>
    <n v="7.3200000000000001E-2"/>
    <n v="3.5099999999999999E-2"/>
    <d v="1899-12-30T17:33:00"/>
  </r>
  <r>
    <n v="425"/>
    <d v="2020-06-02T18:48:00"/>
    <d v="2020-06-02T00:00:00"/>
    <s v="18:48"/>
    <d v="2020-06-02T20:00:00"/>
    <d v="2020-06-02T00:00:00"/>
    <d v="1899-12-30T20:00:00"/>
    <n v="1"/>
    <x v="0"/>
    <x v="1"/>
    <x v="11"/>
    <n v="55"/>
    <n v="4.16"/>
    <n v="3.58"/>
    <s v="Alive"/>
    <n v="89"/>
    <n v="162"/>
    <n v="77"/>
    <n v="40"/>
    <s v="Moderate"/>
    <n v="0"/>
    <n v="4.1599999999999998E-2"/>
    <n v="3.5799999999999998E-2"/>
    <d v="1899-12-30T01:12:00"/>
  </r>
  <r>
    <n v="426"/>
    <d v="2020-06-01T10:26:00"/>
    <d v="2020-06-01T00:00:00"/>
    <s v="10:26"/>
    <d v="2020-06-03T08:27:00"/>
    <d v="2020-06-03T00:00:00"/>
    <d v="1899-12-30T08:27:00"/>
    <n v="4"/>
    <x v="2"/>
    <x v="2"/>
    <x v="7"/>
    <n v="69"/>
    <n v="4.76"/>
    <n v="2.31"/>
    <s v="Alive"/>
    <n v="83"/>
    <n v="180"/>
    <n v="91"/>
    <n v="41"/>
    <s v="Moderate"/>
    <n v="0"/>
    <n v="4.7599999999999996E-2"/>
    <n v="2.3099999999999999E-2"/>
    <d v="1899-12-31T22:01:00"/>
  </r>
  <r>
    <n v="427"/>
    <d v="2020-06-01T18:00:00"/>
    <d v="2020-06-01T00:00:00"/>
    <s v="18:00"/>
    <d v="2020-06-03T08:30:00"/>
    <d v="2020-06-03T00:00:00"/>
    <d v="1899-12-30T08:30:00"/>
    <n v="5"/>
    <x v="1"/>
    <x v="0"/>
    <x v="2"/>
    <n v="57"/>
    <n v="2.08"/>
    <n v="1.62"/>
    <s v="Alive"/>
    <n v="110"/>
    <n v="155"/>
    <n v="66"/>
    <n v="68"/>
    <s v="Good"/>
    <n v="0"/>
    <n v="2.0799999999999999E-2"/>
    <n v="1.6200000000000003E-2"/>
    <d v="1899-12-31T14:30:00"/>
  </r>
  <r>
    <n v="428"/>
    <d v="2020-06-02T14:00:00"/>
    <d v="2020-06-02T00:00:00"/>
    <s v="14:00"/>
    <d v="2020-06-04T08:30:00"/>
    <d v="2020-06-04T00:00:00"/>
    <d v="1899-12-30T08:30:00"/>
    <n v="4"/>
    <x v="2"/>
    <x v="3"/>
    <x v="1"/>
    <n v="56"/>
    <n v="2.57"/>
    <n v="1.37"/>
    <s v="Alive"/>
    <n v="86"/>
    <n v="166"/>
    <n v="87"/>
    <n v="40"/>
    <s v="Moderate"/>
    <n v="0"/>
    <n v="2.5699999999999997E-2"/>
    <n v="1.37E-2"/>
    <d v="1899-12-31T18:30:00"/>
  </r>
  <r>
    <n v="429"/>
    <d v="2020-06-04T07:00:00"/>
    <d v="2020-06-04T00:00:00"/>
    <s v="07:00"/>
    <d v="2020-06-04T08:55:00"/>
    <d v="2020-06-04T00:00:00"/>
    <d v="1899-12-30T08:55:00"/>
    <n v="5"/>
    <x v="1"/>
    <x v="3"/>
    <x v="3"/>
    <n v="73"/>
    <n v="5.98"/>
    <n v="2.2400000000000002"/>
    <s v="Alive"/>
    <n v="65"/>
    <n v="172"/>
    <n v="86"/>
    <n v="55"/>
    <s v="Good"/>
    <n v="0"/>
    <n v="5.9800000000000006E-2"/>
    <n v="2.2400000000000003E-2"/>
    <d v="1899-12-30T01:55:00"/>
  </r>
  <r>
    <n v="430"/>
    <d v="2020-06-04T07:00:00"/>
    <d v="2020-06-04T00:00:00"/>
    <s v="07:00"/>
    <d v="2020-06-04T14:31:00"/>
    <d v="2020-06-04T00:00:00"/>
    <d v="1899-12-30T14:31:00"/>
    <n v="4"/>
    <x v="1"/>
    <x v="2"/>
    <x v="1"/>
    <n v="63"/>
    <n v="1.73"/>
    <n v="1.06"/>
    <s v="Alive"/>
    <n v="95"/>
    <n v="176"/>
    <n v="88"/>
    <n v="60"/>
    <s v="Good"/>
    <n v="0"/>
    <n v="1.7299999999999999E-2"/>
    <n v="1.06E-2"/>
    <d v="1899-12-30T07:31:00"/>
  </r>
  <r>
    <n v="431"/>
    <d v="2020-05-29T09:07:00"/>
    <d v="2020-05-29T00:00:00"/>
    <s v="09:07"/>
    <d v="2020-06-05T08:40:00"/>
    <d v="2020-06-05T00:00:00"/>
    <d v="1899-12-30T08:40:00"/>
    <n v="3"/>
    <x v="1"/>
    <x v="0"/>
    <x v="6"/>
    <n v="79"/>
    <n v="7.46"/>
    <n v="1.07"/>
    <s v="Alive"/>
    <n v="72"/>
    <n v="147"/>
    <n v="62"/>
    <n v="46"/>
    <s v="Moderate"/>
    <n v="0"/>
    <n v="7.46E-2"/>
    <n v="1.0700000000000001E-2"/>
    <d v="1900-01-05T23:33:00"/>
  </r>
  <r>
    <n v="432"/>
    <d v="2020-06-05T19:15:00"/>
    <d v="2020-06-05T00:00:00"/>
    <s v="19:15"/>
    <d v="2020-06-05T23:58:00"/>
    <d v="2020-06-05T00:00:00"/>
    <d v="1899-12-30T23:58:00"/>
    <n v="1"/>
    <x v="0"/>
    <x v="1"/>
    <x v="6"/>
    <n v="61"/>
    <n v="7.01"/>
    <n v="4.9800000000000004"/>
    <s v="Alive"/>
    <n v="95"/>
    <n v="160"/>
    <n v="90"/>
    <n v="80"/>
    <s v="Good"/>
    <n v="0"/>
    <n v="7.0099999999999996E-2"/>
    <n v="4.9800000000000004E-2"/>
    <d v="1899-12-30T04:43:00"/>
  </r>
  <r>
    <n v="433"/>
    <d v="2020-06-02T14:59:00"/>
    <d v="2020-06-02T00:00:00"/>
    <s v="14:59"/>
    <d v="2020-06-06T08:30:00"/>
    <d v="2020-06-06T00:00:00"/>
    <d v="1899-12-30T08:30:00"/>
    <n v="5"/>
    <x v="2"/>
    <x v="2"/>
    <x v="11"/>
    <n v="67"/>
    <n v="6.08"/>
    <n v="3.15"/>
    <s v="Alive"/>
    <n v="70"/>
    <n v="178"/>
    <n v="80"/>
    <n v="60"/>
    <s v="Good"/>
    <n v="0"/>
    <n v="6.08E-2"/>
    <n v="3.15E-2"/>
    <d v="1900-01-02T17:31:00"/>
  </r>
  <r>
    <n v="434"/>
    <d v="2020-06-05T15:49:00"/>
    <d v="2020-06-05T00:00:00"/>
    <s v="15:49"/>
    <d v="2020-06-06T11:27:00"/>
    <d v="2020-06-06T00:00:00"/>
    <d v="1899-12-30T11:27:00"/>
    <n v="5"/>
    <x v="1"/>
    <x v="2"/>
    <x v="0"/>
    <n v="77"/>
    <n v="7.33"/>
    <n v="2.56"/>
    <s v="Alive"/>
    <n v="73"/>
    <n v="180"/>
    <n v="93"/>
    <n v="65"/>
    <s v="Good"/>
    <n v="0"/>
    <n v="7.3300000000000004E-2"/>
    <n v="2.5600000000000001E-2"/>
    <d v="1899-12-30T19:38:00"/>
  </r>
  <r>
    <n v="435"/>
    <d v="2020-05-28T11:00:00"/>
    <d v="2020-05-28T00:00:00"/>
    <s v="11:00"/>
    <d v="2020-06-08T08:36:00"/>
    <d v="2020-06-08T00:00:00"/>
    <d v="1899-12-30T08:36:00"/>
    <n v="4"/>
    <x v="2"/>
    <x v="1"/>
    <x v="6"/>
    <n v="71"/>
    <n v="11.8"/>
    <n v="5.58"/>
    <s v="Died"/>
    <n v="70"/>
    <n v="185"/>
    <n v="101"/>
    <n v="62"/>
    <s v="Good"/>
    <n v="1"/>
    <n v="0.11800000000000001"/>
    <n v="5.5800000000000002E-2"/>
    <d v="1900-01-09T21:36:00"/>
  </r>
  <r>
    <n v="436"/>
    <d v="2020-06-06T11:00:00"/>
    <d v="2020-06-06T00:00:00"/>
    <s v="11:00"/>
    <d v="2020-06-08T10:19:00"/>
    <d v="2020-06-08T00:00:00"/>
    <d v="1899-12-30T10:19:00"/>
    <n v="5"/>
    <x v="2"/>
    <x v="3"/>
    <x v="3"/>
    <n v="71"/>
    <n v="3.29"/>
    <n v="1.61"/>
    <s v="Alive"/>
    <n v="93"/>
    <n v="174"/>
    <n v="78"/>
    <n v="60"/>
    <s v="Good"/>
    <n v="0"/>
    <n v="3.2899999999999999E-2"/>
    <n v="1.61E-2"/>
    <d v="1899-12-31T23:19:00"/>
  </r>
  <r>
    <n v="437"/>
    <d v="2020-06-08T07:00:00"/>
    <d v="2020-06-08T00:00:00"/>
    <s v="07:00"/>
    <d v="2020-06-08T14:36:00"/>
    <d v="2020-06-08T00:00:00"/>
    <d v="1899-12-30T14:36:00"/>
    <n v="6"/>
    <x v="1"/>
    <x v="2"/>
    <x v="6"/>
    <n v="76"/>
    <n v="5.05"/>
    <n v="1.49"/>
    <s v="Alive"/>
    <n v="91"/>
    <n v="166"/>
    <n v="78"/>
    <n v="60"/>
    <s v="Good"/>
    <n v="0"/>
    <n v="5.0499999999999996E-2"/>
    <n v="1.49E-2"/>
    <d v="1899-12-30T07:36:00"/>
  </r>
  <r>
    <n v="438"/>
    <d v="2020-06-08T15:55:00"/>
    <d v="2020-06-08T00:00:00"/>
    <s v="15:55"/>
    <d v="2020-06-09T08:20:00"/>
    <d v="2020-06-09T00:00:00"/>
    <d v="1899-12-30T08:20:00"/>
    <n v="5"/>
    <x v="1"/>
    <x v="2"/>
    <x v="4"/>
    <n v="77"/>
    <n v="4.29"/>
    <n v="1.49"/>
    <s v="Alive"/>
    <n v="78"/>
    <n v="169"/>
    <n v="82"/>
    <n v="45"/>
    <s v="Moderate"/>
    <n v="0"/>
    <n v="4.2900000000000001E-2"/>
    <n v="1.49E-2"/>
    <d v="1899-12-30T16:25:00"/>
  </r>
  <r>
    <n v="439"/>
    <d v="2020-05-28T18:02:00"/>
    <d v="2020-05-28T00:00:00"/>
    <s v="18:02"/>
    <d v="2020-06-09T08:20:00"/>
    <d v="2020-06-09T00:00:00"/>
    <d v="1899-12-30T08:20:00"/>
    <n v="4"/>
    <x v="2"/>
    <x v="0"/>
    <x v="16"/>
    <n v="57"/>
    <n v="3.54"/>
    <n v="1.26"/>
    <s v="Alive"/>
    <n v="110"/>
    <n v="157"/>
    <n v="64"/>
    <n v="65"/>
    <s v="Good"/>
    <n v="0"/>
    <n v="3.5400000000000001E-2"/>
    <n v="1.26E-2"/>
    <d v="1900-01-10T14:18:00"/>
  </r>
  <r>
    <n v="440"/>
    <d v="2020-06-09T07:00:00"/>
    <d v="2020-06-09T00:00:00"/>
    <s v="07:00"/>
    <d v="2020-06-09T14:24:00"/>
    <d v="2020-06-09T00:00:00"/>
    <d v="1899-12-30T14:24:00"/>
    <n v="5"/>
    <x v="1"/>
    <x v="0"/>
    <x v="4"/>
    <n v="65"/>
    <n v="5.76"/>
    <n v="1.64"/>
    <s v="Alive"/>
    <n v="83"/>
    <n v="158"/>
    <n v="48"/>
    <n v="65"/>
    <s v="Good"/>
    <n v="0"/>
    <n v="5.7599999999999998E-2"/>
    <n v="1.6399999999999998E-2"/>
    <d v="1899-12-30T07:24:00"/>
  </r>
  <r>
    <n v="441"/>
    <d v="2020-06-09T07:00:00"/>
    <d v="2020-06-09T00:00:00"/>
    <s v="07:00"/>
    <d v="2020-06-09T16:13:00"/>
    <d v="2020-06-09T00:00:00"/>
    <d v="1899-12-30T16:13:00"/>
    <n v="4"/>
    <x v="1"/>
    <x v="0"/>
    <x v="16"/>
    <n v="45"/>
    <n v="1.51"/>
    <n v="0.5"/>
    <s v="Alive"/>
    <n v="61"/>
    <n v="184"/>
    <n v="111"/>
    <n v="29"/>
    <s v="Poor"/>
    <n v="0"/>
    <n v="1.5100000000000001E-2"/>
    <n v="5.0000000000000001E-3"/>
    <d v="1899-12-30T09:13:00"/>
  </r>
  <r>
    <n v="442"/>
    <d v="2020-06-10T07:00:00"/>
    <d v="2020-06-10T00:00:00"/>
    <s v="07:00"/>
    <d v="2020-06-10T09:15:00"/>
    <d v="2020-06-10T00:00:00"/>
    <d v="1899-12-30T09:15:00"/>
    <n v="5"/>
    <x v="1"/>
    <x v="2"/>
    <x v="11"/>
    <n v="63"/>
    <n v="1.1499999999999999"/>
    <n v="0.61"/>
    <s v="Alive"/>
    <n v="91"/>
    <n v="157"/>
    <n v="51"/>
    <n v="55"/>
    <s v="Good"/>
    <n v="0"/>
    <n v="1.15E-2"/>
    <n v="6.0999999999999995E-3"/>
    <d v="1899-12-30T02:15:00"/>
  </r>
  <r>
    <n v="443"/>
    <d v="2020-06-06T13:44:00"/>
    <d v="2020-06-06T00:00:00"/>
    <s v="13:44"/>
    <d v="2020-06-10T16:05:00"/>
    <d v="2020-06-10T00:00:00"/>
    <d v="1899-12-30T16:05:00"/>
    <n v="6"/>
    <x v="2"/>
    <x v="2"/>
    <x v="11"/>
    <n v="71"/>
    <n v="1.94"/>
    <n v="1.41"/>
    <s v="Alive"/>
    <n v="62"/>
    <n v="166"/>
    <n v="72"/>
    <n v="65"/>
    <s v="Good"/>
    <n v="0"/>
    <n v="1.9400000000000001E-2"/>
    <n v="1.41E-2"/>
    <d v="1900-01-03T02:21:00"/>
  </r>
  <r>
    <n v="444"/>
    <d v="2020-06-04T10:00:00"/>
    <d v="2020-06-04T00:00:00"/>
    <s v="10:00"/>
    <d v="2020-06-11T08:17:00"/>
    <d v="2020-06-11T00:00:00"/>
    <d v="1899-12-30T08:17:00"/>
    <n v="5"/>
    <x v="2"/>
    <x v="2"/>
    <x v="12"/>
    <n v="80"/>
    <n v="13.41"/>
    <n v="3.44"/>
    <s v="Alive"/>
    <n v="61"/>
    <n v="150"/>
    <n v="76"/>
    <n v="54"/>
    <s v="Good"/>
    <n v="0"/>
    <n v="0.1341"/>
    <n v="3.44E-2"/>
    <d v="1900-01-05T22:17:00"/>
  </r>
  <r>
    <n v="445"/>
    <d v="2020-06-10T12:47:00"/>
    <d v="2020-06-10T00:00:00"/>
    <s v="12:47"/>
    <d v="2020-06-11T08:25:00"/>
    <d v="2020-06-11T00:00:00"/>
    <d v="1899-12-30T08:25:00"/>
    <n v="4"/>
    <x v="1"/>
    <x v="3"/>
    <x v="1"/>
    <n v="75"/>
    <n v="5.82"/>
    <n v="1.64"/>
    <s v="Alive"/>
    <n v="66"/>
    <n v="172"/>
    <n v="79"/>
    <n v="40"/>
    <s v="Moderate"/>
    <n v="0"/>
    <n v="5.8200000000000002E-2"/>
    <n v="1.6399999999999998E-2"/>
    <d v="1899-12-30T19:38:00"/>
  </r>
  <r>
    <n v="446"/>
    <d v="2020-06-08T13:10:00"/>
    <d v="2020-06-08T00:00:00"/>
    <s v="13:10"/>
    <d v="2020-06-11T12:58:00"/>
    <d v="2020-06-11T00:00:00"/>
    <d v="1899-12-30T12:58:00"/>
    <n v="5"/>
    <x v="2"/>
    <x v="0"/>
    <x v="12"/>
    <n v="84"/>
    <n v="65.349999999999994"/>
    <n v="52.94"/>
    <s v="Alive"/>
    <n v="84"/>
    <n v="182"/>
    <n v="96"/>
    <n v="55"/>
    <s v="Good"/>
    <n v="0"/>
    <n v="0.65349999999999997"/>
    <n v="0.52939999999999998"/>
    <d v="1900-01-01T23:48:00"/>
  </r>
  <r>
    <n v="447"/>
    <d v="2020-06-11T07:00:00"/>
    <d v="2020-06-11T00:00:00"/>
    <s v="07:00"/>
    <d v="2020-06-11T14:04:00"/>
    <d v="2020-06-11T00:00:00"/>
    <d v="1899-12-30T14:04:00"/>
    <n v="4"/>
    <x v="1"/>
    <x v="1"/>
    <x v="1"/>
    <n v="50"/>
    <n v="2.08"/>
    <n v="1.07"/>
    <s v="Alive"/>
    <n v="76"/>
    <n v="177"/>
    <n v="72"/>
    <n v="35"/>
    <s v="Moderate"/>
    <n v="0"/>
    <n v="2.0799999999999999E-2"/>
    <n v="1.0700000000000001E-2"/>
    <d v="1899-12-30T07:04:00"/>
  </r>
  <r>
    <n v="448"/>
    <d v="2020-06-09T11:00:00"/>
    <d v="2020-06-09T00:00:00"/>
    <s v="11:00"/>
    <d v="2020-06-12T08:30:00"/>
    <d v="2020-06-12T00:00:00"/>
    <d v="1899-12-30T08:30:00"/>
    <n v="4"/>
    <x v="2"/>
    <x v="2"/>
    <x v="0"/>
    <n v="68"/>
    <n v="23.62"/>
    <n v="11.13"/>
    <s v="Alive"/>
    <n v="93"/>
    <n v="161"/>
    <n v="64"/>
    <n v="68"/>
    <s v="Good"/>
    <n v="0"/>
    <n v="0.23620000000000002"/>
    <n v="0.11130000000000001"/>
    <d v="1900-01-01T21:30:00"/>
  </r>
  <r>
    <n v="449"/>
    <d v="2020-06-12T07:00:00"/>
    <d v="2020-06-12T00:00:00"/>
    <s v="07:00"/>
    <d v="2020-06-12T09:38:00"/>
    <d v="2020-06-12T00:00:00"/>
    <d v="1899-12-30T09:38:00"/>
    <n v="5"/>
    <x v="1"/>
    <x v="0"/>
    <x v="7"/>
    <n v="68"/>
    <n v="7.68"/>
    <n v="2.37"/>
    <s v="Alive"/>
    <n v="109"/>
    <n v="180"/>
    <n v="100"/>
    <n v="40"/>
    <s v="Moderate"/>
    <n v="0"/>
    <n v="7.6799999999999993E-2"/>
    <n v="2.3700000000000002E-2"/>
    <d v="1899-12-30T02:38:00"/>
  </r>
  <r>
    <n v="450"/>
    <d v="2020-06-09T10:00:00"/>
    <d v="2020-06-09T00:00:00"/>
    <s v="10:00"/>
    <d v="2020-06-12T14:05:00"/>
    <d v="2020-06-12T00:00:00"/>
    <d v="1899-12-30T14:05:00"/>
    <n v="4"/>
    <x v="1"/>
    <x v="2"/>
    <x v="0"/>
    <n v="65"/>
    <n v="2.2400000000000002"/>
    <n v="0.9"/>
    <s v="Alive"/>
    <n v="71"/>
    <n v="166"/>
    <n v="90"/>
    <n v="58"/>
    <s v="Good"/>
    <n v="0"/>
    <n v="2.2400000000000003E-2"/>
    <n v="9.0000000000000011E-3"/>
    <d v="1900-01-02T04:05:00"/>
  </r>
  <r>
    <n v="451"/>
    <d v="2020-06-10T10:29:00"/>
    <d v="2020-06-10T00:00:00"/>
    <s v="10:29"/>
    <d v="2020-06-12T14:40:00"/>
    <d v="2020-06-12T00:00:00"/>
    <d v="1899-12-30T14:40:00"/>
    <n v="5"/>
    <x v="2"/>
    <x v="2"/>
    <x v="7"/>
    <n v="77"/>
    <n v="9.73"/>
    <n v="6.63"/>
    <s v="Alive"/>
    <n v="79"/>
    <n v="170"/>
    <n v="92"/>
    <n v="75"/>
    <s v="Good"/>
    <n v="0"/>
    <n v="9.7299999999999998E-2"/>
    <n v="6.6299999999999998E-2"/>
    <d v="1900-01-01T04:11:00"/>
  </r>
  <r>
    <n v="452"/>
    <d v="2020-06-12T09:41:00"/>
    <d v="2020-06-12T00:00:00"/>
    <s v="09:41"/>
    <d v="2020-06-12T18:20:00"/>
    <d v="2020-06-12T00:00:00"/>
    <d v="1899-12-30T18:20:00"/>
    <n v="3"/>
    <x v="0"/>
    <x v="5"/>
    <x v="2"/>
    <n v="88"/>
    <n v="14.84"/>
    <n v="2.74"/>
    <s v="Alive"/>
    <n v="63"/>
    <n v="167"/>
    <n v="55"/>
    <n v="62"/>
    <s v="Good"/>
    <n v="0"/>
    <n v="0.1484"/>
    <n v="2.7400000000000001E-2"/>
    <d v="1899-12-30T08:39:00"/>
  </r>
  <r>
    <n v="453"/>
    <d v="2020-06-11T10:00:00"/>
    <d v="2020-06-11T00:00:00"/>
    <s v="10:00"/>
    <d v="2020-06-13T08:05:00"/>
    <d v="2020-06-13T00:00:00"/>
    <d v="1899-12-30T08:05:00"/>
    <n v="4"/>
    <x v="2"/>
    <x v="0"/>
    <x v="8"/>
    <n v="82"/>
    <n v="6.61"/>
    <n v="1.28"/>
    <s v="Alive"/>
    <n v="74"/>
    <n v="168"/>
    <n v="122"/>
    <n v="55"/>
    <s v="Good"/>
    <n v="0"/>
    <n v="6.6100000000000006E-2"/>
    <n v="1.2800000000000001E-2"/>
    <d v="1899-12-31T22:05:00"/>
  </r>
  <r>
    <n v="454"/>
    <d v="2020-06-01T18:00:00"/>
    <d v="2020-06-01T00:00:00"/>
    <s v="18:00"/>
    <d v="2020-06-13T08:30:00"/>
    <d v="2020-06-13T00:00:00"/>
    <d v="1899-12-30T08:30:00"/>
    <n v="5"/>
    <x v="2"/>
    <x v="0"/>
    <x v="2"/>
    <n v="57"/>
    <n v="8.67"/>
    <n v="3.43"/>
    <s v="Alive"/>
    <n v="68"/>
    <n v="178"/>
    <n v="123"/>
    <n v="55"/>
    <s v="Good"/>
    <n v="0"/>
    <n v="8.6699999999999999E-2"/>
    <n v="3.4300000000000004E-2"/>
    <d v="1900-01-10T14:30:00"/>
  </r>
  <r>
    <n v="455"/>
    <d v="2020-06-12T21:30:00"/>
    <d v="2020-06-12T00:00:00"/>
    <s v="21:30"/>
    <d v="2020-06-13T13:00:00"/>
    <d v="2020-06-13T00:00:00"/>
    <d v="1899-12-30T13:00:00"/>
    <n v="5"/>
    <x v="0"/>
    <x v="0"/>
    <x v="2"/>
    <n v="79"/>
    <n v="70.7"/>
    <n v="15.51"/>
    <s v="Alive"/>
    <n v="67"/>
    <n v="163"/>
    <n v="74"/>
    <n v="55"/>
    <s v="Good"/>
    <n v="0"/>
    <n v="0.70700000000000007"/>
    <n v="0.15509999999999999"/>
    <d v="1899-12-30T15:30:00"/>
  </r>
  <r>
    <n v="456"/>
    <d v="2020-06-13T07:00:00"/>
    <d v="2020-06-13T00:00:00"/>
    <s v="07:00"/>
    <d v="2020-06-13T13:05:00"/>
    <d v="2020-06-13T00:00:00"/>
    <d v="1899-12-30T13:05:00"/>
    <n v="4"/>
    <x v="1"/>
    <x v="0"/>
    <x v="8"/>
    <n v="55"/>
    <n v="1.51"/>
    <n v="0.5"/>
    <s v="Alive"/>
    <n v="156"/>
    <n v="175"/>
    <n v="66"/>
    <n v="75"/>
    <s v="Good"/>
    <n v="0"/>
    <n v="1.5100000000000001E-2"/>
    <n v="5.0000000000000001E-3"/>
    <d v="1899-12-30T06:05:00"/>
  </r>
  <r>
    <n v="457"/>
    <d v="2020-06-12T10:59:00"/>
    <d v="2020-06-12T00:00:00"/>
    <s v="10:59"/>
    <d v="2020-06-15T08:13:00"/>
    <d v="2020-06-15T00:00:00"/>
    <d v="1899-12-30T08:13:00"/>
    <n v="4"/>
    <x v="2"/>
    <x v="0"/>
    <x v="12"/>
    <n v="81"/>
    <n v="8.44"/>
    <n v="5.96"/>
    <s v="Alive"/>
    <n v="190"/>
    <n v="165"/>
    <n v="108"/>
    <n v="40"/>
    <s v="Moderate"/>
    <n v="0"/>
    <n v="8.4399999999999989E-2"/>
    <n v="5.96E-2"/>
    <d v="1900-01-01T21:14:00"/>
  </r>
  <r>
    <n v="458"/>
    <d v="2020-06-04T20:38:00"/>
    <d v="2020-06-04T00:00:00"/>
    <s v="20:38"/>
    <d v="2020-06-15T08:15:00"/>
    <d v="2020-06-15T00:00:00"/>
    <d v="1899-12-30T08:15:00"/>
    <n v="5"/>
    <x v="2"/>
    <x v="3"/>
    <x v="3"/>
    <n v="65"/>
    <n v="10.52"/>
    <n v="4.62"/>
    <s v="Alive"/>
    <n v="85"/>
    <n v="155"/>
    <n v="56"/>
    <n v="70"/>
    <s v="Good"/>
    <n v="0"/>
    <n v="0.1052"/>
    <n v="4.6199999999999998E-2"/>
    <d v="1900-01-09T11:37:00"/>
  </r>
  <r>
    <n v="459"/>
    <d v="2020-06-15T07:00:00"/>
    <d v="2020-06-15T00:00:00"/>
    <s v="07:00"/>
    <d v="2020-06-15T08:30:00"/>
    <d v="2020-06-15T00:00:00"/>
    <d v="1899-12-30T08:30:00"/>
    <n v="3"/>
    <x v="1"/>
    <x v="3"/>
    <x v="16"/>
    <n v="71"/>
    <n v="4.92"/>
    <n v="1.78"/>
    <s v="Alive"/>
    <n v="75"/>
    <n v="174"/>
    <n v="81"/>
    <n v="58"/>
    <s v="Good"/>
    <n v="0"/>
    <n v="4.9200000000000001E-2"/>
    <n v="1.78E-2"/>
    <d v="1899-12-30T01:30:00"/>
  </r>
  <r>
    <n v="460"/>
    <d v="2020-06-12T11:00:00"/>
    <d v="2020-06-12T00:00:00"/>
    <s v="11:00"/>
    <d v="2020-06-15T12:10:00"/>
    <d v="2020-06-15T00:00:00"/>
    <d v="1899-12-30T12:10:00"/>
    <n v="4"/>
    <x v="2"/>
    <x v="3"/>
    <x v="6"/>
    <n v="81"/>
    <n v="14.81"/>
    <n v="6.25"/>
    <s v="Alive"/>
    <n v="68"/>
    <n v="167"/>
    <n v="63"/>
    <n v="50"/>
    <s v="Moderate"/>
    <n v="0"/>
    <n v="0.14810000000000001"/>
    <n v="6.25E-2"/>
    <d v="1900-01-02T01:10:00"/>
  </r>
  <r>
    <n v="461"/>
    <d v="2020-06-15T07:00:00"/>
    <d v="2020-06-15T00:00:00"/>
    <s v="07:00"/>
    <d v="2020-06-15T15:45:00"/>
    <d v="2020-06-15T00:00:00"/>
    <d v="1899-12-30T15:45:00"/>
    <n v="5"/>
    <x v="1"/>
    <x v="4"/>
    <x v="3"/>
    <n v="74"/>
    <n v="15.56"/>
    <n v="3.01"/>
    <s v="Alive"/>
    <n v="72"/>
    <n v="167"/>
    <n v="88"/>
    <n v="38"/>
    <s v="Moderate"/>
    <n v="0"/>
    <n v="0.15560000000000002"/>
    <n v="3.0099999999999998E-2"/>
    <d v="1899-12-30T08:45:00"/>
  </r>
  <r>
    <n v="462"/>
    <d v="2020-06-05T10:00:00"/>
    <d v="2020-06-05T00:00:00"/>
    <s v="10:00"/>
    <d v="2020-06-16T08:10:00"/>
    <d v="2020-06-16T00:00:00"/>
    <d v="1899-12-30T08:10:00"/>
    <n v="3"/>
    <x v="2"/>
    <x v="0"/>
    <x v="11"/>
    <n v="63"/>
    <n v="1.96"/>
    <n v="1"/>
    <s v="Alive"/>
    <n v="65"/>
    <n v="170"/>
    <n v="69"/>
    <n v="49"/>
    <s v="Moderate"/>
    <n v="0"/>
    <n v="1.9599999999999999E-2"/>
    <n v="0.01"/>
    <d v="1900-01-09T22:10:00"/>
  </r>
  <r>
    <n v="463"/>
    <d v="2020-06-10T18:25:00"/>
    <d v="2020-06-10T00:00:00"/>
    <s v="18:25"/>
    <d v="2020-06-16T08:15:00"/>
    <d v="2020-06-16T00:00:00"/>
    <d v="1899-12-30T08:15:00"/>
    <n v="4"/>
    <x v="1"/>
    <x v="0"/>
    <x v="8"/>
    <n v="52"/>
    <n v="1.51"/>
    <n v="0.86"/>
    <s v="Alive"/>
    <n v="93"/>
    <n v="152"/>
    <n v="63"/>
    <n v="57"/>
    <s v="Good"/>
    <n v="0"/>
    <n v="1.5100000000000001E-2"/>
    <n v="8.6E-3"/>
    <d v="1900-01-04T13:50:00"/>
  </r>
  <r>
    <n v="464"/>
    <d v="2020-06-16T07:00:00"/>
    <d v="2020-06-16T00:00:00"/>
    <s v="07:00"/>
    <d v="2020-06-16T09:10:00"/>
    <d v="2020-06-16T00:00:00"/>
    <d v="1899-12-30T09:10:00"/>
    <n v="5"/>
    <x v="1"/>
    <x v="2"/>
    <x v="4"/>
    <n v="79"/>
    <n v="3.26"/>
    <n v="1.1499999999999999"/>
    <s v="Alive"/>
    <n v="72"/>
    <n v="185"/>
    <n v="102"/>
    <n v="60"/>
    <s v="Good"/>
    <n v="0"/>
    <n v="3.2599999999999997E-2"/>
    <n v="1.15E-2"/>
    <d v="1899-12-30T02:10:00"/>
  </r>
  <r>
    <n v="465"/>
    <d v="2020-06-16T07:00:00"/>
    <d v="2020-06-16T00:00:00"/>
    <s v="07:00"/>
    <d v="2020-06-16T12:45:00"/>
    <d v="2020-06-16T00:00:00"/>
    <d v="1899-12-30T12:45:00"/>
    <n v="3"/>
    <x v="1"/>
    <x v="2"/>
    <x v="11"/>
    <n v="73"/>
    <n v="2.21"/>
    <n v="0.97"/>
    <s v="Alive"/>
    <n v="73"/>
    <n v="170"/>
    <n v="120"/>
    <n v="40"/>
    <s v="Moderate"/>
    <n v="0"/>
    <n v="2.2099999999999998E-2"/>
    <n v="9.7000000000000003E-3"/>
    <d v="1899-12-30T05:45:00"/>
  </r>
  <r>
    <n v="466"/>
    <d v="2020-06-16T07:00:00"/>
    <d v="2020-06-16T00:00:00"/>
    <s v="07:00"/>
    <d v="2020-06-16T15:20:00"/>
    <d v="2020-06-16T00:00:00"/>
    <d v="1899-12-30T15:20:00"/>
    <n v="4"/>
    <x v="1"/>
    <x v="0"/>
    <x v="8"/>
    <n v="44"/>
    <n v="2.08"/>
    <n v="0.62"/>
    <s v="Unknown"/>
    <n v="71"/>
    <n v="172"/>
    <n v="57"/>
    <n v="65"/>
    <s v="Good"/>
    <n v="0"/>
    <n v="2.0799999999999999E-2"/>
    <n v="6.1999999999999998E-3"/>
    <d v="1899-12-30T08:20:00"/>
  </r>
  <r>
    <n v="467"/>
    <d v="2020-06-16T07:00:00"/>
    <d v="2020-06-16T00:00:00"/>
    <s v="07:00"/>
    <d v="2020-06-16T16:41:00"/>
    <d v="2020-06-16T00:00:00"/>
    <d v="1899-12-30T16:41:00"/>
    <n v="5"/>
    <x v="1"/>
    <x v="3"/>
    <x v="4"/>
    <n v="83"/>
    <n v="9.52"/>
    <n v="3.67"/>
    <s v="Alive"/>
    <n v="88"/>
    <n v="153"/>
    <n v="59"/>
    <n v="73"/>
    <s v="Good"/>
    <n v="0"/>
    <n v="9.5199999999999993E-2"/>
    <n v="3.6699999999999997E-2"/>
    <d v="1899-12-30T09:41:00"/>
  </r>
  <r>
    <n v="468"/>
    <d v="2020-06-15T07:00:00"/>
    <d v="2020-06-15T00:00:00"/>
    <s v="07:00"/>
    <d v="2020-06-17T08:05:00"/>
    <d v="2020-06-17T00:00:00"/>
    <d v="1899-12-30T08:05:00"/>
    <n v="4"/>
    <x v="1"/>
    <x v="0"/>
    <x v="16"/>
    <n v="69"/>
    <n v="3.98"/>
    <n v="0.9"/>
    <s v="Alive"/>
    <n v="74"/>
    <n v="162"/>
    <n v="62"/>
    <n v="57"/>
    <s v="Good"/>
    <n v="0"/>
    <n v="3.9800000000000002E-2"/>
    <n v="9.0000000000000011E-3"/>
    <d v="1900-01-01T01:05:00"/>
  </r>
  <r>
    <n v="469"/>
    <d v="2020-06-12T09:32:00"/>
    <d v="2020-06-12T00:00:00"/>
    <s v="09:32"/>
    <d v="2020-06-17T08:20:00"/>
    <d v="2020-06-17T00:00:00"/>
    <d v="1899-12-30T08:20:00"/>
    <n v="3"/>
    <x v="1"/>
    <x v="3"/>
    <x v="2"/>
    <n v="75"/>
    <n v="6.78"/>
    <n v="2.12"/>
    <s v="Alive"/>
    <n v="125"/>
    <n v="171"/>
    <n v="119"/>
    <n v="55"/>
    <s v="Good"/>
    <n v="0"/>
    <n v="6.7799999999999999E-2"/>
    <n v="2.12E-2"/>
    <d v="1900-01-03T22:48:00"/>
  </r>
  <r>
    <n v="470"/>
    <d v="2020-06-14T20:43:00"/>
    <d v="2020-06-14T00:00:00"/>
    <s v="20:43"/>
    <d v="2020-06-17T13:40:00"/>
    <d v="2020-06-17T00:00:00"/>
    <d v="1899-12-30T13:40:00"/>
    <n v="4"/>
    <x v="2"/>
    <x v="2"/>
    <x v="16"/>
    <n v="67"/>
    <n v="16.2"/>
    <n v="8.35"/>
    <s v="Alive"/>
    <n v="105"/>
    <n v="177"/>
    <n v="87"/>
    <n v="65"/>
    <s v="Good"/>
    <n v="0"/>
    <n v="0.16200000000000001"/>
    <n v="8.3499999999999991E-2"/>
    <d v="1900-01-01T16:57:00"/>
  </r>
  <r>
    <n v="471"/>
    <d v="2020-06-17T07:00:00"/>
    <d v="2020-06-17T00:00:00"/>
    <s v="07:00"/>
    <d v="2020-06-17T16:00:00"/>
    <d v="2020-06-17T00:00:00"/>
    <d v="1899-12-30T16:00:00"/>
    <n v="6"/>
    <x v="1"/>
    <x v="0"/>
    <x v="2"/>
    <n v="61"/>
    <n v="2.37"/>
    <n v="1.1200000000000001"/>
    <s v="Alive"/>
    <n v="107"/>
    <n v="174"/>
    <n v="75"/>
    <n v="60"/>
    <s v="Good"/>
    <n v="0"/>
    <n v="2.3700000000000002E-2"/>
    <n v="1.1200000000000002E-2"/>
    <d v="1899-12-30T09:00:00"/>
  </r>
  <r>
    <n v="472"/>
    <d v="2020-06-18T07:00:00"/>
    <d v="2020-06-18T00:00:00"/>
    <s v="07:00"/>
    <d v="2020-06-18T08:20:00"/>
    <d v="2020-06-18T00:00:00"/>
    <d v="1899-12-30T08:20:00"/>
    <n v="4"/>
    <x v="1"/>
    <x v="0"/>
    <x v="1"/>
    <n v="52"/>
    <n v="1.51"/>
    <n v="0.56000000000000005"/>
    <s v="Alive"/>
    <n v="112"/>
    <n v="175"/>
    <n v="70"/>
    <n v="51"/>
    <s v="Good"/>
    <n v="0"/>
    <n v="1.5100000000000001E-2"/>
    <n v="5.6000000000000008E-3"/>
    <d v="1899-12-30T01:20:00"/>
  </r>
  <r>
    <n v="473"/>
    <d v="2020-06-17T07:30:00"/>
    <d v="2020-06-17T00:00:00"/>
    <s v="07:30"/>
    <d v="2020-06-18T08:28:00"/>
    <d v="2020-06-18T00:00:00"/>
    <d v="1899-12-30T08:28:00"/>
    <n v="5"/>
    <x v="1"/>
    <x v="1"/>
    <x v="12"/>
    <n v="78"/>
    <n v="20.64"/>
    <n v="9.07"/>
    <s v="Alive"/>
    <n v="81"/>
    <n v="173"/>
    <n v="70"/>
    <n v="19"/>
    <s v="Very Poor"/>
    <n v="0"/>
    <n v="0.2064"/>
    <n v="9.0700000000000003E-2"/>
    <d v="1899-12-31T00:58:00"/>
  </r>
  <r>
    <n v="474"/>
    <d v="2020-06-18T07:00:00"/>
    <d v="2020-06-18T00:00:00"/>
    <s v="07:00"/>
    <d v="2020-06-18T13:33:00"/>
    <d v="2020-06-18T00:00:00"/>
    <d v="1899-12-30T13:33:00"/>
    <n v="4"/>
    <x v="1"/>
    <x v="2"/>
    <x v="1"/>
    <n v="58"/>
    <n v="1.33"/>
    <n v="2.0099999999999998"/>
    <s v="Alive"/>
    <n v="86"/>
    <n v="165"/>
    <n v="58"/>
    <n v="65"/>
    <s v="Good"/>
    <n v="0"/>
    <n v="1.3300000000000001E-2"/>
    <n v="2.0099999999999996E-2"/>
    <d v="1899-12-30T06:33:00"/>
  </r>
  <r>
    <n v="475"/>
    <d v="2020-06-18T07:00:00"/>
    <d v="2020-06-18T00:00:00"/>
    <s v="07:00"/>
    <d v="2020-06-18T13:38:00"/>
    <d v="2020-06-18T00:00:00"/>
    <d v="1899-12-30T13:38:00"/>
    <n v="3"/>
    <x v="1"/>
    <x v="0"/>
    <x v="12"/>
    <n v="88"/>
    <n v="12.81"/>
    <n v="4.46"/>
    <s v="Alive"/>
    <n v="116"/>
    <n v="173"/>
    <n v="85"/>
    <n v="66"/>
    <s v="Good"/>
    <n v="0"/>
    <n v="0.12809999999999999"/>
    <n v="4.4600000000000001E-2"/>
    <d v="1899-12-30T06:38:00"/>
  </r>
  <r>
    <n v="476"/>
    <d v="2020-06-19T07:00:00"/>
    <d v="2020-06-19T00:00:00"/>
    <s v="07:00"/>
    <d v="2020-06-19T08:20:00"/>
    <d v="2020-06-19T00:00:00"/>
    <d v="1899-12-30T08:20:00"/>
    <n v="4"/>
    <x v="1"/>
    <x v="4"/>
    <x v="1"/>
    <n v="52"/>
    <n v="6.35"/>
    <n v="1.19"/>
    <s v="Alive"/>
    <n v="97"/>
    <n v="169"/>
    <n v="101"/>
    <n v="58"/>
    <s v="Good"/>
    <n v="0"/>
    <n v="6.3500000000000001E-2"/>
    <n v="1.1899999999999999E-2"/>
    <d v="1899-12-30T01:20:00"/>
  </r>
  <r>
    <n v="477"/>
    <d v="2020-06-19T07:00:00"/>
    <d v="2020-06-19T00:00:00"/>
    <s v="07:00"/>
    <d v="2020-06-19T08:30:00"/>
    <d v="2020-06-19T00:00:00"/>
    <d v="1899-12-30T08:30:00"/>
    <n v="3"/>
    <x v="1"/>
    <x v="0"/>
    <x v="8"/>
    <n v="65"/>
    <n v="4.5999999999999996"/>
    <n v="1.0900000000000001"/>
    <s v="Alive"/>
    <n v="89"/>
    <n v="170"/>
    <n v="123"/>
    <n v="60"/>
    <s v="Good"/>
    <n v="0"/>
    <n v="4.5999999999999999E-2"/>
    <n v="1.09E-2"/>
    <d v="1899-12-30T01:30:00"/>
  </r>
  <r>
    <n v="478"/>
    <d v="2020-06-19T07:00:00"/>
    <d v="2020-06-19T00:00:00"/>
    <s v="07:00"/>
    <d v="2020-06-19T13:05:00"/>
    <d v="2020-06-19T00:00:00"/>
    <d v="1899-12-30T13:05:00"/>
    <n v="3"/>
    <x v="1"/>
    <x v="0"/>
    <x v="8"/>
    <n v="60"/>
    <n v="4.6500000000000004"/>
    <n v="1.77"/>
    <s v="Alive"/>
    <n v="81"/>
    <n v="173"/>
    <n v="85"/>
    <n v="39"/>
    <s v="Moderate"/>
    <n v="0"/>
    <n v="4.6500000000000007E-2"/>
    <n v="1.77E-2"/>
    <d v="1899-12-30T06:05:00"/>
  </r>
  <r>
    <n v="479"/>
    <d v="2020-06-19T07:00:00"/>
    <d v="2020-06-19T00:00:00"/>
    <s v="07:00"/>
    <d v="2020-06-19T15:06:00"/>
    <d v="2020-06-19T00:00:00"/>
    <d v="1899-12-30T15:06:00"/>
    <n v="4"/>
    <x v="1"/>
    <x v="0"/>
    <x v="1"/>
    <n v="40"/>
    <n v="1.51"/>
    <n v="0.5"/>
    <s v="Alive"/>
    <n v="97"/>
    <n v="175"/>
    <n v="76"/>
    <n v="50"/>
    <s v="Moderate"/>
    <n v="0"/>
    <n v="1.5100000000000001E-2"/>
    <n v="5.0000000000000001E-3"/>
    <d v="1899-12-30T08:06:00"/>
  </r>
  <r>
    <n v="480"/>
    <d v="2020-06-04T13:50:00"/>
    <d v="2020-06-04T00:00:00"/>
    <s v="13:50"/>
    <d v="2020-06-20T08:20:00"/>
    <d v="2020-06-20T00:00:00"/>
    <d v="1899-12-30T08:20:00"/>
    <n v="4"/>
    <x v="2"/>
    <x v="2"/>
    <x v="16"/>
    <n v="72"/>
    <n v="2.0699999999999998"/>
    <n v="0.97"/>
    <s v="Alive"/>
    <n v="71"/>
    <n v="160"/>
    <n v="60"/>
    <n v="60"/>
    <s v="Good"/>
    <n v="0"/>
    <n v="2.07E-2"/>
    <n v="9.7000000000000003E-3"/>
    <d v="1900-01-14T18:30:00"/>
  </r>
  <r>
    <n v="481"/>
    <d v="2020-06-20T07:00:00"/>
    <d v="2020-06-20T00:00:00"/>
    <s v="07:00"/>
    <d v="2020-06-20T14:50:00"/>
    <d v="2020-06-20T00:00:00"/>
    <d v="1899-12-30T14:50:00"/>
    <n v="4"/>
    <x v="1"/>
    <x v="0"/>
    <x v="16"/>
    <n v="69"/>
    <n v="2.89"/>
    <n v="0.65"/>
    <s v="Alive"/>
    <n v="78"/>
    <n v="173"/>
    <n v="76"/>
    <n v="45"/>
    <s v="Moderate"/>
    <n v="0"/>
    <n v="2.8900000000000002E-2"/>
    <n v="6.5000000000000006E-3"/>
    <d v="1899-12-30T07:50:00"/>
  </r>
  <r>
    <n v="482"/>
    <d v="2020-06-21T02:04:00"/>
    <d v="2020-06-21T00:00:00"/>
    <s v="02:04"/>
    <d v="2020-06-21T03:00:00"/>
    <d v="2020-06-21T00:00:00"/>
    <d v="1899-12-30T03:00:00"/>
    <n v="1"/>
    <x v="0"/>
    <x v="4"/>
    <x v="15"/>
    <n v="61"/>
    <n v="13.65"/>
    <n v="5.54"/>
    <s v="Alive"/>
    <n v="88"/>
    <n v="167"/>
    <n v="70"/>
    <n v="50"/>
    <s v="Moderate"/>
    <n v="0"/>
    <n v="0.13650000000000001"/>
    <n v="5.5399999999999998E-2"/>
    <d v="1899-12-30T00:56:00"/>
  </r>
  <r>
    <n v="483"/>
    <d v="2020-06-20T11:00:00"/>
    <d v="2020-06-20T00:00:00"/>
    <s v="11:00"/>
    <d v="2020-06-22T08:20:00"/>
    <d v="2020-06-22T00:00:00"/>
    <d v="1899-12-30T08:20:00"/>
    <n v="3"/>
    <x v="2"/>
    <x v="2"/>
    <x v="4"/>
    <n v="69"/>
    <n v="2.76"/>
    <n v="1.48"/>
    <s v="Alive"/>
    <n v="74"/>
    <n v="160"/>
    <n v="73"/>
    <n v="45"/>
    <s v="Moderate"/>
    <n v="0"/>
    <n v="2.76E-2"/>
    <n v="1.4800000000000001E-2"/>
    <d v="1899-12-31T21:20:00"/>
  </r>
  <r>
    <n v="484"/>
    <d v="2020-06-22T07:15:00"/>
    <d v="2020-06-22T00:00:00"/>
    <s v="07:15"/>
    <d v="2020-06-22T08:49:00"/>
    <d v="2020-06-22T00:00:00"/>
    <d v="1899-12-30T08:49:00"/>
    <n v="4"/>
    <x v="1"/>
    <x v="0"/>
    <x v="6"/>
    <n v="76"/>
    <n v="4.53"/>
    <n v="0.88"/>
    <s v="Alive"/>
    <n v="66"/>
    <n v="177"/>
    <n v="86"/>
    <n v="59"/>
    <s v="Good"/>
    <n v="0"/>
    <n v="4.53E-2"/>
    <n v="8.8000000000000005E-3"/>
    <d v="1899-12-30T01:34:00"/>
  </r>
  <r>
    <n v="485"/>
    <d v="2020-06-22T07:06:00"/>
    <d v="2020-06-22T00:00:00"/>
    <s v="07:06"/>
    <d v="2020-06-22T13:43:00"/>
    <d v="2020-06-22T00:00:00"/>
    <d v="1899-12-30T13:43:00"/>
    <n v="3"/>
    <x v="1"/>
    <x v="4"/>
    <x v="4"/>
    <n v="61"/>
    <n v="14.03"/>
    <n v="5.14"/>
    <s v="Alive"/>
    <n v="75"/>
    <n v="171"/>
    <n v="89"/>
    <n v="50"/>
    <s v="Moderate"/>
    <n v="0"/>
    <n v="0.14029999999999998"/>
    <n v="5.1399999999999994E-2"/>
    <d v="1899-12-30T06:37:00"/>
  </r>
  <r>
    <n v="486"/>
    <d v="2020-06-17T14:00:00"/>
    <d v="2020-06-17T00:00:00"/>
    <s v="14:00"/>
    <d v="2020-06-23T08:15:00"/>
    <d v="2020-06-23T00:00:00"/>
    <d v="1899-12-30T08:15:00"/>
    <n v="3"/>
    <x v="2"/>
    <x v="2"/>
    <x v="4"/>
    <n v="80"/>
    <n v="15.41"/>
    <n v="14.72"/>
    <s v="Alive"/>
    <n v="86"/>
    <n v="174"/>
    <n v="128"/>
    <n v="35"/>
    <s v="Moderate"/>
    <n v="0"/>
    <n v="0.15410000000000001"/>
    <n v="0.1472"/>
    <d v="1900-01-04T18:15:00"/>
  </r>
  <r>
    <n v="487"/>
    <d v="2020-06-22T20:00:00"/>
    <d v="2020-06-22T00:00:00"/>
    <s v="20:00"/>
    <d v="2020-06-23T08:30:00"/>
    <d v="2020-06-23T00:00:00"/>
    <d v="1899-12-30T08:30:00"/>
    <n v="5"/>
    <x v="1"/>
    <x v="0"/>
    <x v="2"/>
    <n v="68"/>
    <n v="5.56"/>
    <n v="4.74"/>
    <s v="Alive"/>
    <n v="88"/>
    <n v="164"/>
    <n v="73"/>
    <n v="50"/>
    <s v="Moderate"/>
    <n v="0"/>
    <n v="5.5599999999999997E-2"/>
    <n v="4.7400000000000005E-2"/>
    <d v="1899-12-30T12:30:00"/>
  </r>
  <r>
    <n v="488"/>
    <d v="2020-06-22T09:31:00"/>
    <d v="2020-06-22T00:00:00"/>
    <s v="09:31"/>
    <d v="2020-06-23T08:37:00"/>
    <d v="2020-06-23T00:00:00"/>
    <d v="1899-12-30T08:37:00"/>
    <n v="4"/>
    <x v="1"/>
    <x v="0"/>
    <x v="8"/>
    <n v="76"/>
    <n v="6.73"/>
    <n v="2.4700000000000002"/>
    <s v="Alive"/>
    <n v="93"/>
    <n v="166"/>
    <n v="84"/>
    <n v="28"/>
    <s v="Poor"/>
    <n v="0"/>
    <n v="6.7299999999999999E-2"/>
    <n v="2.4700000000000003E-2"/>
    <d v="1899-12-30T23:06:00"/>
  </r>
  <r>
    <n v="489"/>
    <d v="2020-06-23T07:05:00"/>
    <d v="2020-06-23T00:00:00"/>
    <s v="07:05"/>
    <d v="2020-06-23T13:12:00"/>
    <d v="2020-06-23T00:00:00"/>
    <d v="1899-12-30T13:12:00"/>
    <n v="3"/>
    <x v="1"/>
    <x v="0"/>
    <x v="4"/>
    <n v="85"/>
    <n v="7.96"/>
    <n v="1.36"/>
    <s v="Alive"/>
    <n v="78"/>
    <n v="188"/>
    <n v="93"/>
    <n v="60"/>
    <s v="Good"/>
    <n v="0"/>
    <n v="7.9600000000000004E-2"/>
    <n v="1.3600000000000001E-2"/>
    <d v="1899-12-30T06:07:00"/>
  </r>
  <r>
    <n v="490"/>
    <d v="2020-06-23T07:00:00"/>
    <d v="2020-06-23T00:00:00"/>
    <s v="07:00"/>
    <d v="2020-06-23T13:34:00"/>
    <d v="2020-06-23T00:00:00"/>
    <d v="1899-12-30T13:34:00"/>
    <n v="5"/>
    <x v="1"/>
    <x v="0"/>
    <x v="2"/>
    <n v="73"/>
    <n v="5.58"/>
    <n v="1.49"/>
    <s v="Alive"/>
    <n v="69"/>
    <n v="164"/>
    <n v="69"/>
    <n v="40"/>
    <s v="Moderate"/>
    <n v="0"/>
    <n v="5.5800000000000002E-2"/>
    <n v="1.49E-2"/>
    <d v="1899-12-30T06:34:00"/>
  </r>
  <r>
    <n v="491"/>
    <d v="2020-06-23T07:12:00"/>
    <d v="2020-06-23T00:00:00"/>
    <s v="07:12"/>
    <d v="2020-06-23T14:45:00"/>
    <d v="2020-06-23T00:00:00"/>
    <d v="1899-12-30T14:45:00"/>
    <n v="4"/>
    <x v="1"/>
    <x v="0"/>
    <x v="8"/>
    <n v="80"/>
    <n v="5.19"/>
    <n v="1.61"/>
    <s v="Alive"/>
    <n v="72"/>
    <n v="159"/>
    <n v="59"/>
    <n v="60"/>
    <s v="Good"/>
    <n v="0"/>
    <n v="5.1900000000000002E-2"/>
    <n v="1.61E-2"/>
    <d v="1899-12-30T07:33:00"/>
  </r>
  <r>
    <n v="492"/>
    <d v="2020-06-22T14:02:00"/>
    <d v="2020-06-22T00:00:00"/>
    <s v="14:02"/>
    <d v="2020-06-23T18:00:00"/>
    <d v="2020-06-23T00:00:00"/>
    <d v="1899-12-30T18:00:00"/>
    <n v="6"/>
    <x v="3"/>
    <x v="1"/>
    <x v="2"/>
    <n v="68"/>
    <n v="42.02"/>
    <n v="36.39"/>
    <s v="Alive"/>
    <n v="62"/>
    <n v="164"/>
    <n v="75"/>
    <n v="63"/>
    <s v="Good"/>
    <n v="0"/>
    <n v="0.42020000000000002"/>
    <n v="0.3639"/>
    <d v="1899-12-31T03:58:00"/>
  </r>
  <r>
    <n v="493"/>
    <d v="2020-06-24T06:30:00"/>
    <d v="2020-06-24T00:00:00"/>
    <s v="06:30"/>
    <d v="2020-06-24T10:15:00"/>
    <d v="2020-06-24T00:00:00"/>
    <d v="1899-12-30T10:15:00"/>
    <n v="6"/>
    <x v="1"/>
    <x v="0"/>
    <x v="11"/>
    <n v="54"/>
    <n v="2.27"/>
    <n v="1.59"/>
    <s v="Alive"/>
    <n v="107"/>
    <n v="161"/>
    <n v="101"/>
    <n v="35"/>
    <s v="Moderate"/>
    <n v="0"/>
    <n v="2.2700000000000001E-2"/>
    <n v="1.5900000000000001E-2"/>
    <d v="1899-12-30T03:45:00"/>
  </r>
  <r>
    <n v="494"/>
    <d v="2020-06-22T17:53:00"/>
    <d v="2020-06-22T00:00:00"/>
    <s v="17:53"/>
    <d v="2020-06-24T14:21:00"/>
    <d v="2020-06-24T00:00:00"/>
    <d v="1899-12-30T14:21:00"/>
    <n v="4"/>
    <x v="2"/>
    <x v="2"/>
    <x v="11"/>
    <n v="63"/>
    <n v="2.81"/>
    <n v="1.37"/>
    <s v="Alive"/>
    <n v="87"/>
    <n v="175"/>
    <n v="88"/>
    <n v="63"/>
    <s v="Good"/>
    <n v="0"/>
    <n v="2.81E-2"/>
    <n v="1.37E-2"/>
    <d v="1899-12-31T20:28:00"/>
  </r>
  <r>
    <n v="495"/>
    <d v="2020-06-25T07:00:00"/>
    <d v="2020-06-25T00:00:00"/>
    <s v="07:00"/>
    <d v="2020-06-25T12:15:00"/>
    <d v="2020-06-25T00:00:00"/>
    <d v="1899-12-30T12:15:00"/>
    <n v="5"/>
    <x v="1"/>
    <x v="3"/>
    <x v="3"/>
    <n v="78"/>
    <n v="5.14"/>
    <n v="1.92"/>
    <s v="Alive"/>
    <n v="93"/>
    <n v="141"/>
    <n v="90"/>
    <n v="38"/>
    <s v="Moderate"/>
    <n v="0"/>
    <n v="5.1399999999999994E-2"/>
    <n v="1.9199999999999998E-2"/>
    <d v="1899-12-30T05:15:00"/>
  </r>
  <r>
    <n v="496"/>
    <d v="2020-06-25T07:00:00"/>
    <d v="2020-06-25T00:00:00"/>
    <s v="07:00"/>
    <d v="2020-06-25T12:17:00"/>
    <d v="2020-06-25T00:00:00"/>
    <d v="1899-12-30T12:17:00"/>
    <n v="4"/>
    <x v="1"/>
    <x v="2"/>
    <x v="7"/>
    <n v="67"/>
    <n v="2.84"/>
    <n v="1.04"/>
    <s v="Alive"/>
    <n v="88"/>
    <n v="185"/>
    <n v="92"/>
    <n v="65"/>
    <s v="Good"/>
    <n v="0"/>
    <n v="2.8399999999999998E-2"/>
    <n v="1.04E-2"/>
    <d v="1899-12-30T05:17:00"/>
  </r>
  <r>
    <n v="497"/>
    <d v="2020-06-19T10:53:00"/>
    <d v="2020-06-19T00:00:00"/>
    <s v="10:53"/>
    <d v="2020-06-25T12:53:00"/>
    <d v="2020-06-25T00:00:00"/>
    <d v="1899-12-30T12:53:00"/>
    <n v="3"/>
    <x v="2"/>
    <x v="3"/>
    <x v="11"/>
    <n v="62"/>
    <n v="18.88"/>
    <n v="14.1"/>
    <s v="Alive"/>
    <n v="80"/>
    <n v="180"/>
    <n v="116"/>
    <n v="55"/>
    <s v="Good"/>
    <n v="0"/>
    <n v="0.1888"/>
    <n v="0.14099999999999999"/>
    <d v="1900-01-05T02:00:00"/>
  </r>
  <r>
    <n v="498"/>
    <d v="2020-06-19T19:05:00"/>
    <d v="2020-06-19T00:00:00"/>
    <s v="19:05"/>
    <d v="2020-06-26T08:15:00"/>
    <d v="2020-06-26T00:00:00"/>
    <d v="1899-12-30T08:15:00"/>
    <n v="4"/>
    <x v="2"/>
    <x v="2"/>
    <x v="15"/>
    <n v="56"/>
    <n v="3.63"/>
    <n v="1.66"/>
    <s v="Alive"/>
    <n v="150"/>
    <n v="165"/>
    <n v="93"/>
    <n v="64"/>
    <s v="Good"/>
    <n v="0"/>
    <n v="3.6299999999999999E-2"/>
    <n v="1.66E-2"/>
    <d v="1900-01-05T13:10:00"/>
  </r>
  <r>
    <n v="499"/>
    <d v="2020-06-25T14:00:00"/>
    <d v="2020-06-25T00:00:00"/>
    <s v="14:00"/>
    <d v="2020-06-26T08:45:00"/>
    <d v="2020-06-26T00:00:00"/>
    <d v="1899-12-30T08:45:00"/>
    <n v="3"/>
    <x v="1"/>
    <x v="3"/>
    <x v="16"/>
    <n v="81"/>
    <n v="9.15"/>
    <n v="3.17"/>
    <s v="Alive"/>
    <n v="72"/>
    <n v="169"/>
    <n v="70"/>
    <n v="50"/>
    <s v="Moderate"/>
    <n v="0"/>
    <n v="9.1499999999999998E-2"/>
    <n v="3.1699999999999999E-2"/>
    <d v="1899-12-30T18:45:00"/>
  </r>
  <r>
    <n v="500"/>
    <d v="2020-06-26T07:00:00"/>
    <d v="2020-06-26T00:00:00"/>
    <s v="07:00"/>
    <d v="2020-06-26T13:47:00"/>
    <d v="2020-06-26T00:00:00"/>
    <d v="1899-12-30T13:47:00"/>
    <n v="4"/>
    <x v="1"/>
    <x v="0"/>
    <x v="15"/>
    <n v="56"/>
    <n v="2.08"/>
    <n v="0.84"/>
    <s v="Alive"/>
    <n v="79"/>
    <n v="170"/>
    <n v="75"/>
    <n v="55"/>
    <s v="Good"/>
    <n v="0"/>
    <n v="2.0799999999999999E-2"/>
    <n v="8.3999999999999995E-3"/>
    <d v="1899-12-30T06:47:00"/>
  </r>
  <r>
    <n v="501"/>
    <d v="2020-06-25T07:00:00"/>
    <d v="2020-06-25T00:00:00"/>
    <s v="07:00"/>
    <d v="2020-06-26T15:10:00"/>
    <d v="2020-06-26T00:00:00"/>
    <d v="1899-12-30T15:10:00"/>
    <n v="3"/>
    <x v="1"/>
    <x v="0"/>
    <x v="7"/>
    <n v="82"/>
    <n v="6.61"/>
    <n v="0.94"/>
    <s v="Alive"/>
    <n v="134"/>
    <n v="186"/>
    <n v="145"/>
    <n v="62"/>
    <s v="Good"/>
    <n v="0"/>
    <n v="6.6100000000000006E-2"/>
    <n v="9.3999999999999986E-3"/>
    <d v="1899-12-31T08:10:00"/>
  </r>
  <r>
    <n v="502"/>
    <d v="2020-06-26T15:45:00"/>
    <d v="2020-06-26T00:00:00"/>
    <s v="15:45"/>
    <d v="2020-06-27T08:00:00"/>
    <d v="2020-06-27T00:00:00"/>
    <d v="1899-12-30T08:00:00"/>
    <n v="4"/>
    <x v="1"/>
    <x v="3"/>
    <x v="15"/>
    <n v="80"/>
    <n v="10.66"/>
    <n v="7.23"/>
    <s v="Alive"/>
    <n v="97"/>
    <n v="175"/>
    <n v="75"/>
    <n v="56"/>
    <s v="Good"/>
    <n v="0"/>
    <n v="0.1066"/>
    <n v="7.2300000000000003E-2"/>
    <d v="1899-12-30T16:15:00"/>
  </r>
  <r>
    <n v="503"/>
    <d v="2020-06-24T10:51:00"/>
    <d v="2020-06-24T00:00:00"/>
    <s v="10:51"/>
    <d v="2020-06-27T08:12:00"/>
    <d v="2020-06-27T00:00:00"/>
    <d v="1899-12-30T08:12:00"/>
    <n v="5"/>
    <x v="2"/>
    <x v="0"/>
    <x v="12"/>
    <n v="78"/>
    <n v="5.14"/>
    <n v="5.25"/>
    <s v="Alive"/>
    <n v="95"/>
    <n v="175"/>
    <n v="103"/>
    <n v="45"/>
    <s v="Moderate"/>
    <n v="0"/>
    <n v="5.1399999999999994E-2"/>
    <n v="5.2499999999999998E-2"/>
    <d v="1900-01-01T21:21:00"/>
  </r>
  <r>
    <n v="504"/>
    <d v="2020-06-27T07:00:00"/>
    <d v="2020-06-27T00:00:00"/>
    <s v="07:00"/>
    <d v="2020-06-27T11:48:00"/>
    <d v="2020-06-27T00:00:00"/>
    <d v="1899-12-30T11:48:00"/>
    <n v="5"/>
    <x v="1"/>
    <x v="0"/>
    <x v="12"/>
    <n v="82"/>
    <n v="6.61"/>
    <n v="2.69"/>
    <s v="Alive"/>
    <n v="73"/>
    <n v="175"/>
    <n v="69"/>
    <n v="66"/>
    <s v="Good"/>
    <n v="0"/>
    <n v="6.6100000000000006E-2"/>
    <n v="2.69E-2"/>
    <d v="1899-12-30T04:48:00"/>
  </r>
  <r>
    <n v="505"/>
    <d v="2020-06-27T07:00:00"/>
    <d v="2020-06-27T00:00:00"/>
    <s v="07:00"/>
    <d v="2020-06-27T15:12:00"/>
    <d v="2020-06-27T00:00:00"/>
    <d v="1899-12-30T15:12:00"/>
    <n v="3"/>
    <x v="1"/>
    <x v="0"/>
    <x v="15"/>
    <n v="68"/>
    <n v="5.97"/>
    <n v="1.64"/>
    <s v="Alive"/>
    <n v="70"/>
    <n v="176"/>
    <n v="130"/>
    <n v="66"/>
    <s v="Good"/>
    <n v="0"/>
    <n v="5.9699999999999996E-2"/>
    <n v="1.6399999999999998E-2"/>
    <d v="1899-12-30T08:12:00"/>
  </r>
  <r>
    <n v="506"/>
    <d v="2020-06-26T10:00:00"/>
    <d v="2020-06-26T00:00:00"/>
    <s v="10:00"/>
    <d v="2020-06-29T08:25:00"/>
    <d v="2020-06-29T00:00:00"/>
    <d v="1899-12-30T08:25:00"/>
    <n v="3"/>
    <x v="2"/>
    <x v="2"/>
    <x v="6"/>
    <n v="52"/>
    <n v="4.3"/>
    <n v="1.86"/>
    <s v="Alive"/>
    <n v="87"/>
    <n v="163"/>
    <n v="50"/>
    <n v="44"/>
    <s v="Moderate"/>
    <n v="0"/>
    <n v="4.2999999999999997E-2"/>
    <n v="1.8600000000000002E-2"/>
    <d v="1900-01-01T22:25:00"/>
  </r>
  <r>
    <n v="507"/>
    <d v="2020-06-28T15:50:00"/>
    <d v="2020-06-28T00:00:00"/>
    <s v="15:50"/>
    <d v="2020-06-29T08:30:00"/>
    <d v="2020-06-29T00:00:00"/>
    <d v="1899-12-30T08:30:00"/>
    <n v="4"/>
    <x v="1"/>
    <x v="3"/>
    <x v="1"/>
    <n v="54"/>
    <n v="2.27"/>
    <n v="1.58"/>
    <s v="Alive"/>
    <n v="62"/>
    <n v="178"/>
    <n v="66"/>
    <n v="50"/>
    <s v="Moderate"/>
    <n v="0"/>
    <n v="2.2700000000000001E-2"/>
    <n v="1.5800000000000002E-2"/>
    <d v="1899-12-30T16:40:00"/>
  </r>
  <r>
    <n v="508"/>
    <d v="2020-06-29T07:00:00"/>
    <d v="2020-06-29T00:00:00"/>
    <s v="07:00"/>
    <d v="2020-06-29T08:40:00"/>
    <d v="2020-06-29T00:00:00"/>
    <d v="1899-12-30T08:40:00"/>
    <n v="5"/>
    <x v="1"/>
    <x v="4"/>
    <x v="3"/>
    <n v="55"/>
    <n v="4.6500000000000004"/>
    <n v="0.96"/>
    <s v="Alive"/>
    <n v="94"/>
    <n v="190"/>
    <n v="90"/>
    <n v="20"/>
    <s v="Very Poor"/>
    <n v="0"/>
    <n v="4.6500000000000007E-2"/>
    <n v="9.5999999999999992E-3"/>
    <d v="1899-12-30T01:40:00"/>
  </r>
  <r>
    <n v="509"/>
    <d v="2020-06-29T06:30:00"/>
    <d v="2020-06-29T00:00:00"/>
    <s v="06:30"/>
    <d v="2020-06-29T15:00:00"/>
    <d v="2020-06-29T00:00:00"/>
    <d v="1899-12-30T15:00:00"/>
    <n v="4"/>
    <x v="1"/>
    <x v="2"/>
    <x v="1"/>
    <n v="59"/>
    <n v="1.33"/>
    <n v="0.69"/>
    <s v="Alive"/>
    <n v="66"/>
    <n v="170"/>
    <n v="77"/>
    <n v="60"/>
    <s v="Good"/>
    <n v="0"/>
    <n v="1.3300000000000001E-2"/>
    <n v="6.8999999999999999E-3"/>
    <d v="1899-12-30T08:30:00"/>
  </r>
  <r>
    <n v="510"/>
    <d v="2020-06-29T07:00:00"/>
    <d v="2020-06-29T00:00:00"/>
    <s v="07:00"/>
    <d v="2020-06-29T15:40:00"/>
    <d v="2020-06-29T00:00:00"/>
    <d v="1899-12-30T15:40:00"/>
    <n v="5"/>
    <x v="1"/>
    <x v="2"/>
    <x v="3"/>
    <n v="56"/>
    <n v="3.26"/>
    <n v="1.89"/>
    <s v="Alive"/>
    <n v="68"/>
    <n v="167"/>
    <n v="66"/>
    <n v="50"/>
    <s v="Moderate"/>
    <n v="0"/>
    <n v="3.2599999999999997E-2"/>
    <n v="1.89E-2"/>
    <d v="1899-12-30T08:40:00"/>
  </r>
  <r>
    <n v="511"/>
    <d v="2020-06-29T14:11:00"/>
    <d v="2020-06-29T00:00:00"/>
    <s v="14:11"/>
    <d v="2020-06-30T08:20:00"/>
    <d v="2020-06-30T00:00:00"/>
    <d v="1899-12-30T08:20:00"/>
    <n v="3"/>
    <x v="1"/>
    <x v="0"/>
    <x v="2"/>
    <n v="79"/>
    <n v="10.92"/>
    <n v="1.46"/>
    <s v="Alive"/>
    <n v="126"/>
    <n v="181"/>
    <n v="72"/>
    <n v="56"/>
    <s v="Good"/>
    <n v="0"/>
    <n v="0.10920000000000001"/>
    <n v="1.46E-2"/>
    <d v="1899-12-30T18:09:00"/>
  </r>
  <r>
    <n v="512"/>
    <d v="2020-06-29T16:00:00"/>
    <d v="2020-06-29T00:00:00"/>
    <s v="16:00"/>
    <d v="2020-06-30T08:20:00"/>
    <d v="2020-06-30T00:00:00"/>
    <d v="1899-12-30T08:20:00"/>
    <n v="4"/>
    <x v="1"/>
    <x v="0"/>
    <x v="8"/>
    <n v="66"/>
    <n v="3.28"/>
    <n v="0.74"/>
    <s v="Alive"/>
    <n v="116"/>
    <n v="167"/>
    <n v="68"/>
    <n v="38"/>
    <s v="Moderate"/>
    <n v="0"/>
    <n v="3.2799999999999996E-2"/>
    <n v="7.4000000000000003E-3"/>
    <d v="1899-12-30T16:20:00"/>
  </r>
  <r>
    <n v="513"/>
    <d v="2020-06-27T14:30:00"/>
    <d v="2020-06-27T00:00:00"/>
    <s v="14:30"/>
    <d v="2020-06-30T08:27:00"/>
    <d v="2020-06-30T00:00:00"/>
    <d v="1899-12-30T08:27:00"/>
    <n v="5"/>
    <x v="2"/>
    <x v="2"/>
    <x v="15"/>
    <n v="65"/>
    <n v="9.08"/>
    <n v="2.98"/>
    <s v="Alive"/>
    <n v="68"/>
    <n v="178"/>
    <n v="82"/>
    <n v="50"/>
    <s v="Moderate"/>
    <n v="0"/>
    <n v="9.0800000000000006E-2"/>
    <n v="2.98E-2"/>
    <d v="1900-01-01T17:57:00"/>
  </r>
  <r>
    <n v="514"/>
    <d v="2020-06-30T07:00:00"/>
    <d v="2020-06-30T00:00:00"/>
    <s v="07:00"/>
    <d v="2020-06-30T09:53:00"/>
    <d v="2020-06-30T00:00:00"/>
    <d v="1899-12-30T09:53:00"/>
    <n v="3"/>
    <x v="1"/>
    <x v="0"/>
    <x v="2"/>
    <n v="67"/>
    <n v="3.5"/>
    <n v="1.32"/>
    <s v="Alive"/>
    <n v="74"/>
    <n v="156"/>
    <n v="81"/>
    <n v="65"/>
    <s v="Good"/>
    <n v="0"/>
    <n v="3.5000000000000003E-2"/>
    <n v="1.32E-2"/>
    <d v="1899-12-30T02:53:00"/>
  </r>
  <r>
    <n v="515"/>
    <d v="2020-06-30T06:00:00"/>
    <d v="2020-06-30T00:00:00"/>
    <s v="06:00"/>
    <d v="2020-06-30T13:23:00"/>
    <d v="2020-06-30T00:00:00"/>
    <d v="1899-12-30T13:23:00"/>
    <n v="4"/>
    <x v="1"/>
    <x v="0"/>
    <x v="8"/>
    <n v="76"/>
    <n v="4.53"/>
    <n v="0.79"/>
    <s v="Alive"/>
    <n v="78"/>
    <n v="156"/>
    <n v="66"/>
    <n v="52"/>
    <s v="Good"/>
    <n v="0"/>
    <n v="4.53E-2"/>
    <n v="7.9000000000000008E-3"/>
    <d v="1899-12-30T07:23:00"/>
  </r>
  <r>
    <n v="516"/>
    <d v="2020-06-30T07:00:00"/>
    <d v="2020-06-30T00:00:00"/>
    <s v="07:00"/>
    <d v="2020-06-30T15:09:00"/>
    <d v="2020-06-30T00:00:00"/>
    <d v="1899-12-30T15:09:00"/>
    <n v="5"/>
    <x v="1"/>
    <x v="0"/>
    <x v="15"/>
    <n v="64"/>
    <n v="2.09"/>
    <n v="1.96"/>
    <s v="Alive"/>
    <n v="112"/>
    <n v="177"/>
    <n v="63"/>
    <n v="49"/>
    <s v="Moderate"/>
    <n v="0"/>
    <n v="2.0899999999999998E-2"/>
    <n v="1.9599999999999999E-2"/>
    <d v="1899-12-30T08:09:00"/>
  </r>
  <r>
    <n v="517"/>
    <d v="2020-06-29T11:00:00"/>
    <d v="2020-06-29T00:00:00"/>
    <s v="11:00"/>
    <d v="2020-07-01T08:05:00"/>
    <d v="2020-07-01T00:00:00"/>
    <d v="1899-12-30T08:05:00"/>
    <n v="4"/>
    <x v="2"/>
    <x v="2"/>
    <x v="16"/>
    <n v="59"/>
    <n v="2.2799999999999998"/>
    <n v="1.0900000000000001"/>
    <s v="Alive"/>
    <n v="85"/>
    <n v="180"/>
    <n v="106"/>
    <n v="20"/>
    <s v="Very Poor"/>
    <n v="0"/>
    <n v="2.2799999999999997E-2"/>
    <n v="1.09E-2"/>
    <d v="1899-12-31T21:05:00"/>
  </r>
  <r>
    <n v="518"/>
    <d v="2020-06-29T07:00:00"/>
    <d v="2020-06-29T00:00:00"/>
    <s v="07:00"/>
    <d v="2020-07-01T08:15:00"/>
    <d v="2020-07-01T00:00:00"/>
    <d v="1899-12-30T08:15:00"/>
    <n v="3"/>
    <x v="1"/>
    <x v="2"/>
    <x v="6"/>
    <n v="74"/>
    <n v="5.22"/>
    <n v="2.02"/>
    <s v="Alive"/>
    <n v="103"/>
    <n v="180"/>
    <n v="96"/>
    <n v="60"/>
    <s v="Good"/>
    <n v="0"/>
    <n v="5.2199999999999996E-2"/>
    <n v="2.0199999999999999E-2"/>
    <d v="1900-01-01T01:15:00"/>
  </r>
  <r>
    <n v="519"/>
    <d v="2020-06-30T13:00:00"/>
    <d v="2020-06-30T00:00:00"/>
    <s v="13:00"/>
    <d v="2020-07-01T13:06:00"/>
    <d v="2020-07-01T00:00:00"/>
    <d v="1899-12-30T13:06:00"/>
    <n v="3"/>
    <x v="1"/>
    <x v="3"/>
    <x v="2"/>
    <n v="79"/>
    <n v="5.48"/>
    <n v="2.65"/>
    <s v="Alive"/>
    <n v="95"/>
    <n v="154"/>
    <n v="64"/>
    <n v="55"/>
    <s v="Good"/>
    <n v="0"/>
    <n v="5.4800000000000001E-2"/>
    <n v="2.6499999999999999E-2"/>
    <d v="1899-12-31T00:06:00"/>
  </r>
  <r>
    <n v="520"/>
    <d v="2020-07-01T07:19:00"/>
    <d v="2020-07-01T00:00:00"/>
    <s v="07:19"/>
    <d v="2020-07-01T15:00:00"/>
    <d v="2020-07-01T00:00:00"/>
    <d v="1899-12-30T15:00:00"/>
    <n v="4"/>
    <x v="1"/>
    <x v="0"/>
    <x v="16"/>
    <n v="70"/>
    <n v="4.6100000000000003"/>
    <n v="1.94"/>
    <s v="Alive"/>
    <n v="110"/>
    <n v="175"/>
    <n v="70"/>
    <n v="42"/>
    <s v="Moderate"/>
    <n v="0"/>
    <n v="4.6100000000000002E-2"/>
    <n v="1.9400000000000001E-2"/>
    <d v="1899-12-30T07:41:00"/>
  </r>
  <r>
    <n v="521"/>
    <d v="2020-07-01T11:19:00"/>
    <d v="2020-07-01T00:00:00"/>
    <s v="11:19"/>
    <d v="2020-07-02T08:12:00"/>
    <d v="2020-07-02T00:00:00"/>
    <d v="1899-12-30T08:12:00"/>
    <n v="5"/>
    <x v="1"/>
    <x v="2"/>
    <x v="12"/>
    <n v="78"/>
    <n v="3.06"/>
    <n v="0.93"/>
    <s v="Alive"/>
    <n v="73"/>
    <n v="140"/>
    <n v="61"/>
    <n v="60"/>
    <s v="Good"/>
    <n v="0"/>
    <n v="3.0600000000000002E-2"/>
    <n v="9.300000000000001E-3"/>
    <d v="1899-12-30T20:53:00"/>
  </r>
  <r>
    <n v="522"/>
    <d v="2020-06-26T11:59:00"/>
    <d v="2020-06-26T00:00:00"/>
    <s v="11:59"/>
    <d v="2020-07-02T08:20:00"/>
    <d v="2020-07-02T00:00:00"/>
    <d v="1899-12-30T08:20:00"/>
    <n v="4"/>
    <x v="2"/>
    <x v="2"/>
    <x v="1"/>
    <n v="74"/>
    <n v="12.62"/>
    <n v="3.58"/>
    <s v="Alive"/>
    <n v="143"/>
    <n v="170"/>
    <n v="73"/>
    <n v="60"/>
    <s v="Good"/>
    <n v="0"/>
    <n v="0.12619999999999998"/>
    <n v="3.5799999999999998E-2"/>
    <d v="1900-01-04T20:21:00"/>
  </r>
  <r>
    <n v="523"/>
    <d v="2020-07-02T07:00:00"/>
    <d v="2020-07-02T00:00:00"/>
    <s v="07:00"/>
    <d v="2020-07-02T08:35:00"/>
    <d v="2020-07-02T00:00:00"/>
    <d v="1899-12-30T08:35:00"/>
    <n v="3"/>
    <x v="1"/>
    <x v="0"/>
    <x v="6"/>
    <n v="77"/>
    <n v="7.16"/>
    <n v="3.18"/>
    <s v="Alive"/>
    <n v="76"/>
    <n v="178"/>
    <n v="97"/>
    <n v="60"/>
    <s v="Good"/>
    <n v="0"/>
    <n v="7.1599999999999997E-2"/>
    <n v="3.1800000000000002E-2"/>
    <d v="1899-12-30T01:35:00"/>
  </r>
  <r>
    <n v="524"/>
    <d v="2020-07-02T07:00:00"/>
    <d v="2020-07-02T00:00:00"/>
    <s v="07:00"/>
    <d v="2020-07-02T13:20:00"/>
    <d v="2020-07-02T00:00:00"/>
    <d v="1899-12-30T13:20:00"/>
    <n v="3"/>
    <x v="1"/>
    <x v="3"/>
    <x v="6"/>
    <n v="64"/>
    <n v="2.09"/>
    <n v="1.29"/>
    <s v="Alive"/>
    <n v="72"/>
    <n v="180"/>
    <n v="67"/>
    <n v="44"/>
    <s v="Moderate"/>
    <n v="0"/>
    <n v="2.0899999999999998E-2"/>
    <n v="1.29E-2"/>
    <d v="1899-12-30T06:20:00"/>
  </r>
  <r>
    <n v="525"/>
    <d v="2020-07-02T07:00:00"/>
    <d v="2020-07-02T00:00:00"/>
    <s v="07:00"/>
    <d v="2020-07-02T14:00:00"/>
    <d v="2020-07-02T00:00:00"/>
    <d v="1899-12-30T14:00:00"/>
    <n v="4"/>
    <x v="1"/>
    <x v="2"/>
    <x v="1"/>
    <n v="64"/>
    <n v="1.85"/>
    <n v="0.85"/>
    <s v="Alive"/>
    <n v="66"/>
    <n v="187"/>
    <n v="157"/>
    <n v="65"/>
    <s v="Good"/>
    <n v="0"/>
    <n v="1.8500000000000003E-2"/>
    <n v="8.5000000000000006E-3"/>
    <d v="1899-12-30T07:00:00"/>
  </r>
  <r>
    <n v="526"/>
    <d v="2020-07-03T07:21:00"/>
    <d v="2020-07-03T00:00:00"/>
    <s v="07:21"/>
    <d v="2020-07-03T08:11:00"/>
    <d v="2020-07-03T00:00:00"/>
    <d v="1899-12-30T08:11:00"/>
    <n v="4"/>
    <x v="1"/>
    <x v="0"/>
    <x v="7"/>
    <n v="65"/>
    <n v="2.23"/>
    <n v="0.57999999999999996"/>
    <s v="Alive"/>
    <n v="66"/>
    <n v="169"/>
    <n v="63"/>
    <n v="56"/>
    <s v="Good"/>
    <n v="0"/>
    <n v="2.23E-2"/>
    <n v="5.7999999999999996E-3"/>
    <d v="1899-12-30T00:50:00"/>
  </r>
  <r>
    <n v="527"/>
    <d v="2020-06-23T11:00:00"/>
    <d v="2020-06-23T00:00:00"/>
    <s v="11:00"/>
    <d v="2020-07-03T08:30:00"/>
    <d v="2020-07-03T00:00:00"/>
    <d v="1899-12-30T08:30:00"/>
    <n v="3"/>
    <x v="2"/>
    <x v="4"/>
    <x v="11"/>
    <n v="73"/>
    <n v="34"/>
    <n v="11.19"/>
    <s v="Alive"/>
    <n v="83"/>
    <n v="161"/>
    <n v="72"/>
    <n v="55"/>
    <s v="Good"/>
    <n v="0"/>
    <n v="0.34"/>
    <n v="0.1119"/>
    <d v="1900-01-08T21:30:00"/>
  </r>
  <r>
    <n v="528"/>
    <d v="2020-07-03T07:22:00"/>
    <d v="2020-07-03T00:00:00"/>
    <s v="07:22"/>
    <d v="2020-07-03T13:29:00"/>
    <d v="2020-07-03T00:00:00"/>
    <d v="1899-12-30T13:29:00"/>
    <n v="4"/>
    <x v="1"/>
    <x v="0"/>
    <x v="7"/>
    <n v="82"/>
    <n v="8.9700000000000006"/>
    <n v="1.1599999999999999"/>
    <s v="Alive"/>
    <n v="63"/>
    <n v="173"/>
    <n v="130"/>
    <n v="50"/>
    <s v="Moderate"/>
    <n v="0"/>
    <n v="8.9700000000000002E-2"/>
    <n v="1.1599999999999999E-2"/>
    <d v="1899-12-30T06:07:00"/>
  </r>
  <r>
    <n v="529"/>
    <d v="2020-07-03T07:20:00"/>
    <d v="2020-07-03T00:00:00"/>
    <s v="07:20"/>
    <d v="2020-07-03T14:45:00"/>
    <d v="2020-07-03T00:00:00"/>
    <d v="1899-12-30T14:45:00"/>
    <n v="3"/>
    <x v="1"/>
    <x v="0"/>
    <x v="11"/>
    <n v="66"/>
    <n v="3.28"/>
    <n v="1.17"/>
    <s v="Died"/>
    <n v="138"/>
    <n v="183"/>
    <n v="87"/>
    <n v="26"/>
    <s v="Poor"/>
    <n v="1"/>
    <n v="3.2799999999999996E-2"/>
    <n v="1.1699999999999999E-2"/>
    <d v="1899-12-30T07:25:00"/>
  </r>
  <r>
    <n v="530"/>
    <d v="2020-07-03T15:58:00"/>
    <d v="2020-07-03T00:00:00"/>
    <s v="15:58"/>
    <d v="2020-07-04T08:05:00"/>
    <d v="2020-07-04T00:00:00"/>
    <d v="1899-12-30T08:05:00"/>
    <n v="4"/>
    <x v="1"/>
    <x v="3"/>
    <x v="15"/>
    <n v="74"/>
    <n v="7.41"/>
    <n v="12.25"/>
    <s v="Alive"/>
    <n v="83"/>
    <n v="165"/>
    <n v="60"/>
    <n v="55"/>
    <s v="Good"/>
    <n v="0"/>
    <n v="7.4099999999999999E-2"/>
    <n v="0.1225"/>
    <d v="1899-12-30T16:07:00"/>
  </r>
  <r>
    <n v="531"/>
    <d v="2020-07-04T15:28:00"/>
    <d v="2020-07-04T00:00:00"/>
    <s v="15:28"/>
    <d v="2020-07-05T10:36:00"/>
    <d v="2020-07-05T00:00:00"/>
    <d v="1899-12-30T10:36:00"/>
    <n v="5"/>
    <x v="0"/>
    <x v="4"/>
    <x v="1"/>
    <n v="54"/>
    <n v="66.7"/>
    <n v="50.46"/>
    <s v="Alive"/>
    <n v="119"/>
    <n v="150"/>
    <n v="70"/>
    <n v="27"/>
    <s v="Poor"/>
    <n v="0"/>
    <n v="0.66700000000000004"/>
    <n v="0.50460000000000005"/>
    <d v="1899-12-30T19:08:00"/>
  </r>
  <r>
    <n v="532"/>
    <d v="2020-07-02T07:00:00"/>
    <d v="2020-07-02T00:00:00"/>
    <s v="07:00"/>
    <d v="2020-07-06T08:10:00"/>
    <d v="2020-07-06T00:00:00"/>
    <d v="1899-12-30T08:10:00"/>
    <n v="3"/>
    <x v="1"/>
    <x v="0"/>
    <x v="12"/>
    <n v="70"/>
    <n v="7.86"/>
    <n v="2.11"/>
    <s v="Alive"/>
    <n v="94"/>
    <n v="168"/>
    <n v="78"/>
    <n v="55"/>
    <s v="Good"/>
    <n v="0"/>
    <n v="7.8600000000000003E-2"/>
    <n v="2.1099999999999997E-2"/>
    <d v="1900-01-03T01:10:00"/>
  </r>
  <r>
    <n v="533"/>
    <d v="2020-07-05T15:40:00"/>
    <d v="2020-07-05T00:00:00"/>
    <s v="15:40"/>
    <d v="2020-07-06T08:24:00"/>
    <d v="2020-07-06T00:00:00"/>
    <d v="1899-12-30T08:24:00"/>
    <n v="4"/>
    <x v="1"/>
    <x v="4"/>
    <x v="1"/>
    <n v="69"/>
    <n v="43.59"/>
    <n v="8.74"/>
    <s v="Alive"/>
    <n v="119"/>
    <n v="175"/>
    <n v="90"/>
    <n v="43"/>
    <s v="Moderate"/>
    <n v="0"/>
    <n v="0.43590000000000001"/>
    <n v="8.7400000000000005E-2"/>
    <d v="1899-12-30T16:44:00"/>
  </r>
  <r>
    <n v="534"/>
    <d v="2020-07-03T11:00:00"/>
    <d v="2020-07-03T00:00:00"/>
    <s v="11:00"/>
    <d v="2020-07-06T08:26:00"/>
    <d v="2020-07-06T00:00:00"/>
    <d v="1899-12-30T08:26:00"/>
    <n v="6"/>
    <x v="2"/>
    <x v="0"/>
    <x v="4"/>
    <n v="32"/>
    <n v="6.75"/>
    <n v="7.64"/>
    <s v="Alive"/>
    <n v="93"/>
    <n v="187"/>
    <n v="100"/>
    <n v="66"/>
    <s v="Good"/>
    <n v="0"/>
    <n v="6.7500000000000004E-2"/>
    <n v="7.6399999999999996E-2"/>
    <d v="1900-01-01T21:26:00"/>
  </r>
  <r>
    <n v="535"/>
    <d v="2020-07-06T07:00:00"/>
    <d v="2020-07-06T00:00:00"/>
    <s v="07:00"/>
    <d v="2020-07-06T12:05:00"/>
    <d v="2020-07-06T00:00:00"/>
    <d v="1899-12-30T12:05:00"/>
    <n v="3"/>
    <x v="1"/>
    <x v="3"/>
    <x v="12"/>
    <n v="84"/>
    <n v="20.329999999999998"/>
    <n v="5.0999999999999996"/>
    <s v="Alive"/>
    <n v="168"/>
    <n v="177"/>
    <n v="86"/>
    <n v="40"/>
    <s v="Moderate"/>
    <n v="0"/>
    <n v="0.20329999999999998"/>
    <n v="5.0999999999999997E-2"/>
    <d v="1899-12-30T05:05:00"/>
  </r>
  <r>
    <n v="536"/>
    <d v="2020-07-06T07:00:00"/>
    <d v="2020-07-06T00:00:00"/>
    <s v="07:00"/>
    <d v="2020-07-06T14:13:00"/>
    <d v="2020-07-06T00:00:00"/>
    <d v="1899-12-30T14:13:00"/>
    <n v="4"/>
    <x v="1"/>
    <x v="2"/>
    <x v="1"/>
    <n v="63"/>
    <n v="1.1499999999999999"/>
    <n v="0.61"/>
    <s v="Alive"/>
    <n v="103"/>
    <n v="166"/>
    <n v="68"/>
    <n v="55"/>
    <s v="Good"/>
    <n v="0"/>
    <n v="1.15E-2"/>
    <n v="6.0999999999999995E-3"/>
    <d v="1899-12-30T07:13:00"/>
  </r>
  <r>
    <n v="537"/>
    <d v="2020-07-06T16:13:00"/>
    <d v="2020-07-06T00:00:00"/>
    <s v="16:13"/>
    <d v="2020-07-07T08:12:00"/>
    <d v="2020-07-07T00:00:00"/>
    <d v="1899-12-30T08:12:00"/>
    <n v="3"/>
    <x v="1"/>
    <x v="2"/>
    <x v="4"/>
    <n v="65"/>
    <n v="1.31"/>
    <n v="0.57999999999999996"/>
    <s v="Alive"/>
    <n v="82"/>
    <n v="189"/>
    <n v="91"/>
    <n v="60"/>
    <s v="Good"/>
    <n v="0"/>
    <n v="1.3100000000000001E-2"/>
    <n v="5.7999999999999996E-3"/>
    <d v="1899-12-30T15:59:00"/>
  </r>
  <r>
    <n v="538"/>
    <d v="2020-07-02T14:00:00"/>
    <d v="2020-07-02T00:00:00"/>
    <s v="14:00"/>
    <d v="2020-07-07T08:15:00"/>
    <d v="2020-07-07T00:00:00"/>
    <d v="1899-12-30T08:15:00"/>
    <n v="4"/>
    <x v="2"/>
    <x v="2"/>
    <x v="15"/>
    <n v="85"/>
    <n v="10.77"/>
    <n v="3.33"/>
    <s v="Died"/>
    <n v="63"/>
    <n v="156"/>
    <n v="76"/>
    <n v="60"/>
    <s v="Good"/>
    <n v="1"/>
    <n v="0.10769999999999999"/>
    <n v="3.3300000000000003E-2"/>
    <d v="1900-01-03T18:15:00"/>
  </r>
  <r>
    <n v="539"/>
    <d v="2020-07-06T16:00:00"/>
    <d v="2020-07-06T00:00:00"/>
    <s v="16:00"/>
    <d v="2020-07-07T08:19:00"/>
    <d v="2020-07-07T00:00:00"/>
    <d v="1899-12-30T08:19:00"/>
    <n v="5"/>
    <x v="1"/>
    <x v="2"/>
    <x v="7"/>
    <n v="77"/>
    <n v="4.29"/>
    <n v="1.66"/>
    <s v="Alive"/>
    <n v="74"/>
    <n v="190"/>
    <n v="95"/>
    <n v="56"/>
    <s v="Good"/>
    <n v="0"/>
    <n v="4.2900000000000001E-2"/>
    <n v="1.66E-2"/>
    <d v="1899-12-30T16:19:00"/>
  </r>
  <r>
    <n v="540"/>
    <d v="2020-07-07T07:47:00"/>
    <d v="2020-07-07T00:00:00"/>
    <s v="07:47"/>
    <d v="2020-07-07T13:10:00"/>
    <d v="2020-07-07T00:00:00"/>
    <d v="1899-12-30T13:10:00"/>
    <n v="5"/>
    <x v="1"/>
    <x v="2"/>
    <x v="7"/>
    <n v="67"/>
    <n v="2.84"/>
    <n v="1.1599999999999999"/>
    <s v="Alive"/>
    <n v="85"/>
    <n v="180"/>
    <n v="90"/>
    <n v="56"/>
    <s v="Good"/>
    <n v="0"/>
    <n v="2.8399999999999998E-2"/>
    <n v="1.1599999999999999E-2"/>
    <d v="1899-12-30T05:23:00"/>
  </r>
  <r>
    <n v="541"/>
    <d v="2020-07-07T07:33:00"/>
    <d v="2020-07-07T00:00:00"/>
    <s v="07:33"/>
    <d v="2020-07-07T14:00:00"/>
    <d v="2020-07-07T00:00:00"/>
    <d v="1899-12-30T14:00:00"/>
    <n v="3"/>
    <x v="1"/>
    <x v="3"/>
    <x v="4"/>
    <n v="59"/>
    <n v="1.51"/>
    <n v="0.96"/>
    <s v="Alive"/>
    <n v="88"/>
    <n v="171"/>
    <n v="115"/>
    <n v="55"/>
    <s v="Good"/>
    <n v="0"/>
    <n v="1.5100000000000001E-2"/>
    <n v="9.5999999999999992E-3"/>
    <d v="1899-12-30T06:27:00"/>
  </r>
  <r>
    <n v="542"/>
    <d v="2020-07-06T16:13:00"/>
    <d v="2020-07-06T00:00:00"/>
    <s v="16:13"/>
    <d v="2020-07-07T15:51:00"/>
    <d v="2020-07-07T00:00:00"/>
    <d v="1899-12-30T15:51:00"/>
    <n v="4"/>
    <x v="1"/>
    <x v="0"/>
    <x v="15"/>
    <n v="61"/>
    <n v="2.37"/>
    <n v="0.86"/>
    <s v="Alive"/>
    <n v="174"/>
    <n v="180"/>
    <n v="93"/>
    <n v="68"/>
    <s v="Good"/>
    <n v="0"/>
    <n v="2.3700000000000002E-2"/>
    <n v="8.6E-3"/>
    <d v="1899-12-30T23:38:00"/>
  </r>
  <r>
    <n v="543"/>
    <d v="2020-07-05T10:16:00"/>
    <d v="2020-07-05T00:00:00"/>
    <s v="10:16"/>
    <d v="2020-07-08T08:13:00"/>
    <d v="2020-07-08T00:00:00"/>
    <d v="1899-12-30T08:13:00"/>
    <n v="6"/>
    <x v="1"/>
    <x v="0"/>
    <x v="0"/>
    <n v="58"/>
    <n v="2.44"/>
    <n v="0.81"/>
    <s v="Alive"/>
    <n v="69"/>
    <n v="169"/>
    <n v="106"/>
    <n v="42"/>
    <s v="Moderate"/>
    <n v="0"/>
    <n v="2.4399999999999998E-2"/>
    <n v="8.1000000000000013E-3"/>
    <d v="1900-01-01T21:57:00"/>
  </r>
  <r>
    <n v="544"/>
    <d v="2020-07-07T14:20:00"/>
    <d v="2020-07-07T00:00:00"/>
    <s v="14:20"/>
    <d v="2020-07-08T08:17:00"/>
    <d v="2020-07-08T00:00:00"/>
    <d v="1899-12-30T08:17:00"/>
    <n v="3"/>
    <x v="1"/>
    <x v="0"/>
    <x v="2"/>
    <n v="22"/>
    <n v="3.13"/>
    <n v="2.21"/>
    <s v="Alive"/>
    <n v="99"/>
    <n v="183"/>
    <n v="106"/>
    <n v="65"/>
    <s v="Good"/>
    <n v="0"/>
    <n v="3.1300000000000001E-2"/>
    <n v="2.2099999999999998E-2"/>
    <d v="1899-12-30T17:57:00"/>
  </r>
  <r>
    <n v="545"/>
    <d v="2020-07-06T21:35:00"/>
    <d v="2020-07-06T00:00:00"/>
    <s v="21:35"/>
    <d v="2020-07-08T08:20:00"/>
    <d v="2020-07-08T00:00:00"/>
    <d v="1899-12-30T08:20:00"/>
    <n v="4"/>
    <x v="2"/>
    <x v="0"/>
    <x v="8"/>
    <n v="48"/>
    <n v="5.03"/>
    <n v="2.67"/>
    <s v="Alive"/>
    <n v="138"/>
    <n v="172"/>
    <n v="88"/>
    <n v="63"/>
    <s v="Good"/>
    <n v="0"/>
    <n v="5.0300000000000004E-2"/>
    <n v="2.6699999999999998E-2"/>
    <d v="1899-12-31T10:45:00"/>
  </r>
  <r>
    <n v="546"/>
    <d v="2020-07-08T07:10:00"/>
    <d v="2020-07-08T00:00:00"/>
    <s v="07:10"/>
    <d v="2020-07-08T13:53:00"/>
    <d v="2020-07-08T00:00:00"/>
    <d v="1899-12-30T13:53:00"/>
    <n v="6"/>
    <x v="1"/>
    <x v="0"/>
    <x v="0"/>
    <n v="70"/>
    <n v="10.09"/>
    <n v="2.88"/>
    <s v="Alive"/>
    <n v="83"/>
    <n v="168"/>
    <n v="116"/>
    <n v="60"/>
    <s v="Good"/>
    <n v="0"/>
    <n v="0.1009"/>
    <n v="2.8799999999999999E-2"/>
    <d v="1899-12-30T06:43:00"/>
  </r>
  <r>
    <n v="547"/>
    <d v="2020-07-08T07:00:00"/>
    <d v="2020-07-08T00:00:00"/>
    <s v="07:00"/>
    <d v="2020-07-08T14:07:00"/>
    <d v="2020-07-08T00:00:00"/>
    <d v="1899-12-30T14:07:00"/>
    <n v="3"/>
    <x v="1"/>
    <x v="0"/>
    <x v="2"/>
    <n v="57"/>
    <n v="1.51"/>
    <n v="1.31"/>
    <s v="Alive"/>
    <n v="85"/>
    <n v="151"/>
    <n v="64"/>
    <n v="56"/>
    <s v="Good"/>
    <n v="0"/>
    <n v="1.5100000000000001E-2"/>
    <n v="1.3100000000000001E-2"/>
    <d v="1899-12-30T07:07:00"/>
  </r>
  <r>
    <n v="548"/>
    <d v="2020-07-08T06:45:00"/>
    <d v="2020-07-08T00:00:00"/>
    <s v="06:45"/>
    <d v="2020-07-08T15:05:00"/>
    <d v="2020-07-08T00:00:00"/>
    <d v="1899-12-30T15:05:00"/>
    <n v="4"/>
    <x v="1"/>
    <x v="0"/>
    <x v="8"/>
    <n v="59"/>
    <n v="1.51"/>
    <n v="0.5"/>
    <s v="Alive"/>
    <n v="74"/>
    <n v="174"/>
    <n v="56"/>
    <n v="40"/>
    <s v="Moderate"/>
    <n v="0"/>
    <n v="1.5100000000000001E-2"/>
    <n v="5.0000000000000001E-3"/>
    <d v="1899-12-30T08:20:00"/>
  </r>
  <r>
    <n v="549"/>
    <d v="2020-07-09T02:35:00"/>
    <d v="2020-07-09T00:00:00"/>
    <s v="02:35"/>
    <d v="2020-07-09T03:15:00"/>
    <d v="2020-07-09T00:00:00"/>
    <d v="1899-12-30T03:15:00"/>
    <n v="1"/>
    <x v="0"/>
    <x v="4"/>
    <x v="0"/>
    <n v="51"/>
    <n v="5.04"/>
    <n v="2.3199999999999998"/>
    <s v="Alive"/>
    <n v="128"/>
    <n v="170"/>
    <n v="63"/>
    <n v="55"/>
    <s v="Good"/>
    <n v="0"/>
    <n v="5.04E-2"/>
    <n v="2.3199999999999998E-2"/>
    <d v="1899-12-30T00:40:00"/>
  </r>
  <r>
    <n v="550"/>
    <d v="2020-07-08T15:35:00"/>
    <d v="2020-07-08T00:00:00"/>
    <s v="15:35"/>
    <d v="2020-07-09T07:50:00"/>
    <d v="2020-07-09T00:00:00"/>
    <d v="1899-12-30T07:50:00"/>
    <n v="5"/>
    <x v="1"/>
    <x v="2"/>
    <x v="12"/>
    <n v="76"/>
    <n v="4.03"/>
    <n v="2.5099999999999998"/>
    <s v="Alive"/>
    <n v="86"/>
    <n v="160"/>
    <n v="93"/>
    <n v="37"/>
    <s v="Moderate"/>
    <n v="0"/>
    <n v="4.0300000000000002E-2"/>
    <n v="2.5099999999999997E-2"/>
    <d v="1899-12-30T16:15:00"/>
  </r>
  <r>
    <n v="551"/>
    <d v="2020-07-05T08:23:00"/>
    <d v="2020-07-05T00:00:00"/>
    <s v="08:23"/>
    <d v="2020-07-09T08:21:00"/>
    <d v="2020-07-09T00:00:00"/>
    <d v="1899-12-30T08:21:00"/>
    <n v="4"/>
    <x v="2"/>
    <x v="2"/>
    <x v="11"/>
    <n v="63"/>
    <n v="20.71"/>
    <n v="12.67"/>
    <s v="Alive"/>
    <n v="64"/>
    <n v="160"/>
    <n v="75"/>
    <n v="55"/>
    <s v="Good"/>
    <n v="0"/>
    <n v="0.20710000000000001"/>
    <n v="0.12670000000000001"/>
    <d v="1900-01-02T23:58:00"/>
  </r>
  <r>
    <n v="552"/>
    <d v="2020-07-08T15:46:00"/>
    <d v="2020-07-08T00:00:00"/>
    <s v="15:46"/>
    <d v="2020-07-09T09:43:00"/>
    <d v="2020-07-09T00:00:00"/>
    <d v="1899-12-30T09:43:00"/>
    <n v="3"/>
    <x v="1"/>
    <x v="3"/>
    <x v="16"/>
    <n v="83"/>
    <n v="10.32"/>
    <n v="2.4900000000000002"/>
    <s v="Alive"/>
    <n v="81"/>
    <n v="173"/>
    <n v="108"/>
    <n v="55"/>
    <s v="Good"/>
    <n v="0"/>
    <n v="0.1032"/>
    <n v="2.4900000000000002E-2"/>
    <d v="1899-12-30T17:57:00"/>
  </r>
  <r>
    <n v="553"/>
    <d v="2020-07-09T07:10:00"/>
    <d v="2020-07-09T00:00:00"/>
    <s v="07:10"/>
    <d v="2020-07-09T12:06:00"/>
    <d v="2020-07-09T00:00:00"/>
    <d v="1899-12-30T12:06:00"/>
    <n v="6"/>
    <x v="1"/>
    <x v="0"/>
    <x v="11"/>
    <n v="60"/>
    <n v="1.61"/>
    <n v="0.56000000000000005"/>
    <s v="Alive"/>
    <n v="67"/>
    <n v="178"/>
    <n v="101"/>
    <n v="45"/>
    <s v="Moderate"/>
    <n v="0"/>
    <n v="1.61E-2"/>
    <n v="5.6000000000000008E-3"/>
    <d v="1899-12-30T04:56:00"/>
  </r>
  <r>
    <n v="554"/>
    <d v="2020-07-07T11:08:00"/>
    <d v="2020-07-07T00:00:00"/>
    <s v="11:08"/>
    <d v="2020-07-09T14:47:00"/>
    <d v="2020-07-09T00:00:00"/>
    <d v="1899-12-30T14:47:00"/>
    <n v="3"/>
    <x v="2"/>
    <x v="2"/>
    <x v="16"/>
    <n v="64"/>
    <n v="6.01"/>
    <n v="2.21"/>
    <s v="Alive"/>
    <n v="106"/>
    <n v="170"/>
    <n v="89"/>
    <n v="55"/>
    <s v="Good"/>
    <n v="0"/>
    <n v="6.0100000000000001E-2"/>
    <n v="2.2099999999999998E-2"/>
    <d v="1900-01-01T03:39:00"/>
  </r>
  <r>
    <n v="555"/>
    <d v="2020-07-09T07:00:00"/>
    <d v="2020-07-09T00:00:00"/>
    <s v="07:00"/>
    <d v="2020-07-09T16:11:00"/>
    <d v="2020-07-09T00:00:00"/>
    <d v="1899-12-30T16:11:00"/>
    <n v="5"/>
    <x v="1"/>
    <x v="0"/>
    <x v="12"/>
    <n v="82"/>
    <n v="6.61"/>
    <n v="1.69"/>
    <s v="Alive"/>
    <n v="92"/>
    <n v="163"/>
    <n v="62"/>
    <n v="65"/>
    <s v="Good"/>
    <n v="0"/>
    <n v="6.6100000000000006E-2"/>
    <n v="1.6899999999999998E-2"/>
    <d v="1899-12-30T09:11:00"/>
  </r>
  <r>
    <n v="556"/>
    <d v="2020-07-09T15:56:00"/>
    <d v="2020-07-09T00:00:00"/>
    <s v="15:56"/>
    <d v="2020-07-10T07:55:00"/>
    <d v="2020-07-10T00:00:00"/>
    <d v="1899-12-30T07:55:00"/>
    <n v="4"/>
    <x v="1"/>
    <x v="0"/>
    <x v="8"/>
    <n v="87"/>
    <n v="12.08"/>
    <n v="7.44"/>
    <s v="Alive"/>
    <n v="75"/>
    <n v="180"/>
    <n v="75"/>
    <n v="25"/>
    <s v="Poor"/>
    <n v="0"/>
    <n v="0.1208"/>
    <n v="7.4400000000000008E-2"/>
    <d v="1899-12-30T15:59:00"/>
  </r>
  <r>
    <n v="557"/>
    <d v="2020-06-28T14:35:00"/>
    <d v="2020-06-28T00:00:00"/>
    <s v="14:35"/>
    <d v="2020-07-10T08:18:00"/>
    <d v="2020-07-10T00:00:00"/>
    <d v="1899-12-30T08:18:00"/>
    <n v="5"/>
    <x v="1"/>
    <x v="3"/>
    <x v="7"/>
    <n v="60"/>
    <n v="2.42"/>
    <n v="2.13"/>
    <s v="Alive"/>
    <n v="87"/>
    <n v="170"/>
    <n v="124"/>
    <n v="60"/>
    <s v="Good"/>
    <n v="0"/>
    <n v="2.4199999999999999E-2"/>
    <n v="2.1299999999999999E-2"/>
    <d v="1900-01-10T17:43:00"/>
  </r>
  <r>
    <n v="558"/>
    <d v="2020-07-08T10:24:00"/>
    <d v="2020-07-08T00:00:00"/>
    <s v="10:24"/>
    <d v="2020-07-10T08:23:00"/>
    <d v="2020-07-10T00:00:00"/>
    <d v="1899-12-30T08:23:00"/>
    <n v="3"/>
    <x v="2"/>
    <x v="3"/>
    <x v="0"/>
    <n v="72"/>
    <n v="2.0699999999999998"/>
    <n v="1.44"/>
    <s v="Alive"/>
    <n v="70"/>
    <n v="158"/>
    <n v="86"/>
    <n v="65"/>
    <s v="Good"/>
    <n v="0"/>
    <n v="2.07E-2"/>
    <n v="1.44E-2"/>
    <d v="1899-12-31T21:59:00"/>
  </r>
  <r>
    <n v="559"/>
    <d v="2020-07-10T07:01:00"/>
    <d v="2020-07-10T00:00:00"/>
    <s v="07:01"/>
    <d v="2020-07-10T13:47:00"/>
    <d v="2020-07-10T00:00:00"/>
    <d v="1899-12-30T13:47:00"/>
    <n v="3"/>
    <x v="1"/>
    <x v="0"/>
    <x v="0"/>
    <n v="62"/>
    <n v="2.5299999999999998"/>
    <n v="0.89"/>
    <s v="Alive"/>
    <n v="82"/>
    <n v="167"/>
    <n v="106"/>
    <n v="35"/>
    <s v="Moderate"/>
    <n v="0"/>
    <n v="2.53E-2"/>
    <n v="8.8999999999999999E-3"/>
    <d v="1899-12-30T06:46:00"/>
  </r>
  <r>
    <n v="560"/>
    <d v="2020-07-10T06:57:00"/>
    <d v="2020-07-10T00:00:00"/>
    <s v="06:57"/>
    <d v="2020-07-10T14:37:00"/>
    <d v="2020-07-10T00:00:00"/>
    <d v="1899-12-30T14:37:00"/>
    <n v="1"/>
    <x v="1"/>
    <x v="2"/>
    <x v="7"/>
    <n v="57"/>
    <n v="0.88"/>
    <n v="0.5"/>
    <s v="Alive"/>
    <n v="94"/>
    <n v="193"/>
    <n v="90"/>
    <n v="52"/>
    <s v="Good"/>
    <n v="0"/>
    <n v="8.8000000000000005E-3"/>
    <n v="5.0000000000000001E-3"/>
    <d v="1899-12-30T07:40:00"/>
  </r>
  <r>
    <n v="561"/>
    <d v="2020-07-02T09:50:00"/>
    <d v="2020-07-02T00:00:00"/>
    <s v="09:50"/>
    <d v="2020-07-11T08:10:00"/>
    <d v="2020-07-11T00:00:00"/>
    <d v="1899-12-30T08:10:00"/>
    <n v="4"/>
    <x v="2"/>
    <x v="2"/>
    <x v="16"/>
    <n v="73"/>
    <n v="6"/>
    <n v="2.5099999999999998"/>
    <s v="Alive"/>
    <n v="143"/>
    <n v="175"/>
    <n v="100"/>
    <n v="65"/>
    <s v="Good"/>
    <n v="0"/>
    <n v="0.06"/>
    <n v="2.5099999999999997E-2"/>
    <d v="1900-01-07T22:20:00"/>
  </r>
  <r>
    <n v="562"/>
    <d v="2020-07-10T14:15:00"/>
    <d v="2020-07-10T00:00:00"/>
    <s v="14:15"/>
    <d v="2020-07-11T08:23:00"/>
    <d v="2020-07-11T00:00:00"/>
    <d v="1899-12-30T08:23:00"/>
    <n v="5"/>
    <x v="1"/>
    <x v="0"/>
    <x v="14"/>
    <n v="77"/>
    <n v="16.13"/>
    <n v="23.74"/>
    <s v="Died"/>
    <n v="82"/>
    <n v="150"/>
    <n v="50"/>
    <n v="41"/>
    <s v="Moderate"/>
    <n v="1"/>
    <n v="0.1613"/>
    <n v="0.23739999999999997"/>
    <d v="1899-12-30T18:08:00"/>
  </r>
  <r>
    <n v="563"/>
    <d v="2020-07-11T07:00:00"/>
    <d v="2020-07-11T00:00:00"/>
    <s v="07:00"/>
    <d v="2020-07-11T14:30:00"/>
    <d v="2020-07-11T00:00:00"/>
    <d v="1899-12-30T14:30:00"/>
    <n v="4"/>
    <x v="1"/>
    <x v="0"/>
    <x v="16"/>
    <n v="68"/>
    <n v="2.71"/>
    <n v="0.7"/>
    <s v="Alive"/>
    <n v="79"/>
    <n v="175"/>
    <n v="93"/>
    <n v="36"/>
    <s v="Moderate"/>
    <n v="0"/>
    <n v="2.7099999999999999E-2"/>
    <n v="6.9999999999999993E-3"/>
    <d v="1899-12-30T07:30:00"/>
  </r>
  <r>
    <n v="564"/>
    <d v="2020-07-12T13:50:00"/>
    <d v="2020-07-12T00:00:00"/>
    <s v="13:50"/>
    <d v="2020-07-13T08:08:00"/>
    <d v="2020-07-13T00:00:00"/>
    <d v="1899-12-30T08:08:00"/>
    <n v="3"/>
    <x v="1"/>
    <x v="0"/>
    <x v="3"/>
    <n v="72"/>
    <n v="14.6"/>
    <n v="7.61"/>
    <s v="Alive"/>
    <n v="77"/>
    <n v="170"/>
    <n v="69"/>
    <n v="55"/>
    <s v="Good"/>
    <n v="0"/>
    <n v="0.14599999999999999"/>
    <n v="7.6100000000000001E-2"/>
    <d v="1899-12-30T18:18:00"/>
  </r>
  <r>
    <n v="565"/>
    <d v="2020-07-12T14:00:00"/>
    <d v="2020-07-12T00:00:00"/>
    <s v="14:00"/>
    <d v="2020-07-13T08:18:00"/>
    <d v="2020-07-13T00:00:00"/>
    <d v="1899-12-30T08:18:00"/>
    <n v="4"/>
    <x v="1"/>
    <x v="3"/>
    <x v="1"/>
    <n v="82"/>
    <n v="8.9700000000000006"/>
    <n v="2.68"/>
    <s v="Alive"/>
    <n v="119"/>
    <n v="184"/>
    <n v="93"/>
    <n v="45"/>
    <s v="Moderate"/>
    <n v="0"/>
    <n v="8.9700000000000002E-2"/>
    <n v="2.6800000000000001E-2"/>
    <d v="1899-12-30T18:18:00"/>
  </r>
  <r>
    <n v="566"/>
    <d v="2020-07-10T10:36:00"/>
    <d v="2020-07-10T00:00:00"/>
    <s v="10:36"/>
    <d v="2020-07-13T08:23:00"/>
    <d v="2020-07-13T00:00:00"/>
    <d v="1899-12-30T08:23:00"/>
    <n v="6"/>
    <x v="1"/>
    <x v="3"/>
    <x v="12"/>
    <n v="73"/>
    <n v="8.5399999999999991"/>
    <n v="2.69"/>
    <s v="Alive"/>
    <n v="111"/>
    <n v="175"/>
    <n v="75"/>
    <n v="40"/>
    <s v="Moderate"/>
    <n v="0"/>
    <n v="8.539999999999999E-2"/>
    <n v="2.69E-2"/>
    <d v="1900-01-01T21:47:00"/>
  </r>
  <r>
    <n v="567"/>
    <d v="2020-07-13T07:00:00"/>
    <d v="2020-07-13T00:00:00"/>
    <s v="07:00"/>
    <d v="2020-07-13T13:49:00"/>
    <d v="2020-07-13T00:00:00"/>
    <d v="1899-12-30T13:49:00"/>
    <n v="4"/>
    <x v="1"/>
    <x v="4"/>
    <x v="1"/>
    <n v="58"/>
    <n v="6.9"/>
    <n v="1.31"/>
    <s v="Alive"/>
    <n v="80"/>
    <n v="168"/>
    <n v="120"/>
    <n v="22"/>
    <s v="Poor"/>
    <n v="0"/>
    <n v="6.9000000000000006E-2"/>
    <n v="1.3100000000000001E-2"/>
    <d v="1899-12-30T06:49:00"/>
  </r>
  <r>
    <n v="568"/>
    <d v="2020-07-12T11:00:00"/>
    <d v="2020-07-12T00:00:00"/>
    <s v="11:00"/>
    <d v="2020-07-13T13:55:00"/>
    <d v="2020-07-13T00:00:00"/>
    <d v="1899-12-30T13:55:00"/>
    <n v="6"/>
    <x v="1"/>
    <x v="0"/>
    <x v="12"/>
    <n v="57"/>
    <n v="3.94"/>
    <n v="1.8"/>
    <s v="Alive"/>
    <n v="64"/>
    <n v="178"/>
    <n v="89"/>
    <n v="45"/>
    <s v="Moderate"/>
    <n v="0"/>
    <n v="3.9399999999999998E-2"/>
    <n v="1.8000000000000002E-2"/>
    <d v="1899-12-31T02:55:00"/>
  </r>
  <r>
    <n v="569"/>
    <d v="2020-07-04T01:36:00"/>
    <d v="2020-07-04T00:00:00"/>
    <s v="01:36"/>
    <d v="2020-07-14T08:10:00"/>
    <d v="2020-07-14T00:00:00"/>
    <d v="1899-12-30T08:10:00"/>
    <n v="4"/>
    <x v="2"/>
    <x v="2"/>
    <x v="7"/>
    <n v="72"/>
    <n v="11.99"/>
    <n v="4.8499999999999996"/>
    <s v="Alive"/>
    <n v="68"/>
    <n v="170"/>
    <n v="130"/>
    <n v="65"/>
    <s v="Good"/>
    <n v="0"/>
    <n v="0.11990000000000001"/>
    <n v="4.8499999999999995E-2"/>
    <d v="1900-01-09T06:34:00"/>
  </r>
  <r>
    <n v="570"/>
    <d v="2020-07-13T15:57:00"/>
    <d v="2020-07-13T00:00:00"/>
    <s v="15:57"/>
    <d v="2020-07-14T08:20:00"/>
    <d v="2020-07-14T00:00:00"/>
    <d v="1899-12-30T08:20:00"/>
    <n v="5"/>
    <x v="1"/>
    <x v="3"/>
    <x v="2"/>
    <n v="71"/>
    <n v="3.29"/>
    <n v="1.78"/>
    <s v="Alive"/>
    <n v="66"/>
    <n v="152"/>
    <n v="51"/>
    <n v="53"/>
    <s v="Good"/>
    <n v="0"/>
    <n v="3.2899999999999999E-2"/>
    <n v="1.78E-2"/>
    <d v="1899-12-30T16:23:00"/>
  </r>
  <r>
    <n v="571"/>
    <d v="2020-07-13T15:13:00"/>
    <d v="2020-07-13T00:00:00"/>
    <s v="15:13"/>
    <d v="2020-07-14T08:50:00"/>
    <d v="2020-07-14T00:00:00"/>
    <d v="1899-12-30T08:50:00"/>
    <n v="2"/>
    <x v="2"/>
    <x v="2"/>
    <x v="6"/>
    <n v="73"/>
    <n v="8.98"/>
    <n v="5.14"/>
    <s v="Alive"/>
    <n v="96"/>
    <n v="172"/>
    <n v="99"/>
    <n v="22"/>
    <s v="Poor"/>
    <n v="0"/>
    <n v="8.9800000000000005E-2"/>
    <n v="5.1399999999999994E-2"/>
    <d v="1899-12-30T17:37:00"/>
  </r>
  <r>
    <n v="572"/>
    <d v="2020-07-14T07:00:00"/>
    <d v="2020-07-14T00:00:00"/>
    <s v="07:00"/>
    <d v="2020-07-14T13:00:00"/>
    <d v="2020-07-14T00:00:00"/>
    <d v="1899-12-30T13:00:00"/>
    <n v="4"/>
    <x v="1"/>
    <x v="0"/>
    <x v="7"/>
    <n v="55"/>
    <n v="1.51"/>
    <n v="0.5"/>
    <s v="Alive"/>
    <n v="64"/>
    <n v="183"/>
    <n v="123"/>
    <n v="52"/>
    <s v="Good"/>
    <n v="0"/>
    <n v="1.5100000000000001E-2"/>
    <n v="5.0000000000000001E-3"/>
    <d v="1899-12-30T06:00:00"/>
  </r>
  <r>
    <n v="573"/>
    <d v="2020-07-14T07:53:00"/>
    <d v="2020-07-14T00:00:00"/>
    <s v="07:53"/>
    <d v="2020-07-14T13:35:00"/>
    <d v="2020-07-14T00:00:00"/>
    <d v="1899-12-30T13:35:00"/>
    <n v="5"/>
    <x v="1"/>
    <x v="0"/>
    <x v="2"/>
    <n v="67"/>
    <n v="3.81"/>
    <n v="2.17"/>
    <s v="Alive"/>
    <n v="94"/>
    <n v="165"/>
    <n v="95"/>
    <n v="56"/>
    <s v="Good"/>
    <n v="0"/>
    <n v="3.8100000000000002E-2"/>
    <n v="2.1700000000000001E-2"/>
    <d v="1899-12-30T05:42:00"/>
  </r>
  <r>
    <n v="574"/>
    <d v="2020-07-14T07:00:00"/>
    <d v="2020-07-14T00:00:00"/>
    <s v="07:00"/>
    <d v="2020-07-14T13:35:00"/>
    <d v="2020-07-14T00:00:00"/>
    <d v="1899-12-30T13:35:00"/>
    <n v="3"/>
    <x v="1"/>
    <x v="2"/>
    <x v="6"/>
    <n v="64"/>
    <n v="1.23"/>
    <n v="0.63"/>
    <s v="Alive"/>
    <n v="77"/>
    <n v="170"/>
    <n v="90"/>
    <n v="32"/>
    <s v="Moderate"/>
    <n v="0"/>
    <n v="1.23E-2"/>
    <n v="6.3E-3"/>
    <d v="1899-12-30T06:35:00"/>
  </r>
  <r>
    <n v="575"/>
    <d v="2020-07-13T11:40:00"/>
    <d v="2020-07-13T00:00:00"/>
    <s v="11:40"/>
    <d v="2020-07-15T08:23:00"/>
    <d v="2020-07-15T00:00:00"/>
    <d v="1899-12-30T08:23:00"/>
    <n v="6"/>
    <x v="2"/>
    <x v="0"/>
    <x v="2"/>
    <n v="84"/>
    <n v="10.95"/>
    <n v="4.71"/>
    <s v="Alive"/>
    <n v="89"/>
    <n v="170"/>
    <n v="78"/>
    <n v="63"/>
    <s v="Good"/>
    <n v="0"/>
    <n v="0.10949999999999999"/>
    <n v="4.7100000000000003E-2"/>
    <d v="1899-12-31T20:43:00"/>
  </r>
  <r>
    <n v="576"/>
    <d v="2020-07-14T16:00:00"/>
    <d v="2020-07-14T00:00:00"/>
    <s v="16:00"/>
    <d v="2020-07-15T09:00:00"/>
    <d v="2020-07-15T00:00:00"/>
    <d v="1899-12-30T09:00:00"/>
    <n v="4"/>
    <x v="1"/>
    <x v="3"/>
    <x v="8"/>
    <n v="75"/>
    <n v="10.79"/>
    <n v="5.8"/>
    <s v="Alive"/>
    <n v="69"/>
    <n v="183"/>
    <n v="90"/>
    <n v="57"/>
    <s v="Good"/>
    <n v="0"/>
    <n v="0.1079"/>
    <n v="5.7999999999999996E-2"/>
    <d v="1899-12-30T17:00:00"/>
  </r>
  <r>
    <n v="577"/>
    <d v="2020-07-15T07:10:00"/>
    <d v="2020-07-15T00:00:00"/>
    <s v="07:10"/>
    <d v="2020-07-15T15:11:00"/>
    <d v="2020-07-15T00:00:00"/>
    <d v="1899-12-30T15:11:00"/>
    <n v="6"/>
    <x v="1"/>
    <x v="3"/>
    <x v="2"/>
    <n v="81"/>
    <n v="6.21"/>
    <n v="1.56"/>
    <s v="Alive"/>
    <n v="84"/>
    <n v="160"/>
    <n v="80"/>
    <n v="50"/>
    <s v="Moderate"/>
    <n v="0"/>
    <n v="6.2100000000000002E-2"/>
    <n v="1.5600000000000001E-2"/>
    <d v="1899-12-30T08:01:00"/>
  </r>
  <r>
    <n v="578"/>
    <d v="2020-07-12T11:00:00"/>
    <d v="2020-07-12T00:00:00"/>
    <s v="11:00"/>
    <d v="2020-07-16T08:10:00"/>
    <d v="2020-07-16T00:00:00"/>
    <d v="1899-12-30T08:10:00"/>
    <n v="3"/>
    <x v="2"/>
    <x v="0"/>
    <x v="16"/>
    <n v="56"/>
    <n v="2.57"/>
    <n v="0.89"/>
    <s v="Alive"/>
    <n v="77"/>
    <n v="172"/>
    <n v="92"/>
    <n v="10"/>
    <s v="Very Poor"/>
    <n v="0"/>
    <n v="2.5699999999999997E-2"/>
    <n v="8.8999999999999999E-3"/>
    <d v="1900-01-02T21:10:00"/>
  </r>
  <r>
    <n v="579"/>
    <d v="2020-07-11T09:57:00"/>
    <d v="2020-07-11T00:00:00"/>
    <s v="09:57"/>
    <d v="2020-07-16T08:19:00"/>
    <d v="2020-07-16T00:00:00"/>
    <d v="1899-12-30T08:19:00"/>
    <n v="5"/>
    <x v="2"/>
    <x v="2"/>
    <x v="12"/>
    <n v="49"/>
    <n v="1.51"/>
    <n v="1.07"/>
    <s v="Unknown"/>
    <n v="114"/>
    <n v="174"/>
    <n v="65"/>
    <n v="40"/>
    <s v="Moderate"/>
    <n v="0"/>
    <n v="1.5100000000000001E-2"/>
    <n v="1.0700000000000001E-2"/>
    <d v="1900-01-03T22:22:00"/>
  </r>
  <r>
    <n v="580"/>
    <d v="2020-07-14T11:00:00"/>
    <d v="2020-07-14T00:00:00"/>
    <s v="11:00"/>
    <d v="2020-07-16T08:31:00"/>
    <d v="2020-07-16T00:00:00"/>
    <d v="1899-12-30T08:31:00"/>
    <n v="4"/>
    <x v="2"/>
    <x v="2"/>
    <x v="15"/>
    <n v="72"/>
    <n v="3.91"/>
    <n v="2.4500000000000002"/>
    <s v="Alive"/>
    <n v="62"/>
    <n v="159"/>
    <n v="55"/>
    <n v="49"/>
    <s v="Moderate"/>
    <n v="0"/>
    <n v="3.9100000000000003E-2"/>
    <n v="2.4500000000000001E-2"/>
    <d v="1899-12-31T21:31:00"/>
  </r>
  <r>
    <n v="581"/>
    <d v="2020-07-13T07:47:00"/>
    <d v="2020-07-13T00:00:00"/>
    <s v="07:47"/>
    <d v="2020-07-16T13:28:00"/>
    <d v="2020-07-16T00:00:00"/>
    <d v="1899-12-30T13:28:00"/>
    <n v="5"/>
    <x v="1"/>
    <x v="2"/>
    <x v="12"/>
    <n v="65"/>
    <n v="13.48"/>
    <n v="7.14"/>
    <s v="Alive"/>
    <n v="70"/>
    <n v="158"/>
    <n v="58"/>
    <n v="22"/>
    <s v="Poor"/>
    <n v="0"/>
    <n v="0.1348"/>
    <n v="7.1399999999999991E-2"/>
    <d v="1900-01-02T05:41:00"/>
  </r>
  <r>
    <n v="582"/>
    <d v="2020-07-16T07:00:00"/>
    <d v="2020-07-16T00:00:00"/>
    <s v="07:00"/>
    <d v="2020-07-16T14:16:00"/>
    <d v="2020-07-16T00:00:00"/>
    <d v="1899-12-30T14:16:00"/>
    <n v="4"/>
    <x v="1"/>
    <x v="3"/>
    <x v="15"/>
    <n v="75"/>
    <n v="10.64"/>
    <n v="4.1100000000000003"/>
    <s v="Alive"/>
    <n v="132"/>
    <n v="168"/>
    <n v="88"/>
    <n v="49"/>
    <s v="Moderate"/>
    <n v="0"/>
    <n v="0.10640000000000001"/>
    <n v="4.1100000000000005E-2"/>
    <d v="1899-12-30T07:16:00"/>
  </r>
  <r>
    <n v="583"/>
    <d v="2020-07-15T11:00:00"/>
    <d v="2020-07-15T00:00:00"/>
    <s v="11:00"/>
    <d v="2020-07-17T08:10:00"/>
    <d v="2020-07-17T00:00:00"/>
    <d v="1899-12-30T08:10:00"/>
    <n v="5"/>
    <x v="2"/>
    <x v="2"/>
    <x v="0"/>
    <n v="78"/>
    <n v="10.33"/>
    <n v="2.5"/>
    <s v="Alive"/>
    <n v="68"/>
    <n v="155"/>
    <n v="63"/>
    <n v="28"/>
    <s v="Poor"/>
    <n v="0"/>
    <n v="0.1033"/>
    <n v="2.5000000000000001E-2"/>
    <d v="1899-12-31T21:10:00"/>
  </r>
  <r>
    <n v="584"/>
    <d v="2020-07-16T14:00:00"/>
    <d v="2020-07-16T00:00:00"/>
    <s v="14:00"/>
    <d v="2020-07-17T08:10:00"/>
    <d v="2020-07-17T00:00:00"/>
    <d v="1899-12-30T08:10:00"/>
    <n v="4"/>
    <x v="1"/>
    <x v="0"/>
    <x v="8"/>
    <n v="86"/>
    <n v="8.4600000000000009"/>
    <n v="1.1599999999999999"/>
    <s v="Alive"/>
    <n v="67"/>
    <n v="171"/>
    <n v="80"/>
    <n v="51"/>
    <s v="Good"/>
    <n v="0"/>
    <n v="8.4600000000000009E-2"/>
    <n v="1.1599999999999999E-2"/>
    <d v="1899-12-30T18:10:00"/>
  </r>
  <r>
    <n v="585"/>
    <d v="2020-07-15T07:50:00"/>
    <d v="2020-07-15T00:00:00"/>
    <s v="07:50"/>
    <d v="2020-07-17T13:24:00"/>
    <d v="2020-07-17T00:00:00"/>
    <d v="1899-12-30T13:24:00"/>
    <n v="5"/>
    <x v="2"/>
    <x v="2"/>
    <x v="0"/>
    <n v="68"/>
    <n v="4.53"/>
    <n v="2.2200000000000002"/>
    <s v="Alive"/>
    <n v="75"/>
    <n v="171"/>
    <n v="74"/>
    <n v="40"/>
    <s v="Moderate"/>
    <n v="0"/>
    <n v="4.53E-2"/>
    <n v="2.2200000000000001E-2"/>
    <d v="1900-01-01T05:34:00"/>
  </r>
  <r>
    <n v="586"/>
    <d v="2020-07-17T07:00:00"/>
    <d v="2020-07-17T00:00:00"/>
    <s v="07:00"/>
    <d v="2020-07-17T13:30:00"/>
    <d v="2020-07-17T00:00:00"/>
    <d v="1899-12-30T13:30:00"/>
    <n v="4"/>
    <x v="1"/>
    <x v="0"/>
    <x v="8"/>
    <n v="82"/>
    <n v="6.61"/>
    <n v="1.6"/>
    <s v="Alive"/>
    <n v="91"/>
    <n v="162"/>
    <n v="81"/>
    <n v="70"/>
    <s v="Good"/>
    <n v="0"/>
    <n v="6.6100000000000006E-2"/>
    <n v="1.6E-2"/>
    <d v="1899-12-30T06:30:00"/>
  </r>
  <r>
    <n v="587"/>
    <d v="2020-07-17T16:00:00"/>
    <d v="2020-07-17T00:00:00"/>
    <s v="16:00"/>
    <d v="2020-07-18T08:05:00"/>
    <d v="2020-07-18T00:00:00"/>
    <d v="1899-12-30T08:05:00"/>
    <n v="5"/>
    <x v="1"/>
    <x v="0"/>
    <x v="7"/>
    <n v="66"/>
    <n v="6.13"/>
    <n v="1.88"/>
    <s v="Alive"/>
    <n v="63"/>
    <n v="183"/>
    <n v="102"/>
    <n v="45"/>
    <s v="Moderate"/>
    <n v="0"/>
    <n v="6.13E-2"/>
    <n v="1.8799999999999997E-2"/>
    <d v="1899-12-30T16:05:00"/>
  </r>
  <r>
    <n v="588"/>
    <d v="2020-07-17T14:30:00"/>
    <d v="2020-07-17T00:00:00"/>
    <s v="14:30"/>
    <d v="2020-07-18T08:10:00"/>
    <d v="2020-07-18T00:00:00"/>
    <d v="1899-12-30T08:10:00"/>
    <n v="4"/>
    <x v="1"/>
    <x v="4"/>
    <x v="1"/>
    <n v="48"/>
    <n v="4.6500000000000004"/>
    <n v="0.96"/>
    <s v="Alive"/>
    <n v="63"/>
    <n v="169"/>
    <n v="90"/>
    <n v="40"/>
    <s v="Moderate"/>
    <n v="0"/>
    <n v="4.6500000000000007E-2"/>
    <n v="9.5999999999999992E-3"/>
    <d v="1899-12-30T17:40:00"/>
  </r>
  <r>
    <n v="589"/>
    <d v="2020-07-17T14:05:00"/>
    <d v="2020-07-17T00:00:00"/>
    <s v="14:05"/>
    <d v="2020-07-18T12:10:00"/>
    <d v="2020-07-18T00:00:00"/>
    <d v="1899-12-30T12:10:00"/>
    <n v="4"/>
    <x v="1"/>
    <x v="4"/>
    <x v="1"/>
    <n v="59"/>
    <n v="4.6500000000000004"/>
    <n v="0.96"/>
    <s v="Alive"/>
    <n v="153"/>
    <n v="172"/>
    <n v="70"/>
    <n v="50"/>
    <s v="Moderate"/>
    <n v="0"/>
    <n v="4.6500000000000007E-2"/>
    <n v="9.5999999999999992E-3"/>
    <d v="1899-12-30T22:05:00"/>
  </r>
  <r>
    <n v="590"/>
    <d v="2020-07-18T08:52:00"/>
    <d v="2020-07-18T00:00:00"/>
    <s v="08:52"/>
    <d v="2020-07-18T12:56:00"/>
    <d v="2020-07-18T00:00:00"/>
    <d v="1899-12-30T12:56:00"/>
    <n v="5"/>
    <x v="1"/>
    <x v="2"/>
    <x v="7"/>
    <n v="73"/>
    <n v="6.21"/>
    <n v="2.52"/>
    <s v="Alive"/>
    <n v="83"/>
    <n v="172"/>
    <n v="94"/>
    <n v="45"/>
    <s v="Moderate"/>
    <n v="0"/>
    <n v="6.2100000000000002E-2"/>
    <n v="2.52E-2"/>
    <d v="1899-12-30T04:04:00"/>
  </r>
  <r>
    <n v="591"/>
    <d v="2020-07-17T18:06:00"/>
    <d v="2020-07-17T00:00:00"/>
    <s v="18:06"/>
    <d v="2020-07-19T08:17:00"/>
    <d v="2020-07-19T00:00:00"/>
    <d v="1899-12-30T08:17:00"/>
    <n v="5"/>
    <x v="0"/>
    <x v="4"/>
    <x v="1"/>
    <n v="68"/>
    <n v="48.75"/>
    <n v="11.4"/>
    <s v="Died"/>
    <n v="73"/>
    <n v="163"/>
    <n v="41"/>
    <n v="26"/>
    <s v="Poor"/>
    <n v="1"/>
    <n v="0.48749999999999999"/>
    <n v="0.114"/>
    <d v="1899-12-31T14:11:00"/>
  </r>
  <r>
    <n v="592"/>
    <d v="2020-07-16T15:00:00"/>
    <d v="2020-07-16T00:00:00"/>
    <s v="15:00"/>
    <d v="2020-07-20T07:49:00"/>
    <d v="2020-07-20T00:00:00"/>
    <d v="1899-12-30T07:49:00"/>
    <n v="5"/>
    <x v="2"/>
    <x v="2"/>
    <x v="12"/>
    <n v="56"/>
    <n v="2.2799999999999998"/>
    <n v="2.36"/>
    <s v="Alive"/>
    <n v="65"/>
    <n v="168"/>
    <n v="80"/>
    <n v="65"/>
    <s v="Good"/>
    <n v="0"/>
    <n v="2.2799999999999997E-2"/>
    <n v="2.3599999999999999E-2"/>
    <d v="1900-01-02T16:49:00"/>
  </r>
  <r>
    <n v="593"/>
    <d v="2020-07-07T14:41:00"/>
    <d v="2020-07-07T00:00:00"/>
    <s v="14:41"/>
    <d v="2020-07-20T08:10:00"/>
    <d v="2020-07-20T00:00:00"/>
    <d v="1899-12-30T08:10:00"/>
    <n v="6"/>
    <x v="2"/>
    <x v="2"/>
    <x v="6"/>
    <n v="72"/>
    <n v="5.26"/>
    <n v="2.68"/>
    <s v="Alive"/>
    <n v="85"/>
    <n v="177"/>
    <n v="76"/>
    <n v="70"/>
    <s v="Good"/>
    <n v="0"/>
    <n v="5.2600000000000001E-2"/>
    <n v="2.6800000000000001E-2"/>
    <d v="1900-01-11T17:29:00"/>
  </r>
  <r>
    <n v="594"/>
    <d v="2020-07-19T16:00:00"/>
    <d v="2020-07-19T00:00:00"/>
    <s v="16:00"/>
    <d v="2020-07-20T08:14:00"/>
    <d v="2020-07-20T00:00:00"/>
    <d v="1899-12-30T08:14:00"/>
    <n v="3"/>
    <x v="1"/>
    <x v="2"/>
    <x v="3"/>
    <n v="75"/>
    <n v="4.0599999999999996"/>
    <n v="1.39"/>
    <s v="Alive"/>
    <n v="69"/>
    <n v="165"/>
    <n v="92"/>
    <n v="56"/>
    <s v="Good"/>
    <n v="0"/>
    <n v="4.0599999999999997E-2"/>
    <n v="1.3899999999999999E-2"/>
    <d v="1899-12-30T16:14:00"/>
  </r>
  <r>
    <n v="595"/>
    <d v="2020-07-19T14:00:00"/>
    <d v="2020-07-19T00:00:00"/>
    <s v="14:00"/>
    <d v="2020-07-20T08:20:00"/>
    <d v="2020-07-20T00:00:00"/>
    <d v="1899-12-30T08:20:00"/>
    <n v="4"/>
    <x v="1"/>
    <x v="4"/>
    <x v="1"/>
    <n v="76"/>
    <n v="13.14"/>
    <n v="2.0299999999999998"/>
    <s v="Alive"/>
    <n v="94"/>
    <n v="173"/>
    <n v="75"/>
    <n v="44"/>
    <s v="Moderate"/>
    <n v="0"/>
    <n v="0.13140000000000002"/>
    <n v="2.0299999999999999E-2"/>
    <d v="1899-12-30T18:20:00"/>
  </r>
  <r>
    <n v="596"/>
    <d v="2020-07-20T07:00:00"/>
    <d v="2020-07-20T00:00:00"/>
    <s v="07:00"/>
    <d v="2020-07-20T12:28:00"/>
    <d v="2020-07-20T00:00:00"/>
    <d v="1899-12-30T12:28:00"/>
    <n v="5"/>
    <x v="1"/>
    <x v="3"/>
    <x v="12"/>
    <n v="77"/>
    <n v="6.59"/>
    <n v="3.3"/>
    <s v="Alive"/>
    <n v="74"/>
    <n v="153"/>
    <n v="62"/>
    <n v="20"/>
    <s v="Very Poor"/>
    <n v="0"/>
    <n v="6.59E-2"/>
    <n v="3.3000000000000002E-2"/>
    <d v="1899-12-30T05:28:00"/>
  </r>
  <r>
    <n v="597"/>
    <d v="2020-07-20T07:13:00"/>
    <d v="2020-07-20T00:00:00"/>
    <s v="07:13"/>
    <d v="2020-07-20T13:24:00"/>
    <d v="2020-07-20T00:00:00"/>
    <d v="1899-12-30T13:24:00"/>
    <n v="3"/>
    <x v="1"/>
    <x v="3"/>
    <x v="3"/>
    <n v="85"/>
    <n v="18.809999999999999"/>
    <n v="13.04"/>
    <s v="Alive"/>
    <n v="76"/>
    <n v="175"/>
    <n v="75"/>
    <n v="55"/>
    <s v="Good"/>
    <n v="0"/>
    <n v="0.18809999999999999"/>
    <n v="0.13039999999999999"/>
    <d v="1899-12-30T06:11:00"/>
  </r>
  <r>
    <n v="598"/>
    <d v="2020-07-20T07:11:00"/>
    <d v="2020-07-20T00:00:00"/>
    <s v="07:11"/>
    <d v="2020-07-20T13:55:00"/>
    <d v="2020-07-20T00:00:00"/>
    <d v="1899-12-30T13:55:00"/>
    <n v="6"/>
    <x v="1"/>
    <x v="3"/>
    <x v="6"/>
    <n v="56"/>
    <n v="1.51"/>
    <n v="0.86"/>
    <s v="Alive"/>
    <n v="85"/>
    <n v="159"/>
    <n v="107"/>
    <n v="60"/>
    <s v="Good"/>
    <n v="0"/>
    <n v="1.5100000000000001E-2"/>
    <n v="8.6E-3"/>
    <d v="1899-12-30T06:44:00"/>
  </r>
  <r>
    <n v="599"/>
    <d v="2020-07-20T15:52:00"/>
    <d v="2020-07-20T00:00:00"/>
    <s v="15:52"/>
    <d v="2020-07-21T08:00:00"/>
    <d v="2020-07-21T00:00:00"/>
    <d v="1899-12-30T08:00:00"/>
    <n v="5"/>
    <x v="1"/>
    <x v="0"/>
    <x v="8"/>
    <n v="81"/>
    <n v="8.44"/>
    <n v="2.13"/>
    <s v="Alive"/>
    <n v="68"/>
    <n v="163"/>
    <n v="57"/>
    <n v="63"/>
    <s v="Good"/>
    <n v="0"/>
    <n v="8.4399999999999989E-2"/>
    <n v="2.1299999999999999E-2"/>
    <d v="1899-12-30T16:08:00"/>
  </r>
  <r>
    <n v="600"/>
    <d v="2020-07-10T21:44:00"/>
    <d v="2020-07-10T00:00:00"/>
    <s v="21:44"/>
    <d v="2020-07-21T08:04:00"/>
    <d v="2020-07-21T00:00:00"/>
    <d v="1899-12-30T08:04:00"/>
    <n v="3"/>
    <x v="2"/>
    <x v="2"/>
    <x v="11"/>
    <n v="75"/>
    <n v="9.99"/>
    <n v="5.1100000000000003"/>
    <s v="Alive"/>
    <n v="86"/>
    <n v="160"/>
    <n v="51"/>
    <n v="60"/>
    <s v="Good"/>
    <n v="0"/>
    <n v="9.9900000000000003E-2"/>
    <n v="5.1100000000000007E-2"/>
    <d v="1900-01-09T10:20:00"/>
  </r>
  <r>
    <n v="601"/>
    <d v="2020-07-20T16:00:00"/>
    <d v="2020-07-20T00:00:00"/>
    <s v="16:00"/>
    <d v="2020-07-21T08:11:00"/>
    <d v="2020-07-21T00:00:00"/>
    <d v="1899-12-30T08:11:00"/>
    <n v="4"/>
    <x v="1"/>
    <x v="3"/>
    <x v="7"/>
    <n v="81"/>
    <n v="8.44"/>
    <n v="4.47"/>
    <s v="Alive"/>
    <n v="83"/>
    <n v="174"/>
    <n v="85"/>
    <n v="63"/>
    <s v="Good"/>
    <n v="0"/>
    <n v="8.4399999999999989E-2"/>
    <n v="4.4699999999999997E-2"/>
    <d v="1899-12-30T16:11:00"/>
  </r>
  <r>
    <n v="602"/>
    <d v="2020-07-20T15:42:00"/>
    <d v="2020-07-20T00:00:00"/>
    <s v="15:42"/>
    <d v="2020-07-21T08:20:00"/>
    <d v="2020-07-21T00:00:00"/>
    <d v="1899-12-30T08:20:00"/>
    <n v="6"/>
    <x v="1"/>
    <x v="1"/>
    <x v="0"/>
    <n v="66"/>
    <n v="3.57"/>
    <n v="2.34"/>
    <s v="Alive"/>
    <n v="80"/>
    <n v="170"/>
    <n v="83"/>
    <n v="60"/>
    <s v="Good"/>
    <n v="0"/>
    <n v="3.5699999999999996E-2"/>
    <n v="2.3399999999999997E-2"/>
    <d v="1899-12-30T16:38:00"/>
  </r>
  <r>
    <n v="603"/>
    <d v="2020-07-18T10:18:00"/>
    <d v="2020-07-18T00:00:00"/>
    <s v="10:18"/>
    <d v="2020-07-21T13:10:00"/>
    <d v="2020-07-21T00:00:00"/>
    <d v="1899-12-30T13:10:00"/>
    <n v="6"/>
    <x v="1"/>
    <x v="2"/>
    <x v="0"/>
    <n v="75"/>
    <n v="5.18"/>
    <n v="2.35"/>
    <s v="Alive"/>
    <n v="75"/>
    <n v="169"/>
    <n v="80"/>
    <n v="55"/>
    <s v="Good"/>
    <n v="0"/>
    <n v="5.1799999999999999E-2"/>
    <n v="2.35E-2"/>
    <d v="1900-01-02T02:52:00"/>
  </r>
  <r>
    <n v="604"/>
    <d v="2020-07-21T07:08:00"/>
    <d v="2020-07-21T00:00:00"/>
    <s v="07:08"/>
    <d v="2020-07-21T13:15:00"/>
    <d v="2020-07-21T00:00:00"/>
    <d v="1899-12-30T13:15:00"/>
    <n v="3"/>
    <x v="1"/>
    <x v="2"/>
    <x v="11"/>
    <n v="69"/>
    <n v="1.7"/>
    <n v="0.72"/>
    <s v="Alive"/>
    <n v="71"/>
    <n v="177"/>
    <n v="95"/>
    <n v="20"/>
    <s v="Very Poor"/>
    <n v="0"/>
    <n v="1.7000000000000001E-2"/>
    <n v="7.1999999999999998E-3"/>
    <d v="1899-12-30T06:07:00"/>
  </r>
  <r>
    <n v="605"/>
    <d v="2020-07-21T07:19:00"/>
    <d v="2020-07-21T00:00:00"/>
    <s v="07:19"/>
    <d v="2020-07-21T14:05:00"/>
    <d v="2020-07-21T00:00:00"/>
    <d v="1899-12-30T14:05:00"/>
    <n v="4"/>
    <x v="1"/>
    <x v="3"/>
    <x v="7"/>
    <n v="62"/>
    <n v="3.46"/>
    <n v="4.0199999999999996"/>
    <s v="Alive"/>
    <n v="80"/>
    <n v="154"/>
    <n v="56"/>
    <n v="51"/>
    <s v="Moderate"/>
    <n v="0"/>
    <n v="3.4599999999999999E-2"/>
    <n v="4.0199999999999993E-2"/>
    <d v="1899-12-30T06:46:00"/>
  </r>
  <r>
    <n v="606"/>
    <d v="2020-07-21T07:40:00"/>
    <d v="2020-07-21T00:00:00"/>
    <s v="07:40"/>
    <d v="2020-07-21T14:25:00"/>
    <d v="2020-07-21T00:00:00"/>
    <d v="1899-12-30T14:25:00"/>
    <n v="5"/>
    <x v="1"/>
    <x v="0"/>
    <x v="8"/>
    <n v="65"/>
    <n v="3.07"/>
    <n v="1.24"/>
    <s v="Alive"/>
    <n v="81"/>
    <n v="165"/>
    <n v="91"/>
    <n v="55"/>
    <s v="Good"/>
    <n v="0"/>
    <n v="3.0699999999999998E-2"/>
    <n v="1.24E-2"/>
    <d v="1899-12-30T06:45:00"/>
  </r>
  <r>
    <n v="607"/>
    <d v="2020-07-09T10:34:00"/>
    <d v="2020-07-09T00:00:00"/>
    <s v="10:34"/>
    <d v="2020-07-22T08:20:00"/>
    <d v="2020-07-22T00:00:00"/>
    <d v="1899-12-30T08:20:00"/>
    <n v="3"/>
    <x v="2"/>
    <x v="3"/>
    <x v="8"/>
    <n v="68"/>
    <n v="1.59"/>
    <n v="0.86"/>
    <s v="Alive"/>
    <n v="151"/>
    <n v="163"/>
    <n v="65"/>
    <n v="55"/>
    <s v="Good"/>
    <n v="0"/>
    <n v="1.5900000000000001E-2"/>
    <n v="8.6E-3"/>
    <d v="1900-01-11T21:46:00"/>
  </r>
  <r>
    <n v="608"/>
    <d v="2020-07-20T15:15:00"/>
    <d v="2020-07-20T00:00:00"/>
    <s v="15:15"/>
    <d v="2020-07-22T08:30:00"/>
    <d v="2020-07-22T00:00:00"/>
    <d v="1899-12-30T08:30:00"/>
    <n v="5"/>
    <x v="2"/>
    <x v="0"/>
    <x v="2"/>
    <n v="58"/>
    <n v="2.27"/>
    <n v="4.58"/>
    <s v="Alive"/>
    <n v="91"/>
    <n v="177"/>
    <n v="71"/>
    <n v="30"/>
    <s v="Poor"/>
    <n v="0"/>
    <n v="2.2700000000000001E-2"/>
    <n v="4.58E-2"/>
    <d v="1899-12-31T17:15:00"/>
  </r>
  <r>
    <n v="609"/>
    <d v="2020-07-19T10:09:00"/>
    <d v="2020-07-19T00:00:00"/>
    <s v="10:09"/>
    <d v="2020-07-22T13:55:00"/>
    <d v="2020-07-22T00:00:00"/>
    <d v="1899-12-30T13:55:00"/>
    <n v="5"/>
    <x v="1"/>
    <x v="3"/>
    <x v="2"/>
    <n v="71"/>
    <n v="13.42"/>
    <n v="5.2"/>
    <s v="Alive"/>
    <n v="69"/>
    <n v="184"/>
    <n v="125"/>
    <n v="55"/>
    <s v="Good"/>
    <n v="0"/>
    <n v="0.13419999999999999"/>
    <n v="5.2000000000000005E-2"/>
    <d v="1900-01-02T03:46:00"/>
  </r>
  <r>
    <n v="610"/>
    <d v="2020-07-22T07:00:00"/>
    <d v="2020-07-22T00:00:00"/>
    <s v="07:00"/>
    <d v="2020-07-22T14:52:00"/>
    <d v="2020-07-22T00:00:00"/>
    <d v="1899-12-30T14:52:00"/>
    <n v="3"/>
    <x v="1"/>
    <x v="0"/>
    <x v="8"/>
    <n v="64"/>
    <n v="2.88"/>
    <n v="0.7"/>
    <s v="Alive"/>
    <n v="83"/>
    <n v="170"/>
    <n v="67"/>
    <n v="20"/>
    <s v="Very Poor"/>
    <n v="0"/>
    <n v="2.8799999999999999E-2"/>
    <n v="6.9999999999999993E-3"/>
    <d v="1899-12-30T07:52:00"/>
  </r>
  <r>
    <n v="611"/>
    <d v="2020-07-22T15:53:00"/>
    <d v="2020-07-22T00:00:00"/>
    <s v="15:53"/>
    <d v="2020-07-23T08:00:00"/>
    <d v="2020-07-23T00:00:00"/>
    <d v="1899-12-30T08:00:00"/>
    <n v="6"/>
    <x v="1"/>
    <x v="0"/>
    <x v="8"/>
    <n v="74"/>
    <n v="3.99"/>
    <n v="0.83"/>
    <s v="Alive"/>
    <n v="89"/>
    <n v="169"/>
    <n v="87"/>
    <n v="55"/>
    <s v="Good"/>
    <n v="0"/>
    <n v="3.9900000000000005E-2"/>
    <n v="8.3000000000000001E-3"/>
    <d v="1899-12-30T16:07:00"/>
  </r>
  <r>
    <n v="612"/>
    <d v="2020-07-21T11:09:00"/>
    <d v="2020-07-21T00:00:00"/>
    <s v="11:09"/>
    <d v="2020-07-23T08:11:00"/>
    <d v="2020-07-23T00:00:00"/>
    <d v="1899-12-30T08:11:00"/>
    <n v="3"/>
    <x v="2"/>
    <x v="2"/>
    <x v="11"/>
    <n v="72"/>
    <n v="3.52"/>
    <n v="1.25"/>
    <s v="Alive"/>
    <n v="87"/>
    <n v="159"/>
    <n v="57"/>
    <n v="65"/>
    <s v="Good"/>
    <n v="0"/>
    <n v="3.5200000000000002E-2"/>
    <n v="1.2500000000000001E-2"/>
    <d v="1899-12-31T21:02:00"/>
  </r>
  <r>
    <n v="613"/>
    <d v="2020-07-21T14:20:00"/>
    <d v="2020-07-21T00:00:00"/>
    <s v="14:20"/>
    <d v="2020-07-23T08:13:00"/>
    <d v="2020-07-23T00:00:00"/>
    <d v="1899-12-30T08:13:00"/>
    <n v="5"/>
    <x v="2"/>
    <x v="2"/>
    <x v="1"/>
    <n v="64"/>
    <n v="1.85"/>
    <n v="1.41"/>
    <s v="Alive"/>
    <n v="91"/>
    <n v="152"/>
    <n v="48"/>
    <n v="51"/>
    <s v="Good"/>
    <n v="0"/>
    <n v="1.8500000000000003E-2"/>
    <n v="1.41E-2"/>
    <d v="1899-12-31T17:53:00"/>
  </r>
  <r>
    <n v="614"/>
    <d v="2020-07-22T16:00:00"/>
    <d v="2020-07-22T00:00:00"/>
    <s v="16:00"/>
    <d v="2020-07-23T08:15:00"/>
    <d v="2020-07-23T00:00:00"/>
    <d v="1899-12-30T08:15:00"/>
    <n v="4"/>
    <x v="1"/>
    <x v="4"/>
    <x v="15"/>
    <n v="77"/>
    <n v="13.92"/>
    <n v="3.55"/>
    <s v="Alive"/>
    <n v="65"/>
    <n v="170"/>
    <n v="91"/>
    <n v="68"/>
    <s v="Good"/>
    <n v="0"/>
    <n v="0.13919999999999999"/>
    <n v="3.5499999999999997E-2"/>
    <d v="1899-12-30T16:15:00"/>
  </r>
  <r>
    <n v="615"/>
    <d v="2020-07-23T07:00:00"/>
    <d v="2020-07-23T00:00:00"/>
    <s v="07:00"/>
    <d v="2020-07-23T13:33:00"/>
    <d v="2020-07-23T00:00:00"/>
    <d v="1899-12-30T13:33:00"/>
    <n v="6"/>
    <x v="1"/>
    <x v="3"/>
    <x v="7"/>
    <n v="85"/>
    <n v="7.96"/>
    <n v="4.46"/>
    <s v="Alive"/>
    <n v="85"/>
    <n v="160"/>
    <n v="52"/>
    <n v="63"/>
    <s v="Good"/>
    <n v="0"/>
    <n v="7.9600000000000004E-2"/>
    <n v="4.4600000000000001E-2"/>
    <d v="1899-12-30T06:33:00"/>
  </r>
  <r>
    <n v="616"/>
    <d v="2020-07-19T09:00:00"/>
    <d v="2020-07-19T00:00:00"/>
    <s v="09:00"/>
    <d v="2020-07-23T14:00:00"/>
    <d v="2020-07-23T00:00:00"/>
    <d v="1899-12-30T14:00:00"/>
    <n v="3"/>
    <x v="2"/>
    <x v="2"/>
    <x v="11"/>
    <n v="64"/>
    <n v="3.15"/>
    <n v="1.36"/>
    <s v="Alive"/>
    <n v="90"/>
    <n v="166"/>
    <n v="80"/>
    <n v="25"/>
    <s v="Poor"/>
    <n v="0"/>
    <n v="3.15E-2"/>
    <n v="1.3600000000000001E-2"/>
    <d v="1900-01-03T05:00:00"/>
  </r>
  <r>
    <n v="617"/>
    <d v="2020-07-23T07:00:00"/>
    <d v="2020-07-23T00:00:00"/>
    <s v="07:00"/>
    <d v="2020-07-23T14:32:00"/>
    <d v="2020-07-23T00:00:00"/>
    <d v="1899-12-30T14:32:00"/>
    <n v="5"/>
    <x v="1"/>
    <x v="2"/>
    <x v="1"/>
    <n v="74"/>
    <n v="7.08"/>
    <n v="2.16"/>
    <s v="Alive"/>
    <n v="62"/>
    <n v="171"/>
    <n v="79"/>
    <n v="20"/>
    <s v="Very Poor"/>
    <n v="0"/>
    <n v="7.0800000000000002E-2"/>
    <n v="2.1600000000000001E-2"/>
    <d v="1899-12-30T07:32:00"/>
  </r>
  <r>
    <n v="618"/>
    <d v="2020-07-23T07:04:00"/>
    <d v="2020-07-23T00:00:00"/>
    <s v="07:04"/>
    <d v="2020-07-23T15:43:00"/>
    <d v="2020-07-23T00:00:00"/>
    <d v="1899-12-30T15:43:00"/>
    <n v="4"/>
    <x v="1"/>
    <x v="0"/>
    <x v="15"/>
    <n v="73"/>
    <n v="5.13"/>
    <n v="1.21"/>
    <s v="Alive"/>
    <n v="70"/>
    <n v="175"/>
    <n v="96"/>
    <n v="55"/>
    <s v="Good"/>
    <n v="0"/>
    <n v="5.1299999999999998E-2"/>
    <n v="1.21E-2"/>
    <d v="1899-12-30T08:39:00"/>
  </r>
  <r>
    <n v="619"/>
    <d v="2020-07-22T11:00:00"/>
    <d v="2020-07-22T00:00:00"/>
    <s v="11:00"/>
    <d v="2020-07-24T08:16:00"/>
    <d v="2020-07-24T00:00:00"/>
    <d v="1899-12-30T08:16:00"/>
    <n v="5"/>
    <x v="2"/>
    <x v="3"/>
    <x v="11"/>
    <n v="61"/>
    <n v="4.38"/>
    <n v="3.45"/>
    <s v="Alive"/>
    <n v="70"/>
    <n v="162"/>
    <n v="77"/>
    <n v="60"/>
    <s v="Good"/>
    <n v="0"/>
    <n v="4.3799999999999999E-2"/>
    <n v="3.4500000000000003E-2"/>
    <d v="1899-12-31T21:16:00"/>
  </r>
  <r>
    <n v="620"/>
    <d v="2020-07-23T15:21:00"/>
    <d v="2020-07-23T00:00:00"/>
    <s v="15:21"/>
    <d v="2020-07-24T08:31:00"/>
    <d v="2020-07-24T00:00:00"/>
    <d v="1899-12-30T08:31:00"/>
    <n v="3"/>
    <x v="1"/>
    <x v="0"/>
    <x v="15"/>
    <n v="64"/>
    <n v="2.09"/>
    <n v="0.96"/>
    <s v="Alive"/>
    <n v="78"/>
    <n v="166"/>
    <n v="116"/>
    <n v="42"/>
    <s v="Moderate"/>
    <n v="0"/>
    <n v="2.0899999999999998E-2"/>
    <n v="9.5999999999999992E-3"/>
    <d v="1899-12-30T17:10:00"/>
  </r>
  <r>
    <n v="621"/>
    <d v="2020-07-24T07:00:00"/>
    <d v="2020-07-24T00:00:00"/>
    <s v="07:00"/>
    <d v="2020-07-24T13:57:00"/>
    <d v="2020-07-24T00:00:00"/>
    <d v="1899-12-30T13:57:00"/>
    <n v="5"/>
    <x v="1"/>
    <x v="2"/>
    <x v="11"/>
    <n v="72"/>
    <n v="2.0699999999999998"/>
    <n v="0.78"/>
    <s v="Alive"/>
    <n v="72"/>
    <n v="170"/>
    <n v="131"/>
    <n v="65"/>
    <s v="Good"/>
    <n v="0"/>
    <n v="2.07E-2"/>
    <n v="7.8000000000000005E-3"/>
    <d v="1899-12-30T06:57:00"/>
  </r>
  <r>
    <n v="622"/>
    <d v="2020-07-24T16:00:00"/>
    <d v="2020-07-24T00:00:00"/>
    <s v="16:00"/>
    <d v="2020-07-25T07:50:00"/>
    <d v="2020-07-25T00:00:00"/>
    <d v="1899-12-30T07:50:00"/>
    <n v="5"/>
    <x v="1"/>
    <x v="2"/>
    <x v="11"/>
    <n v="73"/>
    <n v="3.05"/>
    <n v="1.35"/>
    <s v="Alive"/>
    <n v="75"/>
    <n v="173"/>
    <n v="74"/>
    <n v="60"/>
    <s v="Good"/>
    <n v="0"/>
    <n v="3.0499999999999999E-2"/>
    <n v="1.3500000000000002E-2"/>
    <d v="1899-12-30T15:50:00"/>
  </r>
  <r>
    <n v="623"/>
    <d v="2020-07-24T14:00:00"/>
    <d v="2020-07-24T00:00:00"/>
    <s v="14:00"/>
    <d v="2020-07-25T08:00:00"/>
    <d v="2020-07-25T00:00:00"/>
    <d v="1899-12-30T08:00:00"/>
    <n v="4"/>
    <x v="1"/>
    <x v="0"/>
    <x v="6"/>
    <n v="85"/>
    <n v="12.4"/>
    <n v="3.79"/>
    <s v="Alive"/>
    <n v="135"/>
    <n v="170"/>
    <n v="73"/>
    <n v="52"/>
    <s v="Good"/>
    <n v="0"/>
    <n v="0.124"/>
    <n v="3.7900000000000003E-2"/>
    <d v="1899-12-30T18:00:00"/>
  </r>
  <r>
    <n v="624"/>
    <d v="2020-07-25T07:00:00"/>
    <d v="2020-07-25T00:00:00"/>
    <s v="07:00"/>
    <d v="2020-07-25T11:25:00"/>
    <d v="2020-07-25T00:00:00"/>
    <d v="1899-12-30T11:25:00"/>
    <n v="4"/>
    <x v="1"/>
    <x v="0"/>
    <x v="6"/>
    <n v="78"/>
    <n v="13.94"/>
    <n v="3.33"/>
    <s v="Alive"/>
    <n v="78"/>
    <n v="168"/>
    <n v="78"/>
    <n v="41"/>
    <s v="Moderate"/>
    <n v="0"/>
    <n v="0.1394"/>
    <n v="3.3300000000000003E-2"/>
    <d v="1899-12-30T04:25:00"/>
  </r>
  <r>
    <n v="625"/>
    <d v="2020-07-25T06:35:00"/>
    <d v="2020-07-25T00:00:00"/>
    <s v="06:35"/>
    <d v="2020-07-25T12:20:00"/>
    <d v="2020-07-25T00:00:00"/>
    <d v="1899-12-30T12:20:00"/>
    <n v="5"/>
    <x v="1"/>
    <x v="2"/>
    <x v="11"/>
    <n v="69"/>
    <n v="2.76"/>
    <n v="0.87"/>
    <s v="Alive"/>
    <n v="87"/>
    <n v="170"/>
    <n v="80"/>
    <n v="55"/>
    <s v="Good"/>
    <n v="0"/>
    <n v="2.76E-2"/>
    <n v="8.6999999999999994E-3"/>
    <d v="1899-12-30T05:45:00"/>
  </r>
  <r>
    <n v="626"/>
    <d v="2020-07-25T16:45:00"/>
    <d v="2020-07-25T00:00:00"/>
    <s v="16:45"/>
    <d v="2020-07-26T16:10:00"/>
    <d v="2020-07-26T00:00:00"/>
    <d v="1899-12-30T16:10:00"/>
    <n v="4"/>
    <x v="0"/>
    <x v="2"/>
    <x v="2"/>
    <n v="55"/>
    <n v="1.78"/>
    <n v="1.01"/>
    <s v="Alive"/>
    <n v="122"/>
    <n v="147"/>
    <n v="75"/>
    <n v="25"/>
    <s v="Poor"/>
    <n v="0"/>
    <n v="1.78E-2"/>
    <n v="1.01E-2"/>
    <d v="1899-12-30T23:25:00"/>
  </r>
  <r>
    <n v="627"/>
    <d v="2020-07-26T16:00:00"/>
    <d v="2020-07-26T00:00:00"/>
    <s v="16:00"/>
    <d v="2020-07-27T07:55:00"/>
    <d v="2020-07-27T00:00:00"/>
    <d v="1899-12-30T07:55:00"/>
    <n v="3"/>
    <x v="1"/>
    <x v="1"/>
    <x v="3"/>
    <n v="72"/>
    <n v="3.51"/>
    <n v="4.67"/>
    <s v="Alive"/>
    <n v="91"/>
    <n v="157"/>
    <n v="82"/>
    <n v="42"/>
    <s v="Moderate"/>
    <n v="0"/>
    <n v="3.5099999999999999E-2"/>
    <n v="4.6699999999999998E-2"/>
    <d v="1899-12-30T15:55:00"/>
  </r>
  <r>
    <n v="628"/>
    <d v="2020-07-26T16:00:00"/>
    <d v="2020-07-26T00:00:00"/>
    <s v="16:00"/>
    <d v="2020-07-27T08:06:00"/>
    <d v="2020-07-27T00:00:00"/>
    <d v="1899-12-30T08:06:00"/>
    <n v="4"/>
    <x v="1"/>
    <x v="4"/>
    <x v="1"/>
    <n v="80"/>
    <n v="16.5"/>
    <n v="4.3099999999999996"/>
    <s v="Alive"/>
    <n v="165"/>
    <n v="180"/>
    <n v="110"/>
    <n v="65"/>
    <s v="Good"/>
    <n v="0"/>
    <n v="0.16500000000000001"/>
    <n v="4.3099999999999999E-2"/>
    <d v="1899-12-30T16:06:00"/>
  </r>
  <r>
    <n v="629"/>
    <d v="2020-07-25T10:21:00"/>
    <d v="2020-07-25T00:00:00"/>
    <s v="10:21"/>
    <d v="2020-07-27T08:55:00"/>
    <d v="2020-07-27T00:00:00"/>
    <d v="1899-12-30T08:55:00"/>
    <n v="2"/>
    <x v="1"/>
    <x v="3"/>
    <x v="12"/>
    <n v="47"/>
    <n v="9.01"/>
    <n v="5.38"/>
    <s v="Alive"/>
    <n v="67"/>
    <n v="179"/>
    <n v="61"/>
    <n v="55"/>
    <s v="Good"/>
    <n v="0"/>
    <n v="9.01E-2"/>
    <n v="5.3800000000000001E-2"/>
    <d v="1899-12-31T22:34:00"/>
  </r>
  <r>
    <n v="630"/>
    <d v="2020-07-26T16:00:00"/>
    <d v="2020-07-26T00:00:00"/>
    <s v="16:00"/>
    <d v="2020-07-27T13:41:00"/>
    <d v="2020-07-27T00:00:00"/>
    <d v="1899-12-30T13:41:00"/>
    <n v="4"/>
    <x v="1"/>
    <x v="3"/>
    <x v="15"/>
    <n v="70"/>
    <n v="4.24"/>
    <n v="2.41"/>
    <s v="Alive"/>
    <n v="107"/>
    <n v="183"/>
    <n v="84"/>
    <n v="35"/>
    <s v="Moderate"/>
    <n v="0"/>
    <n v="4.24E-2"/>
    <n v="2.41E-2"/>
    <d v="1899-12-30T21:41:00"/>
  </r>
  <r>
    <n v="631"/>
    <d v="2020-07-27T13:58:00"/>
    <d v="2020-07-27T00:00:00"/>
    <s v="13:58"/>
    <d v="2020-07-27T14:32:00"/>
    <d v="2020-07-27T00:00:00"/>
    <d v="1899-12-30T14:32:00"/>
    <n v="2"/>
    <x v="0"/>
    <x v="4"/>
    <x v="1"/>
    <n v="40"/>
    <n v="12.15"/>
    <n v="4.04"/>
    <s v="Alive"/>
    <n v="81"/>
    <n v="184"/>
    <n v="114"/>
    <n v="27"/>
    <s v="Poor"/>
    <n v="0"/>
    <n v="0.1215"/>
    <n v="4.0399999999999998E-2"/>
    <d v="1899-12-30T00:34:00"/>
  </r>
  <r>
    <n v="632"/>
    <d v="2020-07-22T21:51:00"/>
    <d v="2020-07-22T00:00:00"/>
    <s v="21:51"/>
    <d v="2020-07-27T14:59:00"/>
    <d v="2020-07-27T00:00:00"/>
    <d v="1899-12-30T14:59:00"/>
    <n v="3"/>
    <x v="2"/>
    <x v="2"/>
    <x v="3"/>
    <n v="73"/>
    <n v="5.6"/>
    <n v="2.11"/>
    <s v="Alive"/>
    <n v="121"/>
    <n v="157"/>
    <n v="67"/>
    <n v="43"/>
    <s v="Moderate"/>
    <n v="0"/>
    <n v="5.5999999999999994E-2"/>
    <n v="2.1099999999999997E-2"/>
    <d v="1900-01-03T17:08:00"/>
  </r>
  <r>
    <n v="633"/>
    <d v="2020-07-27T16:00:00"/>
    <d v="2020-07-27T00:00:00"/>
    <s v="16:00"/>
    <d v="2020-07-28T08:05:00"/>
    <d v="2020-07-28T00:00:00"/>
    <d v="1899-12-30T08:05:00"/>
    <n v="3"/>
    <x v="1"/>
    <x v="4"/>
    <x v="4"/>
    <n v="55"/>
    <n v="6.35"/>
    <n v="2.72"/>
    <s v="Alive"/>
    <n v="78"/>
    <n v="159"/>
    <n v="58"/>
    <n v="50"/>
    <s v="Moderate"/>
    <n v="0"/>
    <n v="6.3500000000000001E-2"/>
    <n v="2.7200000000000002E-2"/>
    <d v="1899-12-30T16:05:00"/>
  </r>
  <r>
    <n v="634"/>
    <d v="2020-07-27T16:00:00"/>
    <d v="2020-07-27T00:00:00"/>
    <s v="16:00"/>
    <d v="2020-07-28T08:07:00"/>
    <d v="2020-07-28T00:00:00"/>
    <d v="1899-12-30T08:07:00"/>
    <n v="5"/>
    <x v="1"/>
    <x v="3"/>
    <x v="3"/>
    <n v="68"/>
    <n v="5.09"/>
    <n v="3.68"/>
    <s v="Alive"/>
    <n v="79"/>
    <n v="170"/>
    <n v="61"/>
    <n v="62"/>
    <s v="Good"/>
    <n v="0"/>
    <n v="5.0900000000000001E-2"/>
    <n v="3.6799999999999999E-2"/>
    <d v="1899-12-30T16:07:00"/>
  </r>
  <r>
    <n v="635"/>
    <d v="2020-07-16T11:51:00"/>
    <d v="2020-07-16T00:00:00"/>
    <s v="11:51"/>
    <d v="2020-07-28T08:14:00"/>
    <d v="2020-07-28T00:00:00"/>
    <d v="1899-12-30T08:14:00"/>
    <n v="4"/>
    <x v="2"/>
    <x v="0"/>
    <x v="2"/>
    <n v="44"/>
    <n v="5.44"/>
    <n v="7.6"/>
    <s v="Alive"/>
    <n v="68"/>
    <n v="175"/>
    <n v="74"/>
    <n v="35"/>
    <s v="Moderate"/>
    <n v="0"/>
    <n v="5.4400000000000004E-2"/>
    <n v="7.5999999999999998E-2"/>
    <d v="1900-01-10T20:23:00"/>
  </r>
  <r>
    <n v="636"/>
    <d v="2020-07-26T16:00:00"/>
    <d v="2020-07-26T00:00:00"/>
    <s v="16:00"/>
    <d v="2020-07-28T08:16:00"/>
    <d v="2020-07-28T00:00:00"/>
    <d v="1899-12-30T08:16:00"/>
    <n v="6"/>
    <x v="1"/>
    <x v="3"/>
    <x v="1"/>
    <n v="72"/>
    <n v="4.8099999999999996"/>
    <n v="2.0299999999999998"/>
    <s v="Alive"/>
    <n v="61"/>
    <n v="190"/>
    <n v="120"/>
    <n v="55"/>
    <s v="Good"/>
    <n v="0"/>
    <n v="4.8099999999999997E-2"/>
    <n v="2.0299999999999999E-2"/>
    <d v="1899-12-31T16:16:00"/>
  </r>
  <r>
    <n v="637"/>
    <d v="2020-07-28T11:22:00"/>
    <d v="2020-07-28T00:00:00"/>
    <s v="11:22"/>
    <d v="2020-07-28T11:28:00"/>
    <d v="2020-07-28T00:00:00"/>
    <d v="1899-12-30T11:28:00"/>
    <n v="1"/>
    <x v="0"/>
    <x v="4"/>
    <x v="11"/>
    <n v="76"/>
    <n v="30.05"/>
    <n v="4.1100000000000003"/>
    <s v="Alive"/>
    <n v="85"/>
    <n v="156"/>
    <n v="57"/>
    <n v="55"/>
    <s v="Good"/>
    <n v="0"/>
    <n v="0.30049999999999999"/>
    <n v="4.1100000000000005E-2"/>
    <d v="1899-12-30T00:06:00"/>
  </r>
  <r>
    <n v="638"/>
    <d v="2020-07-27T08:49:00"/>
    <d v="2020-07-27T00:00:00"/>
    <s v="08:49"/>
    <d v="2020-07-28T13:01:00"/>
    <d v="2020-07-28T00:00:00"/>
    <d v="1899-12-30T13:01:00"/>
    <n v="4"/>
    <x v="1"/>
    <x v="0"/>
    <x v="2"/>
    <n v="82"/>
    <n v="8.9700000000000006"/>
    <n v="4.0199999999999996"/>
    <s v="Alive"/>
    <n v="185"/>
    <n v="182"/>
    <n v="95"/>
    <n v="17"/>
    <s v="Very Poor"/>
    <n v="0"/>
    <n v="8.9700000000000002E-2"/>
    <n v="4.0199999999999993E-2"/>
    <d v="1899-12-31T04:12:00"/>
  </r>
  <r>
    <n v="639"/>
    <d v="2020-07-28T07:00:00"/>
    <d v="2020-07-28T00:00:00"/>
    <s v="07:00"/>
    <d v="2020-07-28T13:20:00"/>
    <d v="2020-07-28T00:00:00"/>
    <d v="1899-12-30T13:20:00"/>
    <n v="3"/>
    <x v="1"/>
    <x v="2"/>
    <x v="4"/>
    <n v="69"/>
    <n v="3.23"/>
    <n v="2.09"/>
    <s v="Alive"/>
    <n v="71"/>
    <n v="174"/>
    <n v="85"/>
    <n v="51"/>
    <s v="Good"/>
    <n v="0"/>
    <n v="3.2300000000000002E-2"/>
    <n v="2.0899999999999998E-2"/>
    <d v="1899-12-30T06:20:00"/>
  </r>
  <r>
    <n v="640"/>
    <d v="2020-07-27T11:40:00"/>
    <d v="2020-07-27T00:00:00"/>
    <s v="11:40"/>
    <d v="2020-07-28T14:08:00"/>
    <d v="2020-07-28T00:00:00"/>
    <d v="1899-12-30T14:08:00"/>
    <n v="6"/>
    <x v="1"/>
    <x v="4"/>
    <x v="1"/>
    <n v="61"/>
    <n v="7.19"/>
    <n v="1.23"/>
    <s v="Alive"/>
    <n v="91"/>
    <n v="155"/>
    <n v="56"/>
    <n v="53"/>
    <s v="Good"/>
    <n v="0"/>
    <n v="7.1900000000000006E-2"/>
    <n v="1.23E-2"/>
    <d v="1899-12-31T02:28:00"/>
  </r>
  <r>
    <n v="641"/>
    <d v="2020-07-28T07:00:00"/>
    <d v="2020-07-28T00:00:00"/>
    <s v="07:00"/>
    <d v="2020-07-28T14:30:00"/>
    <d v="2020-07-28T00:00:00"/>
    <d v="1899-12-30T14:30:00"/>
    <n v="5"/>
    <x v="1"/>
    <x v="2"/>
    <x v="3"/>
    <n v="53"/>
    <n v="2.54"/>
    <n v="2.21"/>
    <s v="Alive"/>
    <n v="61"/>
    <n v="156"/>
    <n v="66"/>
    <n v="65"/>
    <s v="Good"/>
    <n v="0"/>
    <n v="2.5399999999999999E-2"/>
    <n v="2.2099999999999998E-2"/>
    <d v="1899-12-30T07:30:00"/>
  </r>
  <r>
    <n v="642"/>
    <d v="2020-07-28T16:14:00"/>
    <d v="2020-07-28T00:00:00"/>
    <s v="16:14"/>
    <d v="2020-07-29T08:12:00"/>
    <d v="2020-07-29T00:00:00"/>
    <d v="1899-12-30T08:12:00"/>
    <n v="6"/>
    <x v="1"/>
    <x v="0"/>
    <x v="0"/>
    <n v="50"/>
    <n v="1.51"/>
    <n v="0.5"/>
    <s v="Alive"/>
    <n v="95"/>
    <n v="173"/>
    <n v="84"/>
    <n v="73"/>
    <s v="Good"/>
    <n v="0"/>
    <n v="1.5100000000000001E-2"/>
    <n v="5.0000000000000001E-3"/>
    <d v="1899-12-30T15:58:00"/>
  </r>
  <r>
    <n v="643"/>
    <d v="2020-07-13T12:31:00"/>
    <d v="2020-07-13T00:00:00"/>
    <s v="12:31"/>
    <d v="2020-07-29T08:12:00"/>
    <d v="2020-07-29T00:00:00"/>
    <d v="1899-12-30T08:12:00"/>
    <n v="3"/>
    <x v="2"/>
    <x v="2"/>
    <x v="16"/>
    <n v="58"/>
    <n v="3.15"/>
    <n v="1.93"/>
    <s v="Alive"/>
    <n v="75"/>
    <n v="165"/>
    <n v="57"/>
    <n v="66"/>
    <s v="Good"/>
    <n v="0"/>
    <n v="3.15E-2"/>
    <n v="1.9299999999999998E-2"/>
    <d v="1900-01-14T19:41:00"/>
  </r>
  <r>
    <n v="644"/>
    <d v="2020-07-29T07:22:00"/>
    <d v="2020-07-29T00:00:00"/>
    <s v="07:22"/>
    <d v="2020-07-29T12:55:00"/>
    <d v="2020-07-29T00:00:00"/>
    <d v="1899-12-30T12:55:00"/>
    <n v="6"/>
    <x v="1"/>
    <x v="2"/>
    <x v="0"/>
    <n v="54"/>
    <n v="0.88"/>
    <n v="0.5"/>
    <s v="Alive"/>
    <n v="91"/>
    <n v="170"/>
    <n v="85"/>
    <n v="20"/>
    <s v="Very Poor"/>
    <n v="0"/>
    <n v="8.8000000000000005E-3"/>
    <n v="5.0000000000000001E-3"/>
    <d v="1899-12-30T05:33:00"/>
  </r>
  <r>
    <n v="645"/>
    <d v="2020-07-30T07:00:00"/>
    <d v="2020-07-30T00:00:00"/>
    <s v="07:00"/>
    <d v="2020-07-30T12:00:00"/>
    <d v="2020-07-30T00:00:00"/>
    <d v="1899-12-30T12:00:00"/>
    <n v="3"/>
    <x v="1"/>
    <x v="2"/>
    <x v="1"/>
    <n v="76"/>
    <n v="2.69"/>
    <n v="1.07"/>
    <s v="Alive"/>
    <n v="65"/>
    <n v="170"/>
    <n v="93"/>
    <n v="44"/>
    <s v="Moderate"/>
    <n v="0"/>
    <n v="2.69E-2"/>
    <n v="1.0700000000000001E-2"/>
    <d v="1899-12-30T05:00:00"/>
  </r>
  <r>
    <n v="646"/>
    <d v="2020-07-30T07:00:00"/>
    <d v="2020-07-30T00:00:00"/>
    <s v="07:00"/>
    <d v="2020-07-30T12:15:00"/>
    <d v="2020-07-30T00:00:00"/>
    <d v="1899-12-30T12:15:00"/>
    <n v="5"/>
    <x v="1"/>
    <x v="0"/>
    <x v="2"/>
    <n v="62"/>
    <n v="2.5299999999999998"/>
    <n v="2.2999999999999998"/>
    <s v="Alive"/>
    <n v="67"/>
    <n v="158"/>
    <n v="65"/>
    <n v="55"/>
    <s v="Good"/>
    <n v="0"/>
    <n v="2.53E-2"/>
    <n v="2.3E-2"/>
    <d v="1899-12-30T05:15:00"/>
  </r>
  <r>
    <n v="647"/>
    <d v="2020-07-30T06:55:00"/>
    <d v="2020-07-30T00:00:00"/>
    <s v="06:55"/>
    <d v="2020-07-30T12:45:00"/>
    <d v="2020-07-30T00:00:00"/>
    <d v="1899-12-30T12:45:00"/>
    <n v="6"/>
    <x v="1"/>
    <x v="0"/>
    <x v="6"/>
    <n v="48"/>
    <n v="3.37"/>
    <n v="3.33"/>
    <s v="Alive"/>
    <n v="96"/>
    <n v="155"/>
    <n v="68"/>
    <n v="34"/>
    <s v="Moderate"/>
    <n v="0"/>
    <n v="3.3700000000000001E-2"/>
    <n v="3.3300000000000003E-2"/>
    <d v="1899-12-30T05:50:00"/>
  </r>
  <r>
    <n v="648"/>
    <d v="2020-07-11T10:00:00"/>
    <d v="2020-07-11T00:00:00"/>
    <s v="10:00"/>
    <d v="2020-07-30T13:20:00"/>
    <d v="2020-07-30T00:00:00"/>
    <d v="1899-12-30T13:20:00"/>
    <n v="4"/>
    <x v="2"/>
    <x v="3"/>
    <x v="12"/>
    <n v="88"/>
    <n v="15.41"/>
    <n v="8.9499999999999993"/>
    <s v="Alive"/>
    <n v="76"/>
    <n v="175"/>
    <n v="78"/>
    <n v="55"/>
    <s v="Good"/>
    <n v="0"/>
    <n v="0.15410000000000001"/>
    <n v="8.9499999999999996E-2"/>
    <d v="1900-01-18T03:20:00"/>
  </r>
  <r>
    <n v="649"/>
    <d v="2020-07-30T20:46:00"/>
    <d v="2020-07-30T00:00:00"/>
    <s v="20:46"/>
    <d v="2020-07-31T04:54:00"/>
    <d v="2020-07-31T00:00:00"/>
    <d v="1899-12-30T04:54:00"/>
    <n v="1"/>
    <x v="0"/>
    <x v="0"/>
    <x v="2"/>
    <n v="64"/>
    <n v="29.7"/>
    <n v="3.25"/>
    <s v="Alive"/>
    <n v="164"/>
    <n v="165"/>
    <n v="63"/>
    <n v="53"/>
    <s v="Good"/>
    <n v="0"/>
    <n v="0.29699999999999999"/>
    <n v="3.2500000000000001E-2"/>
    <d v="1899-12-30T08:08:00"/>
  </r>
  <r>
    <n v="650"/>
    <d v="2020-07-30T16:15:00"/>
    <d v="2020-07-30T00:00:00"/>
    <s v="16:15"/>
    <d v="2020-07-31T08:00:00"/>
    <d v="2020-07-31T00:00:00"/>
    <d v="1899-12-30T08:00:00"/>
    <n v="3"/>
    <x v="1"/>
    <x v="2"/>
    <x v="16"/>
    <n v="76"/>
    <n v="2.69"/>
    <n v="1.07"/>
    <s v="Alive"/>
    <n v="65"/>
    <n v="175"/>
    <n v="87"/>
    <n v="55"/>
    <s v="Good"/>
    <n v="0"/>
    <n v="2.69E-2"/>
    <n v="1.0700000000000001E-2"/>
    <d v="1899-12-30T15:45:00"/>
  </r>
  <r>
    <n v="651"/>
    <d v="2020-07-30T16:01:00"/>
    <d v="2020-07-30T00:00:00"/>
    <s v="16:01"/>
    <d v="2020-07-31T08:12:00"/>
    <d v="2020-07-31T00:00:00"/>
    <d v="1899-12-30T08:12:00"/>
    <n v="4"/>
    <x v="1"/>
    <x v="2"/>
    <x v="11"/>
    <n v="61"/>
    <n v="1.39"/>
    <n v="0.71"/>
    <s v="Alive"/>
    <n v="71"/>
    <n v="163"/>
    <n v="85"/>
    <n v="51"/>
    <s v="Good"/>
    <n v="0"/>
    <n v="1.3899999999999999E-2"/>
    <n v="7.0999999999999995E-3"/>
    <d v="1899-12-30T16:11:00"/>
  </r>
  <r>
    <n v="652"/>
    <d v="2020-07-15T13:54:00"/>
    <d v="2020-07-15T00:00:00"/>
    <s v="13:54"/>
    <d v="2020-07-31T12:01:00"/>
    <d v="2020-07-31T00:00:00"/>
    <d v="1899-12-30T12:01:00"/>
    <n v="4"/>
    <x v="2"/>
    <x v="2"/>
    <x v="11"/>
    <n v="80"/>
    <n v="9.24"/>
    <n v="4.33"/>
    <s v="Alive"/>
    <n v="84"/>
    <n v="164"/>
    <n v="95"/>
    <n v="50"/>
    <s v="Moderate"/>
    <n v="0"/>
    <n v="9.2399999999999996E-2"/>
    <n v="4.3299999999999998E-2"/>
    <d v="1900-01-14T22:07:00"/>
  </r>
  <r>
    <n v="653"/>
    <d v="2020-07-31T07:00:00"/>
    <d v="2020-07-31T00:00:00"/>
    <s v="07:00"/>
    <d v="2020-07-31T14:37:00"/>
    <d v="2020-07-31T00:00:00"/>
    <d v="1899-12-30T14:37:00"/>
    <n v="3"/>
    <x v="1"/>
    <x v="0"/>
    <x v="16"/>
    <n v="69"/>
    <n v="2.89"/>
    <n v="0.72"/>
    <s v="Alive"/>
    <n v="102"/>
    <n v="172"/>
    <n v="74"/>
    <n v="58"/>
    <s v="Good"/>
    <n v="0"/>
    <n v="2.8900000000000002E-2"/>
    <n v="7.1999999999999998E-3"/>
    <d v="1899-12-30T07:37:00"/>
  </r>
  <r>
    <n v="654"/>
    <d v="2020-07-31T16:00:00"/>
    <d v="2020-07-31T00:00:00"/>
    <s v="16:00"/>
    <d v="2020-08-01T08:15:00"/>
    <d v="2020-08-01T00:00:00"/>
    <d v="1899-12-30T08:15:00"/>
    <n v="5"/>
    <x v="1"/>
    <x v="2"/>
    <x v="4"/>
    <n v="67"/>
    <n v="6.34"/>
    <n v="2.8"/>
    <s v="Alive"/>
    <n v="66"/>
    <n v="163"/>
    <n v="62"/>
    <n v="50"/>
    <s v="Moderate"/>
    <n v="0"/>
    <n v="6.3399999999999998E-2"/>
    <n v="2.7999999999999997E-2"/>
    <d v="1899-12-30T16:15:00"/>
  </r>
  <r>
    <n v="655"/>
    <d v="2020-07-25T15:40:00"/>
    <d v="2020-07-25T00:00:00"/>
    <s v="15:40"/>
    <d v="2020-08-01T13:16:00"/>
    <d v="2020-08-01T00:00:00"/>
    <d v="1899-12-30T13:16:00"/>
    <n v="5"/>
    <x v="2"/>
    <x v="2"/>
    <x v="4"/>
    <n v="64"/>
    <n v="5.9"/>
    <n v="2.77"/>
    <s v="Alive"/>
    <n v="77"/>
    <n v="168"/>
    <n v="79"/>
    <n v="18"/>
    <s v="Very Poor"/>
    <n v="0"/>
    <n v="5.9000000000000004E-2"/>
    <n v="2.7699999999999999E-2"/>
    <d v="1900-01-05T21:36:00"/>
  </r>
  <r>
    <n v="656"/>
    <d v="2020-08-02T16:00:00"/>
    <d v="2020-08-02T00:00:00"/>
    <s v="16:00"/>
    <d v="2020-08-03T08:05:00"/>
    <d v="2020-08-03T00:00:00"/>
    <d v="1899-12-30T08:05:00"/>
    <n v="4"/>
    <x v="1"/>
    <x v="0"/>
    <x v="12"/>
    <n v="63"/>
    <n v="1.96"/>
    <n v="1.04"/>
    <s v="Alive"/>
    <n v="116"/>
    <n v="165"/>
    <n v="62"/>
    <n v="57"/>
    <s v="Good"/>
    <n v="0"/>
    <n v="1.9599999999999999E-2"/>
    <n v="1.04E-2"/>
    <d v="1899-12-30T16:05:00"/>
  </r>
  <r>
    <n v="657"/>
    <d v="2020-08-02T15:00:00"/>
    <d v="2020-08-02T00:00:00"/>
    <s v="15:00"/>
    <d v="2020-08-03T08:08:00"/>
    <d v="2020-08-03T00:00:00"/>
    <d v="1899-12-30T08:08:00"/>
    <n v="2"/>
    <x v="1"/>
    <x v="2"/>
    <x v="15"/>
    <n v="72"/>
    <n v="2.0699999999999998"/>
    <n v="1.81"/>
    <s v="Alive"/>
    <n v="109"/>
    <n v="159"/>
    <n v="79"/>
    <n v="70"/>
    <s v="Good"/>
    <n v="0"/>
    <n v="2.07E-2"/>
    <n v="1.8100000000000002E-2"/>
    <d v="1899-12-30T17:08:00"/>
  </r>
  <r>
    <n v="658"/>
    <d v="2020-08-02T16:00:00"/>
    <d v="2020-08-02T00:00:00"/>
    <s v="16:00"/>
    <d v="2020-08-03T08:13:00"/>
    <d v="2020-08-03T00:00:00"/>
    <d v="1899-12-30T08:13:00"/>
    <n v="6"/>
    <x v="1"/>
    <x v="3"/>
    <x v="1"/>
    <n v="84"/>
    <n v="13.48"/>
    <n v="23.42"/>
    <s v="Alive"/>
    <n v="80"/>
    <n v="183"/>
    <n v="101"/>
    <n v="26"/>
    <s v="Poor"/>
    <n v="0"/>
    <n v="0.1348"/>
    <n v="0.23420000000000002"/>
    <d v="1899-12-30T16:13:00"/>
  </r>
  <r>
    <n v="659"/>
    <d v="2020-08-01T15:15:00"/>
    <d v="2020-08-01T00:00:00"/>
    <s v="15:15"/>
    <d v="2020-08-03T08:18:00"/>
    <d v="2020-08-03T00:00:00"/>
    <d v="1899-12-30T08:18:00"/>
    <n v="5"/>
    <x v="1"/>
    <x v="3"/>
    <x v="6"/>
    <n v="75"/>
    <n v="4.25"/>
    <n v="2.2799999999999998"/>
    <s v="Alive"/>
    <n v="64"/>
    <n v="172"/>
    <n v="75"/>
    <n v="69"/>
    <s v="Good"/>
    <n v="0"/>
    <n v="4.2500000000000003E-2"/>
    <n v="2.2799999999999997E-2"/>
    <d v="1899-12-31T17:03:00"/>
  </r>
  <r>
    <n v="660"/>
    <d v="2020-07-26T11:00:00"/>
    <d v="2020-07-26T00:00:00"/>
    <s v="11:00"/>
    <d v="2020-08-03T11:03:00"/>
    <d v="2020-08-03T00:00:00"/>
    <d v="1899-12-30T11:03:00"/>
    <n v="2"/>
    <x v="2"/>
    <x v="2"/>
    <x v="15"/>
    <n v="72"/>
    <n v="3.52"/>
    <n v="1.56"/>
    <s v="Alive"/>
    <n v="70"/>
    <n v="180"/>
    <n v="70"/>
    <n v="52"/>
    <s v="Good"/>
    <n v="0"/>
    <n v="3.5200000000000002E-2"/>
    <n v="1.5600000000000001E-2"/>
    <d v="1900-01-07T00:03:00"/>
  </r>
  <r>
    <n v="661"/>
    <d v="2020-08-03T07:06:00"/>
    <d v="2020-08-03T00:00:00"/>
    <s v="07:06"/>
    <d v="2020-08-03T12:15:00"/>
    <d v="2020-08-03T00:00:00"/>
    <d v="1899-12-30T12:15:00"/>
    <n v="4"/>
    <x v="1"/>
    <x v="0"/>
    <x v="12"/>
    <n v="70"/>
    <n v="3.08"/>
    <n v="0.74"/>
    <s v="Alive"/>
    <n v="106"/>
    <n v="184"/>
    <n v="91"/>
    <n v="67"/>
    <s v="Good"/>
    <n v="0"/>
    <n v="3.0800000000000001E-2"/>
    <n v="7.4000000000000003E-3"/>
    <d v="1899-12-30T05:09:00"/>
  </r>
  <r>
    <n v="662"/>
    <d v="2020-08-03T07:04:00"/>
    <d v="2020-08-03T00:00:00"/>
    <s v="07:04"/>
    <d v="2020-08-03T12:55:00"/>
    <d v="2020-08-03T00:00:00"/>
    <d v="1899-12-30T12:55:00"/>
    <n v="6"/>
    <x v="1"/>
    <x v="4"/>
    <x v="1"/>
    <n v="53"/>
    <n v="17.63"/>
    <n v="4.57"/>
    <s v="Alive"/>
    <n v="81"/>
    <n v="167"/>
    <n v="85"/>
    <n v="55"/>
    <s v="Good"/>
    <n v="0"/>
    <n v="0.17629999999999998"/>
    <n v="4.5700000000000005E-2"/>
    <d v="1899-12-30T05:51:00"/>
  </r>
  <r>
    <n v="663"/>
    <d v="2020-07-14T09:36:00"/>
    <d v="2020-07-14T00:00:00"/>
    <s v="09:36"/>
    <d v="2020-08-03T13:35:00"/>
    <d v="2020-08-03T00:00:00"/>
    <d v="1899-12-30T13:35:00"/>
    <n v="5"/>
    <x v="2"/>
    <x v="2"/>
    <x v="6"/>
    <n v="77"/>
    <n v="7.19"/>
    <n v="2.64"/>
    <s v="Alive"/>
    <n v="103"/>
    <n v="177"/>
    <n v="84"/>
    <n v="42"/>
    <s v="Moderate"/>
    <n v="0"/>
    <n v="7.1900000000000006E-2"/>
    <n v="2.64E-2"/>
    <d v="1900-01-19T03:59:00"/>
  </r>
  <r>
    <n v="664"/>
    <d v="2020-08-03T11:43:00"/>
    <d v="2020-08-03T00:00:00"/>
    <s v="11:43"/>
    <d v="2020-08-03T20:05:00"/>
    <d v="2020-08-03T00:00:00"/>
    <d v="1899-12-30T20:05:00"/>
    <n v="4"/>
    <x v="0"/>
    <x v="2"/>
    <x v="1"/>
    <n v="59"/>
    <n v="28.98"/>
    <n v="24.94"/>
    <s v="Alive"/>
    <n v="70"/>
    <n v="180"/>
    <n v="98"/>
    <n v="50"/>
    <s v="Moderate"/>
    <n v="0"/>
    <n v="0.2898"/>
    <n v="0.24940000000000001"/>
    <d v="1899-12-30T08:22:00"/>
  </r>
  <r>
    <n v="665"/>
    <d v="2020-08-03T16:17:00"/>
    <d v="2020-08-03T00:00:00"/>
    <s v="16:17"/>
    <d v="2020-08-04T08:00:00"/>
    <d v="2020-08-04T00:00:00"/>
    <d v="1899-12-30T08:00:00"/>
    <n v="6"/>
    <x v="1"/>
    <x v="3"/>
    <x v="4"/>
    <n v="64"/>
    <n v="2.88"/>
    <n v="2.4300000000000002"/>
    <s v="Alive"/>
    <n v="79"/>
    <n v="176"/>
    <n v="74"/>
    <n v="48"/>
    <s v="Moderate"/>
    <n v="0"/>
    <n v="2.8799999999999999E-2"/>
    <n v="2.4300000000000002E-2"/>
    <d v="1899-12-30T15:43:00"/>
  </r>
  <r>
    <n v="666"/>
    <d v="2020-08-03T16:00:00"/>
    <d v="2020-08-03T00:00:00"/>
    <s v="16:00"/>
    <d v="2020-08-04T08:17:00"/>
    <d v="2020-08-04T00:00:00"/>
    <d v="1899-12-30T08:17:00"/>
    <n v="4"/>
    <x v="1"/>
    <x v="4"/>
    <x v="0"/>
    <n v="66"/>
    <n v="7.21"/>
    <n v="3.25"/>
    <s v="Alive"/>
    <n v="61"/>
    <n v="171"/>
    <n v="70"/>
    <n v="70"/>
    <s v="Good"/>
    <n v="0"/>
    <n v="7.2099999999999997E-2"/>
    <n v="3.2500000000000001E-2"/>
    <d v="1899-12-30T16:17:00"/>
  </r>
  <r>
    <n v="667"/>
    <d v="2020-08-02T11:00:00"/>
    <d v="2020-08-02T00:00:00"/>
    <s v="11:00"/>
    <d v="2020-08-04T08:25:00"/>
    <d v="2020-08-04T00:00:00"/>
    <d v="1899-12-30T08:25:00"/>
    <n v="5"/>
    <x v="2"/>
    <x v="4"/>
    <x v="3"/>
    <n v="78"/>
    <n v="37.46"/>
    <n v="9.68"/>
    <s v="Died"/>
    <n v="62"/>
    <n v="157"/>
    <n v="67"/>
    <n v="55"/>
    <s v="Good"/>
    <n v="1"/>
    <n v="0.37459999999999999"/>
    <n v="9.6799999999999997E-2"/>
    <d v="1899-12-31T21:25:00"/>
  </r>
  <r>
    <n v="668"/>
    <d v="2020-08-03T16:09:00"/>
    <d v="2020-08-03T00:00:00"/>
    <s v="16:09"/>
    <d v="2020-08-04T09:35:00"/>
    <d v="2020-08-04T00:00:00"/>
    <d v="1899-12-30T09:35:00"/>
    <n v="3"/>
    <x v="1"/>
    <x v="0"/>
    <x v="16"/>
    <n v="80"/>
    <n v="5.83"/>
    <n v="0.98"/>
    <s v="Alive"/>
    <n v="93"/>
    <n v="176"/>
    <n v="92"/>
    <n v="55"/>
    <s v="Good"/>
    <n v="0"/>
    <n v="5.8299999999999998E-2"/>
    <n v="9.7999999999999997E-3"/>
    <d v="1899-12-30T17:26:00"/>
  </r>
  <r>
    <n v="669"/>
    <d v="2020-08-02T14:30:00"/>
    <d v="2020-08-02T00:00:00"/>
    <s v="14:30"/>
    <d v="2020-08-04T13:59:00"/>
    <d v="2020-08-04T00:00:00"/>
    <d v="1899-12-30T13:59:00"/>
    <n v="3"/>
    <x v="2"/>
    <x v="2"/>
    <x v="16"/>
    <n v="59"/>
    <n v="0.88"/>
    <n v="0.77"/>
    <s v="Alive"/>
    <n v="105"/>
    <n v="178"/>
    <n v="87"/>
    <n v="54"/>
    <s v="Good"/>
    <n v="0"/>
    <n v="8.8000000000000005E-3"/>
    <n v="7.7000000000000002E-3"/>
    <d v="1899-12-31T23:29:00"/>
  </r>
  <r>
    <n v="670"/>
    <d v="2020-08-04T07:05:00"/>
    <d v="2020-08-04T00:00:00"/>
    <s v="07:05"/>
    <d v="2020-08-04T14:00:00"/>
    <d v="2020-08-04T00:00:00"/>
    <d v="1899-12-30T14:00:00"/>
    <n v="5"/>
    <x v="1"/>
    <x v="2"/>
    <x v="3"/>
    <n v="76"/>
    <n v="10.26"/>
    <n v="7.59"/>
    <s v="Alive"/>
    <n v="95"/>
    <n v="175"/>
    <n v="67"/>
    <n v="51"/>
    <s v="Good"/>
    <n v="0"/>
    <n v="0.1026"/>
    <n v="7.5899999999999995E-2"/>
    <d v="1899-12-30T06:55:00"/>
  </r>
  <r>
    <n v="671"/>
    <d v="2020-08-04T07:17:00"/>
    <d v="2020-08-04T00:00:00"/>
    <s v="07:17"/>
    <d v="2020-08-04T15:25:00"/>
    <d v="2020-08-04T00:00:00"/>
    <d v="1899-12-30T15:25:00"/>
    <n v="6"/>
    <x v="1"/>
    <x v="2"/>
    <x v="4"/>
    <n v="72"/>
    <n v="3.11"/>
    <n v="0.96"/>
    <s v="Alive"/>
    <n v="126"/>
    <n v="182"/>
    <n v="93"/>
    <n v="55"/>
    <s v="Good"/>
    <n v="0"/>
    <n v="3.1099999999999999E-2"/>
    <n v="9.5999999999999992E-3"/>
    <d v="1899-12-30T08:08:00"/>
  </r>
  <r>
    <n v="672"/>
    <d v="2020-08-04T15:52:00"/>
    <d v="2020-08-04T00:00:00"/>
    <s v="15:52"/>
    <d v="2020-08-05T07:50:00"/>
    <d v="2020-08-05T00:00:00"/>
    <d v="1899-12-30T07:50:00"/>
    <n v="5"/>
    <x v="1"/>
    <x v="0"/>
    <x v="2"/>
    <n v="80"/>
    <n v="15.66"/>
    <n v="5.03"/>
    <s v="Alive"/>
    <n v="62"/>
    <n v="176"/>
    <n v="74"/>
    <n v="60"/>
    <s v="Good"/>
    <n v="0"/>
    <n v="0.15659999999999999"/>
    <n v="5.0300000000000004E-2"/>
    <d v="1899-12-30T15:58:00"/>
  </r>
  <r>
    <n v="673"/>
    <d v="2020-08-04T16:18:00"/>
    <d v="2020-08-04T00:00:00"/>
    <s v="16:18"/>
    <d v="2020-08-05T08:13:00"/>
    <d v="2020-08-05T00:00:00"/>
    <d v="1899-12-30T08:13:00"/>
    <n v="2"/>
    <x v="1"/>
    <x v="0"/>
    <x v="12"/>
    <n v="60"/>
    <n v="3.65"/>
    <n v="1.01"/>
    <s v="Alive"/>
    <n v="100"/>
    <n v="170"/>
    <n v="70"/>
    <n v="58"/>
    <s v="Good"/>
    <n v="0"/>
    <n v="3.6499999999999998E-2"/>
    <n v="1.01E-2"/>
    <d v="1899-12-30T15:55:00"/>
  </r>
  <r>
    <n v="674"/>
    <d v="2020-08-04T08:45:00"/>
    <d v="2020-08-04T00:00:00"/>
    <s v="08:45"/>
    <d v="2020-08-05T08:15:00"/>
    <d v="2020-08-05T00:00:00"/>
    <d v="1899-12-30T08:15:00"/>
    <n v="4"/>
    <x v="1"/>
    <x v="2"/>
    <x v="15"/>
    <n v="53"/>
    <n v="2.87"/>
    <n v="1.57"/>
    <s v="Alive"/>
    <n v="97"/>
    <n v="168"/>
    <n v="89"/>
    <n v="51"/>
    <s v="Good"/>
    <n v="0"/>
    <n v="2.87E-2"/>
    <n v="1.5700000000000002E-2"/>
    <d v="1899-12-30T23:30:00"/>
  </r>
  <r>
    <n v="675"/>
    <d v="2020-08-03T10:09:00"/>
    <d v="2020-08-03T00:00:00"/>
    <s v="10:09"/>
    <d v="2020-08-05T08:15:00"/>
    <d v="2020-08-05T00:00:00"/>
    <d v="1899-12-30T08:15:00"/>
    <n v="6"/>
    <x v="2"/>
    <x v="3"/>
    <x v="11"/>
    <n v="66"/>
    <n v="4.4800000000000004"/>
    <n v="3.16"/>
    <s v="Alive"/>
    <n v="79"/>
    <n v="177"/>
    <n v="96"/>
    <n v="55"/>
    <s v="Good"/>
    <n v="0"/>
    <n v="4.4800000000000006E-2"/>
    <n v="3.1600000000000003E-2"/>
    <d v="1899-12-31T22:06:00"/>
  </r>
  <r>
    <n v="676"/>
    <d v="2020-08-04T15:06:00"/>
    <d v="2020-08-04T00:00:00"/>
    <s v="15:06"/>
    <d v="2020-08-05T11:11:00"/>
    <d v="2020-08-05T00:00:00"/>
    <d v="1899-12-30T11:11:00"/>
    <n v="2"/>
    <x v="1"/>
    <x v="0"/>
    <x v="12"/>
    <n v="78"/>
    <n v="5.14"/>
    <n v="1.25"/>
    <s v="Alive"/>
    <n v="83"/>
    <n v="172"/>
    <n v="99"/>
    <n v="35"/>
    <s v="Moderate"/>
    <n v="0"/>
    <n v="5.1399999999999994E-2"/>
    <n v="1.2500000000000001E-2"/>
    <d v="1899-12-30T20:05:00"/>
  </r>
  <r>
    <n v="677"/>
    <d v="2020-08-05T07:00:00"/>
    <d v="2020-08-05T00:00:00"/>
    <s v="07:00"/>
    <d v="2020-08-05T12:40:00"/>
    <d v="2020-08-05T00:00:00"/>
    <d v="1899-12-30T12:40:00"/>
    <n v="5"/>
    <x v="1"/>
    <x v="0"/>
    <x v="2"/>
    <n v="62"/>
    <n v="5.19"/>
    <n v="5.32"/>
    <s v="Alive"/>
    <n v="80"/>
    <n v="168"/>
    <n v="100"/>
    <n v="55"/>
    <s v="Good"/>
    <n v="0"/>
    <n v="5.1900000000000002E-2"/>
    <n v="5.3200000000000004E-2"/>
    <d v="1899-12-30T05:40:00"/>
  </r>
  <r>
    <n v="678"/>
    <d v="2020-08-03T10:11:00"/>
    <d v="2020-08-03T00:00:00"/>
    <s v="10:11"/>
    <d v="2020-08-05T13:43:00"/>
    <d v="2020-08-05T00:00:00"/>
    <d v="1899-12-30T13:43:00"/>
    <n v="4"/>
    <x v="2"/>
    <x v="2"/>
    <x v="15"/>
    <n v="64"/>
    <n v="2.1"/>
    <n v="1"/>
    <s v="Alive"/>
    <n v="79"/>
    <n v="158"/>
    <n v="68"/>
    <n v="25"/>
    <s v="Poor"/>
    <n v="0"/>
    <n v="2.1000000000000001E-2"/>
    <n v="0.01"/>
    <d v="1900-01-01T03:32:00"/>
  </r>
  <r>
    <n v="679"/>
    <d v="2020-08-04T16:22:00"/>
    <d v="2020-08-04T00:00:00"/>
    <s v="16:22"/>
    <d v="2020-08-05T14:30:00"/>
    <d v="2020-08-05T00:00:00"/>
    <d v="1899-12-30T14:30:00"/>
    <n v="2"/>
    <x v="1"/>
    <x v="0"/>
    <x v="12"/>
    <n v="68"/>
    <n v="4.0599999999999996"/>
    <n v="2.79"/>
    <s v="Alive"/>
    <n v="131"/>
    <n v="163"/>
    <n v="88"/>
    <n v="35"/>
    <s v="Moderate"/>
    <n v="0"/>
    <n v="4.0599999999999997E-2"/>
    <n v="2.7900000000000001E-2"/>
    <d v="1899-12-30T22:08:00"/>
  </r>
  <r>
    <n v="680"/>
    <d v="2020-08-01T01:06:00"/>
    <d v="2020-08-01T00:00:00"/>
    <s v="01:06"/>
    <d v="2020-08-05T15:03:00"/>
    <d v="2020-08-05T00:00:00"/>
    <d v="1899-12-30T15:03:00"/>
    <n v="6"/>
    <x v="2"/>
    <x v="2"/>
    <x v="11"/>
    <n v="66"/>
    <n v="13.1"/>
    <n v="8.26"/>
    <s v="Alive"/>
    <n v="86"/>
    <n v="164"/>
    <n v="77"/>
    <n v="70"/>
    <s v="Good"/>
    <n v="0"/>
    <n v="0.13100000000000001"/>
    <n v="8.2599999999999993E-2"/>
    <d v="1900-01-03T13:57:00"/>
  </r>
  <r>
    <n v="681"/>
    <d v="2020-08-05T15:38:00"/>
    <d v="2020-08-05T00:00:00"/>
    <s v="15:38"/>
    <d v="2020-08-06T08:08:00"/>
    <d v="2020-08-06T00:00:00"/>
    <d v="1899-12-30T08:08:00"/>
    <n v="3"/>
    <x v="1"/>
    <x v="0"/>
    <x v="6"/>
    <n v="81"/>
    <n v="6.21"/>
    <n v="1.22"/>
    <s v="Alive"/>
    <n v="76"/>
    <n v="160"/>
    <n v="101"/>
    <n v="35"/>
    <s v="Moderate"/>
    <n v="0"/>
    <n v="6.2100000000000002E-2"/>
    <n v="1.2199999999999999E-2"/>
    <d v="1899-12-30T16:30:00"/>
  </r>
  <r>
    <n v="682"/>
    <d v="2020-08-06T06:00:00"/>
    <d v="2020-08-06T00:00:00"/>
    <s v="06:00"/>
    <d v="2020-08-06T08:10:00"/>
    <d v="2020-08-06T00:00:00"/>
    <d v="1899-12-30T08:10:00"/>
    <n v="5"/>
    <x v="1"/>
    <x v="2"/>
    <x v="1"/>
    <n v="65"/>
    <n v="1.81"/>
    <n v="0.8"/>
    <s v="Alive"/>
    <n v="130"/>
    <n v="163"/>
    <n v="82"/>
    <n v="25"/>
    <s v="Poor"/>
    <n v="0"/>
    <n v="1.8100000000000002E-2"/>
    <n v="8.0000000000000002E-3"/>
    <d v="1899-12-30T02:10:00"/>
  </r>
  <r>
    <n v="683"/>
    <d v="2020-07-22T10:00:00"/>
    <d v="2020-07-22T00:00:00"/>
    <s v="10:00"/>
    <d v="2020-08-06T08:25:00"/>
    <d v="2020-08-06T00:00:00"/>
    <d v="1899-12-30T08:25:00"/>
    <n v="6"/>
    <x v="2"/>
    <x v="2"/>
    <x v="11"/>
    <n v="61"/>
    <n v="1.72"/>
    <n v="0.82"/>
    <s v="Alive"/>
    <n v="68"/>
    <n v="179"/>
    <n v="91"/>
    <n v="29"/>
    <s v="Poor"/>
    <n v="0"/>
    <n v="1.72E-2"/>
    <n v="8.199999999999999E-3"/>
    <d v="1900-01-13T22:25:00"/>
  </r>
  <r>
    <n v="684"/>
    <d v="2020-06-27T18:48:00"/>
    <d v="2020-06-27T00:00:00"/>
    <s v="18:48"/>
    <d v="2020-08-06T09:10:00"/>
    <d v="2020-08-06T00:00:00"/>
    <d v="1899-12-30T09:10:00"/>
    <n v="4"/>
    <x v="2"/>
    <x v="0"/>
    <x v="7"/>
    <n v="78"/>
    <n v="40.89"/>
    <n v="17.23"/>
    <s v="Alive"/>
    <n v="91"/>
    <n v="171"/>
    <n v="81"/>
    <n v="53"/>
    <s v="Good"/>
    <n v="0"/>
    <n v="0.40889999999999999"/>
    <n v="0.17230000000000001"/>
    <d v="1900-02-07T14:22:00"/>
  </r>
  <r>
    <n v="685"/>
    <d v="2020-08-06T07:15:00"/>
    <d v="2020-08-06T00:00:00"/>
    <s v="07:15"/>
    <d v="2020-08-06T11:57:00"/>
    <d v="2020-08-06T00:00:00"/>
    <d v="1899-12-30T11:57:00"/>
    <n v="3"/>
    <x v="1"/>
    <x v="3"/>
    <x v="6"/>
    <n v="77"/>
    <n v="11.21"/>
    <n v="2.29"/>
    <s v="Alive"/>
    <n v="86"/>
    <n v="151"/>
    <n v="71"/>
    <n v="65"/>
    <s v="Good"/>
    <n v="0"/>
    <n v="0.11210000000000001"/>
    <n v="2.29E-2"/>
    <d v="1899-12-30T04:42:00"/>
  </r>
  <r>
    <n v="686"/>
    <d v="2020-07-30T13:00:00"/>
    <d v="2020-07-30T00:00:00"/>
    <s v="13:00"/>
    <d v="2020-08-06T14:00:00"/>
    <d v="2020-08-06T00:00:00"/>
    <d v="1899-12-30T14:00:00"/>
    <n v="5"/>
    <x v="1"/>
    <x v="2"/>
    <x v="1"/>
    <n v="52"/>
    <n v="2.2799999999999998"/>
    <n v="1.51"/>
    <s v="Alive"/>
    <n v="76"/>
    <n v="169"/>
    <n v="106"/>
    <n v="47"/>
    <s v="Moderate"/>
    <n v="0"/>
    <n v="2.2799999999999997E-2"/>
    <n v="1.5100000000000001E-2"/>
    <d v="1900-01-06T01:00:00"/>
  </r>
  <r>
    <n v="687"/>
    <d v="2020-08-06T07:00:00"/>
    <d v="2020-08-06T00:00:00"/>
    <s v="07:00"/>
    <d v="2020-08-06T14:17:00"/>
    <d v="2020-08-06T00:00:00"/>
    <d v="1899-12-30T14:17:00"/>
    <n v="6"/>
    <x v="1"/>
    <x v="2"/>
    <x v="11"/>
    <n v="59"/>
    <n v="0.88"/>
    <n v="0.5"/>
    <s v="Alive"/>
    <n v="93"/>
    <n v="180"/>
    <n v="115"/>
    <n v="73"/>
    <s v="Good"/>
    <n v="0"/>
    <n v="8.8000000000000005E-3"/>
    <n v="5.0000000000000001E-3"/>
    <d v="1899-12-30T07:17:00"/>
  </r>
  <r>
    <n v="688"/>
    <d v="2020-08-06T16:11:00"/>
    <d v="2020-08-06T00:00:00"/>
    <s v="16:11"/>
    <d v="2020-08-07T08:09:00"/>
    <d v="2020-08-07T00:00:00"/>
    <d v="1899-12-30T08:09:00"/>
    <n v="5"/>
    <x v="2"/>
    <x v="2"/>
    <x v="16"/>
    <n v="79"/>
    <n v="8.6999999999999993"/>
    <n v="2.46"/>
    <s v="Alive"/>
    <n v="86"/>
    <n v="180"/>
    <n v="80"/>
    <n v="60"/>
    <s v="Good"/>
    <n v="0"/>
    <n v="8.6999999999999994E-2"/>
    <n v="2.46E-2"/>
    <d v="1899-12-30T15:58:00"/>
  </r>
  <r>
    <n v="689"/>
    <d v="2020-08-06T16:10:00"/>
    <d v="2020-08-06T00:00:00"/>
    <s v="16:10"/>
    <d v="2020-08-07T08:11:00"/>
    <d v="2020-08-07T00:00:00"/>
    <d v="1899-12-30T08:11:00"/>
    <n v="4"/>
    <x v="2"/>
    <x v="0"/>
    <x v="4"/>
    <n v="69"/>
    <n v="3.98"/>
    <n v="3.16"/>
    <s v="Alive"/>
    <n v="69"/>
    <n v="170"/>
    <n v="90"/>
    <n v="60"/>
    <s v="Good"/>
    <n v="0"/>
    <n v="3.9800000000000002E-2"/>
    <n v="3.1600000000000003E-2"/>
    <d v="1899-12-30T16:01:00"/>
  </r>
  <r>
    <n v="690"/>
    <d v="2020-08-07T07:00:00"/>
    <d v="2020-08-07T00:00:00"/>
    <s v="07:00"/>
    <d v="2020-08-07T13:12:00"/>
    <d v="2020-08-07T00:00:00"/>
    <d v="1899-12-30T13:12:00"/>
    <n v="5"/>
    <x v="1"/>
    <x v="3"/>
    <x v="16"/>
    <n v="74"/>
    <n v="3.99"/>
    <n v="1.42"/>
    <s v="Alive"/>
    <n v="80"/>
    <n v="153"/>
    <n v="58"/>
    <n v="45"/>
    <s v="Moderate"/>
    <n v="0"/>
    <n v="3.9900000000000005E-2"/>
    <n v="1.4199999999999999E-2"/>
    <d v="1899-12-30T06:12:00"/>
  </r>
  <r>
    <n v="691"/>
    <d v="2020-08-07T07:31:00"/>
    <d v="2020-08-07T00:00:00"/>
    <s v="07:31"/>
    <d v="2020-08-07T14:44:00"/>
    <d v="2020-08-07T00:00:00"/>
    <d v="1899-12-30T14:44:00"/>
    <n v="4"/>
    <x v="1"/>
    <x v="2"/>
    <x v="4"/>
    <n v="75"/>
    <n v="2.52"/>
    <n v="1.1499999999999999"/>
    <s v="Alive"/>
    <n v="75"/>
    <n v="152"/>
    <n v="104"/>
    <n v="48"/>
    <s v="Moderate"/>
    <n v="0"/>
    <n v="2.52E-2"/>
    <n v="1.15E-2"/>
    <d v="1899-12-30T07:13:00"/>
  </r>
  <r>
    <n v="692"/>
    <d v="2020-08-07T13:50:00"/>
    <d v="2020-08-07T00:00:00"/>
    <s v="13:50"/>
    <d v="2020-08-08T08:10:00"/>
    <d v="2020-08-08T00:00:00"/>
    <d v="1899-12-30T08:10:00"/>
    <n v="5"/>
    <x v="1"/>
    <x v="0"/>
    <x v="8"/>
    <n v="41"/>
    <n v="1.33"/>
    <n v="0.76"/>
    <s v="Alive"/>
    <n v="77"/>
    <n v="193"/>
    <n v="110"/>
    <n v="52"/>
    <s v="Good"/>
    <n v="0"/>
    <n v="1.3300000000000001E-2"/>
    <n v="7.6E-3"/>
    <d v="1899-12-30T18:20:00"/>
  </r>
  <r>
    <n v="694"/>
    <d v="2020-08-07T14:07:00"/>
    <d v="2020-08-07T00:00:00"/>
    <s v="14:07"/>
    <d v="2020-08-08T13:10:00"/>
    <d v="2020-08-08T00:00:00"/>
    <d v="1899-12-30T13:10:00"/>
    <n v="5"/>
    <x v="1"/>
    <x v="0"/>
    <x v="8"/>
    <n v="71"/>
    <n v="4.5199999999999996"/>
    <n v="0.95"/>
    <s v="Alive"/>
    <n v="95"/>
    <n v="170"/>
    <n v="70"/>
    <n v="55"/>
    <s v="Good"/>
    <n v="0"/>
    <n v="4.5199999999999997E-2"/>
    <n v="9.4999999999999998E-3"/>
    <d v="1899-12-30T23:03:00"/>
  </r>
  <r>
    <n v="695"/>
    <d v="2020-08-09T11:21:00"/>
    <d v="2020-08-09T00:00:00"/>
    <s v="11:21"/>
    <d v="2020-08-09T12:05:00"/>
    <d v="2020-08-09T00:00:00"/>
    <d v="1899-12-30T12:05:00"/>
    <n v="1"/>
    <x v="0"/>
    <x v="4"/>
    <x v="11"/>
    <n v="55"/>
    <n v="9.0399999999999991"/>
    <n v="4.8499999999999996"/>
    <s v="Died"/>
    <n v="93"/>
    <n v="169"/>
    <n v="74"/>
    <n v="60"/>
    <s v="Good"/>
    <n v="1"/>
    <n v="9.0399999999999994E-2"/>
    <n v="4.8499999999999995E-2"/>
    <d v="1899-12-30T00:44:00"/>
  </r>
  <r>
    <n v="696"/>
    <d v="2020-08-09T14:13:00"/>
    <d v="2020-08-09T00:00:00"/>
    <s v="14:13"/>
    <d v="2020-08-10T07:31:00"/>
    <d v="2020-08-10T00:00:00"/>
    <d v="1899-12-30T07:31:00"/>
    <n v="5"/>
    <x v="1"/>
    <x v="4"/>
    <x v="3"/>
    <n v="71"/>
    <n v="34.22"/>
    <n v="10.18"/>
    <s v="Alive"/>
    <n v="82"/>
    <n v="168"/>
    <n v="84"/>
    <n v="55"/>
    <s v="Good"/>
    <n v="0"/>
    <n v="0.3422"/>
    <n v="0.1018"/>
    <d v="1899-12-30T17:18:00"/>
  </r>
  <r>
    <n v="697"/>
    <d v="2020-08-09T13:56:00"/>
    <d v="2020-08-09T00:00:00"/>
    <s v="13:56"/>
    <d v="2020-08-10T08:10:00"/>
    <d v="2020-08-10T00:00:00"/>
    <d v="1899-12-30T08:10:00"/>
    <n v="3"/>
    <x v="1"/>
    <x v="3"/>
    <x v="0"/>
    <n v="79"/>
    <n v="5.48"/>
    <n v="2.3199999999999998"/>
    <s v="Alive"/>
    <n v="74"/>
    <n v="160"/>
    <n v="54"/>
    <n v="50"/>
    <s v="Moderate"/>
    <n v="0"/>
    <n v="5.4800000000000001E-2"/>
    <n v="2.3199999999999998E-2"/>
    <d v="1899-12-30T18:14:00"/>
  </r>
  <r>
    <n v="698"/>
    <d v="2020-08-09T16:00:00"/>
    <d v="2020-08-09T00:00:00"/>
    <s v="16:00"/>
    <d v="2020-08-10T08:12:00"/>
    <d v="2020-08-10T00:00:00"/>
    <d v="1899-12-30T08:12:00"/>
    <n v="4"/>
    <x v="1"/>
    <x v="3"/>
    <x v="12"/>
    <n v="77"/>
    <n v="6.59"/>
    <n v="6.58"/>
    <s v="Alive"/>
    <n v="65"/>
    <n v="175"/>
    <n v="78"/>
    <n v="55"/>
    <s v="Good"/>
    <n v="0"/>
    <n v="6.59E-2"/>
    <n v="6.5799999999999997E-2"/>
    <d v="1899-12-30T16:12:00"/>
  </r>
  <r>
    <n v="699"/>
    <d v="2020-08-10T07:00:00"/>
    <d v="2020-08-10T00:00:00"/>
    <s v="07:00"/>
    <d v="2020-08-10T12:14:00"/>
    <d v="2020-08-10T00:00:00"/>
    <d v="1899-12-30T12:14:00"/>
    <n v="4"/>
    <x v="1"/>
    <x v="0"/>
    <x v="12"/>
    <n v="71"/>
    <n v="7.81"/>
    <n v="2.91"/>
    <s v="Alive"/>
    <n v="76"/>
    <n v="169"/>
    <n v="96"/>
    <n v="60"/>
    <s v="Good"/>
    <n v="0"/>
    <n v="7.8100000000000003E-2"/>
    <n v="2.9100000000000001E-2"/>
    <d v="1899-12-30T05:14:00"/>
  </r>
  <r>
    <n v="700"/>
    <d v="2020-08-09T14:35:00"/>
    <d v="2020-08-09T00:00:00"/>
    <s v="14:35"/>
    <d v="2020-08-10T12:47:00"/>
    <d v="2020-08-10T00:00:00"/>
    <d v="1899-12-30T12:47:00"/>
    <n v="2"/>
    <x v="1"/>
    <x v="4"/>
    <x v="1"/>
    <n v="49"/>
    <n v="6.9"/>
    <n v="1.31"/>
    <s v="Alive"/>
    <n v="81"/>
    <n v="174"/>
    <n v="83"/>
    <n v="40"/>
    <s v="Moderate"/>
    <n v="0"/>
    <n v="6.9000000000000006E-2"/>
    <n v="1.3100000000000001E-2"/>
    <d v="1899-12-30T22:12:00"/>
  </r>
  <r>
    <n v="701"/>
    <d v="2020-08-05T12:56:00"/>
    <d v="2020-08-05T00:00:00"/>
    <s v="12:56"/>
    <d v="2020-08-10T13:20:00"/>
    <d v="2020-08-10T00:00:00"/>
    <d v="1899-12-30T13:20:00"/>
    <n v="3"/>
    <x v="2"/>
    <x v="2"/>
    <x v="0"/>
    <n v="75"/>
    <n v="5.84"/>
    <n v="2.39"/>
    <s v="Alive"/>
    <n v="77"/>
    <n v="150"/>
    <n v="63"/>
    <n v="55"/>
    <s v="Good"/>
    <n v="0"/>
    <n v="5.8400000000000001E-2"/>
    <n v="2.3900000000000001E-2"/>
    <d v="1900-01-04T00:24:00"/>
  </r>
  <r>
    <n v="702"/>
    <d v="2020-08-10T06:55:00"/>
    <d v="2020-08-10T00:00:00"/>
    <s v="06:55"/>
    <d v="2020-08-10T16:00:00"/>
    <d v="2020-08-10T00:00:00"/>
    <d v="1899-12-30T16:00:00"/>
    <n v="5"/>
    <x v="1"/>
    <x v="2"/>
    <x v="3"/>
    <n v="82"/>
    <n v="10.76"/>
    <n v="4.9800000000000004"/>
    <s v="Alive"/>
    <n v="72"/>
    <n v="178"/>
    <n v="63"/>
    <n v="70"/>
    <s v="Good"/>
    <n v="0"/>
    <n v="0.1076"/>
    <n v="4.9800000000000004E-2"/>
    <d v="1899-12-30T09:05:00"/>
  </r>
  <r>
    <n v="703"/>
    <d v="2020-08-08T12:17:00"/>
    <d v="2020-08-08T00:00:00"/>
    <s v="12:17"/>
    <d v="2020-08-10T16:04:00"/>
    <d v="2020-08-10T00:00:00"/>
    <d v="1899-12-30T16:04:00"/>
    <n v="6"/>
    <x v="2"/>
    <x v="2"/>
    <x v="11"/>
    <n v="58"/>
    <n v="1.51"/>
    <n v="0.89"/>
    <s v="Alive"/>
    <n v="85"/>
    <n v="180"/>
    <n v="125"/>
    <n v="34"/>
    <s v="Moderate"/>
    <n v="0"/>
    <n v="1.5100000000000001E-2"/>
    <n v="8.8999999999999999E-3"/>
    <d v="1900-01-01T03:47:00"/>
  </r>
  <r>
    <n v="704"/>
    <d v="2020-08-10T17:38:00"/>
    <d v="2020-08-10T00:00:00"/>
    <s v="17:38"/>
    <d v="2020-08-11T07:53:00"/>
    <d v="2020-08-11T00:00:00"/>
    <d v="1899-12-30T07:53:00"/>
    <n v="4"/>
    <x v="1"/>
    <x v="0"/>
    <x v="8"/>
    <n v="64"/>
    <n v="2.88"/>
    <n v="0.94"/>
    <s v="Alive"/>
    <n v="88"/>
    <n v="168"/>
    <n v="81"/>
    <n v="65"/>
    <s v="Good"/>
    <n v="0"/>
    <n v="2.8799999999999999E-2"/>
    <n v="9.3999999999999986E-3"/>
    <d v="1899-12-30T14:15:00"/>
  </r>
  <r>
    <n v="705"/>
    <d v="2020-08-09T11:00:00"/>
    <d v="2020-08-09T00:00:00"/>
    <s v="11:00"/>
    <d v="2020-08-11T07:57:00"/>
    <d v="2020-08-11T00:00:00"/>
    <d v="1899-12-30T07:57:00"/>
    <n v="3"/>
    <x v="2"/>
    <x v="0"/>
    <x v="7"/>
    <n v="72"/>
    <n v="5.24"/>
    <n v="2.29"/>
    <s v="Alive"/>
    <n v="105"/>
    <n v="171"/>
    <n v="80"/>
    <n v="60"/>
    <s v="Good"/>
    <n v="0"/>
    <n v="5.2400000000000002E-2"/>
    <n v="2.29E-2"/>
    <d v="1899-12-31T20:57:00"/>
  </r>
  <r>
    <n v="706"/>
    <d v="2020-07-24T09:53:00"/>
    <d v="2020-07-24T00:00:00"/>
    <s v="09:53"/>
    <d v="2020-08-11T08:00:00"/>
    <d v="2020-08-11T00:00:00"/>
    <d v="1899-12-30T08:00:00"/>
    <n v="5"/>
    <x v="2"/>
    <x v="0"/>
    <x v="2"/>
    <n v="40"/>
    <n v="4.4000000000000004"/>
    <n v="1.27"/>
    <s v="Alive"/>
    <n v="103"/>
    <n v="164"/>
    <n v="50"/>
    <n v="24"/>
    <s v="Poor"/>
    <n v="0"/>
    <n v="4.4000000000000004E-2"/>
    <n v="1.2699999999999999E-2"/>
    <d v="1900-01-16T22:07:00"/>
  </r>
  <r>
    <n v="707"/>
    <d v="2020-08-10T16:05:00"/>
    <d v="2020-08-10T00:00:00"/>
    <s v="16:05"/>
    <d v="2020-08-11T08:10:00"/>
    <d v="2020-08-11T00:00:00"/>
    <d v="1899-12-30T08:10:00"/>
    <n v="2"/>
    <x v="1"/>
    <x v="0"/>
    <x v="4"/>
    <n v="66"/>
    <n v="2.38"/>
    <n v="0.8"/>
    <s v="Alive"/>
    <n v="162"/>
    <n v="170"/>
    <n v="60"/>
    <n v="65"/>
    <s v="Good"/>
    <n v="0"/>
    <n v="2.3799999999999998E-2"/>
    <n v="8.0000000000000002E-3"/>
    <d v="1899-12-30T16:05:00"/>
  </r>
  <r>
    <n v="708"/>
    <d v="2020-08-11T08:00:00"/>
    <d v="2020-08-11T00:00:00"/>
    <s v="08:00"/>
    <d v="2020-08-11T12:33:00"/>
    <d v="2020-08-11T00:00:00"/>
    <d v="1899-12-30T12:33:00"/>
    <n v="2"/>
    <x v="1"/>
    <x v="3"/>
    <x v="4"/>
    <n v="61"/>
    <n v="1.72"/>
    <n v="1.48"/>
    <s v="Alive"/>
    <n v="85"/>
    <n v="166"/>
    <n v="94"/>
    <n v="40"/>
    <s v="Moderate"/>
    <n v="0"/>
    <n v="1.72E-2"/>
    <n v="1.4800000000000001E-2"/>
    <d v="1899-12-30T04:33:00"/>
  </r>
  <r>
    <n v="709"/>
    <d v="2020-07-29T11:00:00"/>
    <d v="2020-07-29T00:00:00"/>
    <s v="11:00"/>
    <d v="2020-08-11T13:40:00"/>
    <d v="2020-08-11T00:00:00"/>
    <d v="1899-12-30T13:40:00"/>
    <n v="4"/>
    <x v="1"/>
    <x v="0"/>
    <x v="8"/>
    <n v="77"/>
    <n v="3.94"/>
    <n v="3.12"/>
    <s v="Alive"/>
    <n v="111"/>
    <n v="174"/>
    <n v="84"/>
    <n v="55"/>
    <s v="Good"/>
    <n v="0"/>
    <n v="3.9399999999999998E-2"/>
    <n v="3.1200000000000002E-2"/>
    <d v="1900-01-12T02:40:00"/>
  </r>
  <r>
    <n v="710"/>
    <d v="2020-08-11T07:11:00"/>
    <d v="2020-08-11T00:00:00"/>
    <s v="07:11"/>
    <d v="2020-08-11T14:15:00"/>
    <d v="2020-08-11T00:00:00"/>
    <d v="1899-12-30T14:15:00"/>
    <n v="1"/>
    <x v="1"/>
    <x v="0"/>
    <x v="2"/>
    <n v="77"/>
    <n v="9.69"/>
    <n v="3.54"/>
    <s v="Alive"/>
    <n v="91"/>
    <n v="165"/>
    <n v="100"/>
    <n v="59"/>
    <s v="Good"/>
    <n v="0"/>
    <n v="9.69E-2"/>
    <n v="3.5400000000000001E-2"/>
    <d v="1899-12-30T07:04:00"/>
  </r>
  <r>
    <n v="711"/>
    <d v="2020-08-11T09:32:00"/>
    <d v="2020-08-11T00:00:00"/>
    <s v="09:32"/>
    <d v="2020-08-11T14:28:00"/>
    <d v="2020-08-11T00:00:00"/>
    <d v="1899-12-30T14:28:00"/>
    <n v="5"/>
    <x v="0"/>
    <x v="2"/>
    <x v="15"/>
    <n v="60"/>
    <n v="7.3"/>
    <n v="5.26"/>
    <s v="Alive"/>
    <n v="90"/>
    <n v="171"/>
    <n v="80"/>
    <n v="51"/>
    <s v="Good"/>
    <n v="0"/>
    <n v="7.2999999999999995E-2"/>
    <n v="5.2600000000000001E-2"/>
    <d v="1899-12-30T04:56:00"/>
  </r>
  <r>
    <n v="712"/>
    <d v="2020-08-11T15:06:00"/>
    <d v="2020-08-11T00:00:00"/>
    <s v="15:06"/>
    <d v="2020-08-12T08:15:00"/>
    <d v="2020-08-12T00:00:00"/>
    <d v="1899-12-30T08:15:00"/>
    <n v="4"/>
    <x v="1"/>
    <x v="3"/>
    <x v="15"/>
    <n v="72"/>
    <n v="3.51"/>
    <n v="2.37"/>
    <s v="Alive"/>
    <n v="73"/>
    <n v="180"/>
    <n v="95"/>
    <n v="59"/>
    <s v="Good"/>
    <n v="0"/>
    <n v="3.5099999999999999E-2"/>
    <n v="2.3700000000000002E-2"/>
    <d v="1899-12-30T17:09:00"/>
  </r>
  <r>
    <n v="713"/>
    <d v="2020-08-11T16:00:00"/>
    <d v="2020-08-11T00:00:00"/>
    <s v="16:00"/>
    <d v="2020-08-12T08:16:00"/>
    <d v="2020-08-12T00:00:00"/>
    <d v="1899-12-30T08:16:00"/>
    <n v="1"/>
    <x v="1"/>
    <x v="0"/>
    <x v="12"/>
    <n v="75"/>
    <n v="8.59"/>
    <n v="3.72"/>
    <s v="Alive"/>
    <n v="16.100000000000001"/>
    <n v="173"/>
    <n v="83"/>
    <n v="60"/>
    <s v="Good"/>
    <n v="0"/>
    <n v="8.5900000000000004E-2"/>
    <n v="3.7200000000000004E-2"/>
    <d v="1899-12-30T16:16:00"/>
  </r>
  <r>
    <n v="714"/>
    <d v="2020-08-10T11:10:00"/>
    <d v="2020-08-10T00:00:00"/>
    <s v="11:10"/>
    <d v="2020-08-12T08:17:00"/>
    <d v="2020-08-12T00:00:00"/>
    <d v="1899-12-30T08:17:00"/>
    <n v="2"/>
    <x v="2"/>
    <x v="2"/>
    <x v="11"/>
    <n v="70"/>
    <n v="3.09"/>
    <n v="1.06"/>
    <s v="Alive"/>
    <n v="64"/>
    <n v="172"/>
    <n v="71"/>
    <n v="55"/>
    <s v="Good"/>
    <n v="0"/>
    <n v="3.0899999999999997E-2"/>
    <n v="1.06E-2"/>
    <d v="1899-12-31T21:07:00"/>
  </r>
  <r>
    <n v="715"/>
    <d v="2020-08-11T15:50:00"/>
    <d v="2020-08-11T00:00:00"/>
    <s v="15:50"/>
    <d v="2020-08-12T08:23:00"/>
    <d v="2020-08-12T00:00:00"/>
    <d v="1899-12-30T08:23:00"/>
    <n v="5"/>
    <x v="1"/>
    <x v="0"/>
    <x v="2"/>
    <n v="73"/>
    <n v="3.74"/>
    <n v="0.73"/>
    <s v="Alive"/>
    <n v="101"/>
    <n v="177"/>
    <n v="84"/>
    <n v="55"/>
    <s v="Good"/>
    <n v="0"/>
    <n v="3.7400000000000003E-2"/>
    <n v="7.3000000000000001E-3"/>
    <d v="1899-12-30T16:33:00"/>
  </r>
  <r>
    <n v="716"/>
    <d v="2020-08-12T07:02:00"/>
    <d v="2020-08-12T00:00:00"/>
    <s v="07:02"/>
    <d v="2020-08-12T11:18:00"/>
    <d v="2020-08-12T00:00:00"/>
    <d v="1899-12-30T11:18:00"/>
    <n v="1"/>
    <x v="1"/>
    <x v="3"/>
    <x v="12"/>
    <n v="70"/>
    <n v="4.24"/>
    <n v="2.56"/>
    <s v="Alive"/>
    <n v="111"/>
    <n v="174"/>
    <n v="85"/>
    <n v="40"/>
    <s v="Moderate"/>
    <n v="0"/>
    <n v="4.24E-2"/>
    <n v="2.5600000000000001E-2"/>
    <d v="1899-12-30T04:16:00"/>
  </r>
  <r>
    <n v="717"/>
    <d v="2020-08-12T07:06:00"/>
    <d v="2020-08-12T00:00:00"/>
    <s v="07:06"/>
    <d v="2020-08-12T13:40:00"/>
    <d v="2020-08-12T00:00:00"/>
    <d v="1899-12-30T13:40:00"/>
    <n v="2"/>
    <x v="1"/>
    <x v="0"/>
    <x v="11"/>
    <n v="47"/>
    <n v="1.51"/>
    <n v="0.56000000000000005"/>
    <s v="Alive"/>
    <n v="82"/>
    <n v="166"/>
    <n v="94"/>
    <n v="58"/>
    <s v="Good"/>
    <n v="0"/>
    <n v="1.5100000000000001E-2"/>
    <n v="5.6000000000000008E-3"/>
    <d v="1899-12-30T06:34:00"/>
  </r>
  <r>
    <n v="718"/>
    <d v="2020-08-11T08:11:00"/>
    <d v="2020-08-11T00:00:00"/>
    <s v="08:11"/>
    <d v="2020-08-12T21:40:00"/>
    <d v="2020-08-12T00:00:00"/>
    <d v="1899-12-30T21:40:00"/>
    <n v="4"/>
    <x v="0"/>
    <x v="3"/>
    <x v="2"/>
    <n v="75"/>
    <n v="89.79"/>
    <n v="43.03"/>
    <s v="Died"/>
    <n v="125"/>
    <n v="157"/>
    <n v="56"/>
    <n v="60"/>
    <s v="Good"/>
    <n v="1"/>
    <n v="0.89790000000000003"/>
    <n v="0.43030000000000002"/>
    <d v="1899-12-31T13:29:00"/>
  </r>
  <r>
    <n v="719"/>
    <d v="2020-08-11T13:13:00"/>
    <d v="2020-08-11T00:00:00"/>
    <s v="13:13"/>
    <d v="2020-08-13T07:59:00"/>
    <d v="2020-08-13T00:00:00"/>
    <d v="1899-12-30T07:59:00"/>
    <n v="2"/>
    <x v="2"/>
    <x v="2"/>
    <x v="15"/>
    <n v="74"/>
    <n v="5.48"/>
    <n v="2.04"/>
    <s v="Alive"/>
    <n v="123"/>
    <n v="180"/>
    <n v="109"/>
    <n v="31"/>
    <s v="Moderate"/>
    <n v="0"/>
    <n v="5.4800000000000001E-2"/>
    <n v="2.0400000000000001E-2"/>
    <d v="1899-12-31T18:46:00"/>
  </r>
  <r>
    <n v="720"/>
    <d v="2020-08-11T07:07:00"/>
    <d v="2020-08-11T00:00:00"/>
    <s v="07:07"/>
    <d v="2020-08-13T08:10:00"/>
    <d v="2020-08-13T00:00:00"/>
    <d v="1899-12-30T08:10:00"/>
    <n v="4"/>
    <x v="1"/>
    <x v="2"/>
    <x v="7"/>
    <n v="71"/>
    <n v="1.94"/>
    <n v="0.76"/>
    <s v="Alive"/>
    <n v="108"/>
    <n v="184"/>
    <n v="95"/>
    <n v="55"/>
    <s v="Good"/>
    <n v="0"/>
    <n v="1.9400000000000001E-2"/>
    <n v="7.6E-3"/>
    <d v="1900-01-01T01:03:00"/>
  </r>
  <r>
    <n v="721"/>
    <d v="2020-08-09T16:00:00"/>
    <d v="2020-08-09T00:00:00"/>
    <s v="16:00"/>
    <d v="2020-08-13T08:13:00"/>
    <d v="2020-08-13T00:00:00"/>
    <d v="1899-12-30T08:13:00"/>
    <n v="5"/>
    <x v="1"/>
    <x v="0"/>
    <x v="12"/>
    <n v="78"/>
    <n v="5.14"/>
    <n v="2.17"/>
    <s v="Alive"/>
    <n v="78"/>
    <n v="171"/>
    <n v="98"/>
    <n v="55"/>
    <s v="Good"/>
    <n v="0"/>
    <n v="5.1399999999999994E-2"/>
    <n v="2.1700000000000001E-2"/>
    <d v="1900-01-02T16:13:00"/>
  </r>
  <r>
    <n v="722"/>
    <d v="2020-08-13T07:03:00"/>
    <d v="2020-08-13T00:00:00"/>
    <s v="07:03"/>
    <d v="2020-08-13T11:34:00"/>
    <d v="2020-08-13T00:00:00"/>
    <d v="1899-12-30T11:34:00"/>
    <n v="5"/>
    <x v="1"/>
    <x v="0"/>
    <x v="12"/>
    <n v="77"/>
    <n v="7.67"/>
    <n v="3.84"/>
    <s v="Alive"/>
    <n v="87"/>
    <n v="153"/>
    <n v="86"/>
    <n v="55"/>
    <s v="Good"/>
    <n v="0"/>
    <n v="7.6700000000000004E-2"/>
    <n v="3.8399999999999997E-2"/>
    <d v="1899-12-30T04:31:00"/>
  </r>
  <r>
    <n v="723"/>
    <d v="2020-08-11T16:00:00"/>
    <d v="2020-08-11T00:00:00"/>
    <s v="16:00"/>
    <d v="2020-08-14T08:15:00"/>
    <d v="2020-08-14T00:00:00"/>
    <d v="1899-12-30T08:15:00"/>
    <n v="5"/>
    <x v="1"/>
    <x v="0"/>
    <x v="15"/>
    <n v="74"/>
    <n v="3.99"/>
    <n v="1"/>
    <s v="Alive"/>
    <n v="87"/>
    <n v="175"/>
    <n v="106"/>
    <n v="55"/>
    <s v="Good"/>
    <n v="0"/>
    <n v="3.9900000000000005E-2"/>
    <n v="0.01"/>
    <d v="1900-01-01T16:15:00"/>
  </r>
  <r>
    <n v="724"/>
    <d v="2020-08-13T15:34:00"/>
    <d v="2020-08-13T00:00:00"/>
    <s v="15:34"/>
    <d v="2020-08-14T08:20:00"/>
    <d v="2020-08-14T00:00:00"/>
    <d v="1899-12-30T08:20:00"/>
    <n v="4"/>
    <x v="1"/>
    <x v="0"/>
    <x v="7"/>
    <n v="72"/>
    <n v="4.8099999999999996"/>
    <n v="2.0099999999999998"/>
    <s v="Alive"/>
    <n v="75"/>
    <n v="165"/>
    <n v="52"/>
    <n v="55"/>
    <s v="Good"/>
    <n v="0"/>
    <n v="4.8099999999999997E-2"/>
    <n v="2.0099999999999996E-2"/>
    <d v="1899-12-30T16:46:00"/>
  </r>
  <r>
    <n v="725"/>
    <d v="2020-08-13T07:01:00"/>
    <d v="2020-08-13T00:00:00"/>
    <s v="07:01"/>
    <d v="2020-08-14T12:18:00"/>
    <d v="2020-08-14T00:00:00"/>
    <d v="1899-12-30T12:18:00"/>
    <n v="5"/>
    <x v="1"/>
    <x v="2"/>
    <x v="15"/>
    <n v="80"/>
    <n v="4.7699999999999996"/>
    <n v="1.22"/>
    <s v="Alive"/>
    <n v="78"/>
    <n v="174"/>
    <n v="100"/>
    <n v="65"/>
    <s v="Good"/>
    <n v="0"/>
    <n v="4.7699999999999992E-2"/>
    <n v="1.2199999999999999E-2"/>
    <d v="1899-12-31T05:17:00"/>
  </r>
  <r>
    <n v="726"/>
    <d v="2020-08-13T07:07:00"/>
    <d v="2020-08-13T00:00:00"/>
    <s v="07:07"/>
    <d v="2020-08-14T13:06:00"/>
    <d v="2020-08-14T00:00:00"/>
    <d v="1899-12-30T13:06:00"/>
    <n v="4"/>
    <x v="1"/>
    <x v="0"/>
    <x v="7"/>
    <n v="73"/>
    <n v="7.6"/>
    <n v="4.71"/>
    <s v="Alive"/>
    <n v="76"/>
    <n v="183"/>
    <n v="94"/>
    <n v="45"/>
    <s v="Moderate"/>
    <n v="0"/>
    <n v="7.5999999999999998E-2"/>
    <n v="4.7100000000000003E-2"/>
    <d v="1899-12-31T05:59:00"/>
  </r>
  <r>
    <n v="727"/>
    <d v="2020-08-14T14:00:00"/>
    <d v="2020-08-14T00:00:00"/>
    <s v="14:00"/>
    <d v="2020-08-15T08:00:00"/>
    <d v="2020-08-15T00:00:00"/>
    <d v="1899-12-30T08:00:00"/>
    <n v="5"/>
    <x v="1"/>
    <x v="3"/>
    <x v="1"/>
    <n v="74"/>
    <n v="3.99"/>
    <n v="2.2200000000000002"/>
    <s v="Alive"/>
    <n v="64"/>
    <n v="184"/>
    <n v="85"/>
    <n v="40"/>
    <s v="Moderate"/>
    <n v="0"/>
    <n v="3.9900000000000005E-2"/>
    <n v="2.2200000000000001E-2"/>
    <d v="1899-12-30T18:00:00"/>
  </r>
  <r>
    <n v="728"/>
    <d v="2020-08-14T10:18:00"/>
    <d v="2020-08-14T00:00:00"/>
    <s v="10:18"/>
    <d v="2020-08-15T08:12:00"/>
    <d v="2020-08-15T00:00:00"/>
    <d v="1899-12-30T08:12:00"/>
    <n v="4"/>
    <x v="1"/>
    <x v="0"/>
    <x v="6"/>
    <n v="76"/>
    <n v="6.19"/>
    <n v="4.3600000000000003"/>
    <s v="Alive"/>
    <n v="86"/>
    <n v="185"/>
    <n v="118"/>
    <n v="60"/>
    <s v="Good"/>
    <n v="0"/>
    <n v="6.1900000000000004E-2"/>
    <n v="4.36E-2"/>
    <d v="1899-12-30T21:54:00"/>
  </r>
  <r>
    <n v="729"/>
    <d v="2020-08-14T15:52:00"/>
    <d v="2020-08-14T00:00:00"/>
    <s v="15:52"/>
    <d v="2020-08-15T11:05:00"/>
    <d v="2020-08-15T00:00:00"/>
    <d v="1899-12-30T11:05:00"/>
    <n v="4"/>
    <x v="1"/>
    <x v="0"/>
    <x v="12"/>
    <n v="83"/>
    <n v="9.52"/>
    <n v="2.16"/>
    <s v="Alive"/>
    <n v="83"/>
    <n v="162"/>
    <n v="66"/>
    <n v="40"/>
    <s v="Moderate"/>
    <n v="0"/>
    <n v="9.5199999999999993E-2"/>
    <n v="2.1600000000000001E-2"/>
    <d v="1899-12-30T19:13:00"/>
  </r>
  <r>
    <n v="730"/>
    <d v="2020-08-14T13:53:00"/>
    <d v="2020-08-14T00:00:00"/>
    <s v="13:53"/>
    <d v="2020-08-15T12:30:00"/>
    <d v="2020-08-15T00:00:00"/>
    <d v="1899-12-30T12:30:00"/>
    <n v="5"/>
    <x v="1"/>
    <x v="4"/>
    <x v="1"/>
    <n v="71"/>
    <n v="13.11"/>
    <n v="4.16"/>
    <s v="Alive"/>
    <n v="77"/>
    <n v="169"/>
    <n v="95"/>
    <n v="65"/>
    <s v="Good"/>
    <n v="0"/>
    <n v="0.13109999999999999"/>
    <n v="4.1599999999999998E-2"/>
    <d v="1899-12-30T22:37:00"/>
  </r>
  <r>
    <n v="731"/>
    <d v="2020-08-15T16:16:00"/>
    <d v="2020-08-15T00:00:00"/>
    <s v="16:16"/>
    <d v="2020-08-16T09:23:00"/>
    <d v="2020-08-16T00:00:00"/>
    <d v="1899-12-30T09:23:00"/>
    <n v="2"/>
    <x v="0"/>
    <x v="3"/>
    <x v="1"/>
    <n v="83"/>
    <n v="50.05"/>
    <n v="25.98"/>
    <s v="Alive"/>
    <n v="63"/>
    <n v="170"/>
    <n v="80"/>
    <n v="20"/>
    <s v="Very Poor"/>
    <n v="0"/>
    <n v="0.50049999999999994"/>
    <n v="0.25980000000000003"/>
    <d v="1899-12-30T17:07:00"/>
  </r>
  <r>
    <n v="732"/>
    <d v="2020-08-16T16:00:00"/>
    <d v="2020-08-16T00:00:00"/>
    <s v="16:00"/>
    <d v="2020-08-17T08:00:00"/>
    <d v="2020-08-17T00:00:00"/>
    <d v="1899-12-30T08:00:00"/>
    <n v="2"/>
    <x v="1"/>
    <x v="3"/>
    <x v="16"/>
    <n v="72"/>
    <n v="3.51"/>
    <n v="1.35"/>
    <s v="Alive"/>
    <n v="73"/>
    <n v="190"/>
    <n v="138"/>
    <n v="51"/>
    <s v="Good"/>
    <n v="0"/>
    <n v="3.5099999999999999E-2"/>
    <n v="1.3500000000000002E-2"/>
    <d v="1899-12-30T16:00:00"/>
  </r>
  <r>
    <n v="733"/>
    <d v="2020-08-12T15:30:00"/>
    <d v="2020-08-12T00:00:00"/>
    <s v="15:30"/>
    <d v="2020-08-17T08:05:00"/>
    <d v="2020-08-17T00:00:00"/>
    <d v="1899-12-30T08:05:00"/>
    <n v="4"/>
    <x v="1"/>
    <x v="0"/>
    <x v="12"/>
    <n v="61"/>
    <n v="2.37"/>
    <n v="1.23"/>
    <s v="Alive"/>
    <n v="63"/>
    <n v="170"/>
    <n v="81"/>
    <n v="57"/>
    <s v="Good"/>
    <n v="0"/>
    <n v="2.3700000000000002E-2"/>
    <n v="1.23E-2"/>
    <d v="1900-01-03T16:35:00"/>
  </r>
  <r>
    <n v="734"/>
    <d v="2020-08-16T10:46:00"/>
    <d v="2020-08-16T00:00:00"/>
    <s v="10:46"/>
    <d v="2020-08-17T08:07:00"/>
    <d v="2020-08-17T00:00:00"/>
    <d v="1899-12-30T08:07:00"/>
    <n v="5"/>
    <x v="1"/>
    <x v="2"/>
    <x v="15"/>
    <n v="78"/>
    <n v="15.36"/>
    <n v="5.24"/>
    <s v="Alive"/>
    <n v="67"/>
    <n v="186"/>
    <n v="82"/>
    <n v="50"/>
    <s v="Moderate"/>
    <n v="0"/>
    <n v="0.15359999999999999"/>
    <n v="5.2400000000000002E-2"/>
    <d v="1899-12-30T21:21:00"/>
  </r>
  <r>
    <n v="735"/>
    <d v="2020-08-16T16:00:00"/>
    <d v="2020-08-16T00:00:00"/>
    <s v="16:00"/>
    <d v="2020-08-17T08:09:00"/>
    <d v="2020-08-17T00:00:00"/>
    <d v="1899-12-30T08:09:00"/>
    <n v="3"/>
    <x v="1"/>
    <x v="0"/>
    <x v="0"/>
    <n v="71"/>
    <n v="3.29"/>
    <n v="0.76"/>
    <s v="Alive"/>
    <n v="89"/>
    <n v="174"/>
    <n v="76"/>
    <n v="55"/>
    <s v="Good"/>
    <n v="0"/>
    <n v="3.2899999999999999E-2"/>
    <n v="7.6E-3"/>
    <d v="1899-12-30T16:09:00"/>
  </r>
  <r>
    <n v="736"/>
    <d v="2020-08-16T15:00:00"/>
    <d v="2020-08-16T00:00:00"/>
    <s v="15:00"/>
    <d v="2020-08-17T10:48:00"/>
    <d v="2020-08-17T00:00:00"/>
    <d v="1899-12-30T10:48:00"/>
    <n v="6"/>
    <x v="1"/>
    <x v="4"/>
    <x v="1"/>
    <n v="53"/>
    <n v="4.6500000000000004"/>
    <n v="0.96"/>
    <s v="Alive"/>
    <n v="73"/>
    <n v="171"/>
    <n v="86"/>
    <n v="49"/>
    <s v="Moderate"/>
    <n v="0"/>
    <n v="4.6500000000000007E-2"/>
    <n v="9.5999999999999992E-3"/>
    <d v="1899-12-30T19:48:00"/>
  </r>
  <r>
    <n v="737"/>
    <d v="2020-08-11T11:03:00"/>
    <d v="2020-08-11T00:00:00"/>
    <s v="11:03"/>
    <d v="2020-08-17T11:37:00"/>
    <d v="2020-08-17T00:00:00"/>
    <d v="1899-12-30T11:37:00"/>
    <n v="3"/>
    <x v="2"/>
    <x v="3"/>
    <x v="0"/>
    <n v="68"/>
    <n v="6.81"/>
    <n v="3.12"/>
    <s v="Alive"/>
    <n v="81"/>
    <n v="160"/>
    <n v="71"/>
    <n v="47"/>
    <s v="Moderate"/>
    <n v="0"/>
    <n v="6.8099999999999994E-2"/>
    <n v="3.1200000000000002E-2"/>
    <d v="1900-01-05T00:34:00"/>
  </r>
  <r>
    <n v="738"/>
    <d v="2020-08-17T07:00:00"/>
    <d v="2020-08-17T00:00:00"/>
    <s v="07:00"/>
    <d v="2020-08-17T12:44:00"/>
    <d v="2020-08-17T00:00:00"/>
    <d v="1899-12-30T12:44:00"/>
    <n v="4"/>
    <x v="1"/>
    <x v="3"/>
    <x v="12"/>
    <n v="76"/>
    <n v="11.29"/>
    <n v="4.43"/>
    <s v="Alive"/>
    <n v="106"/>
    <n v="163"/>
    <n v="88"/>
    <n v="56"/>
    <s v="Good"/>
    <n v="0"/>
    <n v="0.11289999999999999"/>
    <n v="4.4299999999999999E-2"/>
    <d v="1899-12-30T05:44:00"/>
  </r>
  <r>
    <n v="739"/>
    <d v="2020-08-16T10:57:00"/>
    <d v="2020-08-16T00:00:00"/>
    <s v="10:57"/>
    <d v="2020-08-17T13:15:00"/>
    <d v="2020-08-17T00:00:00"/>
    <d v="1899-12-30T13:15:00"/>
    <n v="5"/>
    <x v="1"/>
    <x v="3"/>
    <x v="15"/>
    <n v="80"/>
    <n v="11.59"/>
    <n v="5.74"/>
    <s v="Alive"/>
    <n v="80"/>
    <n v="170"/>
    <n v="98"/>
    <n v="35"/>
    <s v="Moderate"/>
    <n v="0"/>
    <n v="0.1159"/>
    <n v="5.74E-2"/>
    <d v="1899-12-31T02:18:00"/>
  </r>
  <r>
    <n v="740"/>
    <d v="2020-08-15T12:47:00"/>
    <d v="2020-08-15T00:00:00"/>
    <s v="12:47"/>
    <d v="2020-08-17T14:50:00"/>
    <d v="2020-08-17T00:00:00"/>
    <d v="1899-12-30T14:50:00"/>
    <n v="2"/>
    <x v="2"/>
    <x v="0"/>
    <x v="16"/>
    <n v="78"/>
    <n v="18.489999999999998"/>
    <n v="2.61"/>
    <s v="Alive"/>
    <n v="114"/>
    <n v="167"/>
    <n v="78"/>
    <n v="60"/>
    <s v="Good"/>
    <n v="0"/>
    <n v="0.18489999999999998"/>
    <n v="2.6099999999999998E-2"/>
    <d v="1900-01-01T02:03:00"/>
  </r>
  <r>
    <n v="741"/>
    <d v="2020-08-17T16:05:00"/>
    <d v="2020-08-17T00:00:00"/>
    <s v="16:05"/>
    <d v="2020-08-18T08:00:00"/>
    <d v="2020-08-18T00:00:00"/>
    <d v="1899-12-30T08:00:00"/>
    <n v="5"/>
    <x v="1"/>
    <x v="0"/>
    <x v="3"/>
    <n v="71"/>
    <n v="3.29"/>
    <n v="0.92"/>
    <s v="Alive"/>
    <n v="70"/>
    <n v="173"/>
    <n v="115"/>
    <n v="55"/>
    <s v="Good"/>
    <n v="0"/>
    <n v="3.2899999999999999E-2"/>
    <n v="9.1999999999999998E-3"/>
    <d v="1899-12-30T15:55:00"/>
  </r>
  <r>
    <n v="742"/>
    <d v="2020-08-16T10:49:00"/>
    <d v="2020-08-16T00:00:00"/>
    <s v="10:49"/>
    <d v="2020-08-18T08:10:00"/>
    <d v="2020-08-18T00:00:00"/>
    <d v="1899-12-30T08:10:00"/>
    <n v="3"/>
    <x v="2"/>
    <x v="2"/>
    <x v="16"/>
    <n v="69"/>
    <n v="2.35"/>
    <n v="2.57"/>
    <s v="Alive"/>
    <n v="168"/>
    <n v="152"/>
    <n v="61"/>
    <n v="55"/>
    <s v="Good"/>
    <n v="0"/>
    <n v="2.35E-2"/>
    <n v="2.5699999999999997E-2"/>
    <d v="1899-12-31T21:21:00"/>
  </r>
  <r>
    <n v="743"/>
    <d v="2020-08-17T15:50:00"/>
    <d v="2020-08-17T00:00:00"/>
    <s v="15:50"/>
    <d v="2020-08-18T08:12:00"/>
    <d v="2020-08-18T00:00:00"/>
    <d v="1899-12-30T08:12:00"/>
    <n v="6"/>
    <x v="1"/>
    <x v="0"/>
    <x v="4"/>
    <n v="79"/>
    <n v="8.1"/>
    <n v="2.68"/>
    <s v="Alive"/>
    <n v="61"/>
    <n v="169"/>
    <n v="81"/>
    <n v="52"/>
    <s v="Good"/>
    <n v="0"/>
    <n v="8.1000000000000003E-2"/>
    <n v="2.6800000000000001E-2"/>
    <d v="1899-12-30T16:22:00"/>
  </r>
  <r>
    <n v="744"/>
    <d v="2020-08-16T14:00:00"/>
    <d v="2020-08-16T00:00:00"/>
    <s v="14:00"/>
    <d v="2020-08-18T08:23:00"/>
    <d v="2020-08-18T00:00:00"/>
    <d v="1899-12-30T08:23:00"/>
    <n v="4"/>
    <x v="2"/>
    <x v="0"/>
    <x v="8"/>
    <n v="64"/>
    <n v="2.09"/>
    <n v="0.77"/>
    <s v="Alive"/>
    <n v="86"/>
    <n v="171"/>
    <n v="72"/>
    <n v="55"/>
    <s v="Good"/>
    <n v="0"/>
    <n v="2.0899999999999998E-2"/>
    <n v="7.7000000000000002E-3"/>
    <d v="1899-12-31T18:23:00"/>
  </r>
  <r>
    <n v="745"/>
    <d v="2020-08-18T07:00:00"/>
    <d v="2020-08-18T00:00:00"/>
    <s v="07:00"/>
    <d v="2020-08-18T12:50:00"/>
    <d v="2020-08-18T00:00:00"/>
    <d v="1899-12-30T12:50:00"/>
    <n v="5"/>
    <x v="1"/>
    <x v="3"/>
    <x v="3"/>
    <n v="78"/>
    <n v="9.4600000000000009"/>
    <n v="4.17"/>
    <s v="Alive"/>
    <n v="167"/>
    <n v="164"/>
    <n v="89"/>
    <n v="45"/>
    <s v="Moderate"/>
    <n v="0"/>
    <n v="9.4600000000000004E-2"/>
    <n v="4.1700000000000001E-2"/>
    <d v="1899-12-30T05:50:00"/>
  </r>
  <r>
    <n v="746"/>
    <d v="2020-08-18T07:00:00"/>
    <d v="2020-08-18T00:00:00"/>
    <s v="07:00"/>
    <d v="2020-08-18T13:30:00"/>
    <d v="2020-08-18T00:00:00"/>
    <d v="1899-12-30T13:30:00"/>
    <n v="6"/>
    <x v="1"/>
    <x v="3"/>
    <x v="4"/>
    <n v="80"/>
    <n v="7.94"/>
    <n v="3.37"/>
    <s v="Alive"/>
    <n v="150"/>
    <n v="179"/>
    <n v="102"/>
    <n v="17"/>
    <s v="Very Poor"/>
    <n v="0"/>
    <n v="7.9399999999999998E-2"/>
    <n v="3.3700000000000001E-2"/>
    <d v="1899-12-30T06:30:00"/>
  </r>
  <r>
    <n v="747"/>
    <d v="2020-08-17T16:22:00"/>
    <d v="2020-08-17T00:00:00"/>
    <s v="16:22"/>
    <d v="2020-08-18T14:00:00"/>
    <d v="2020-08-18T00:00:00"/>
    <d v="1899-12-30T14:00:00"/>
    <n v="4"/>
    <x v="2"/>
    <x v="2"/>
    <x v="8"/>
    <n v="69"/>
    <n v="1.7"/>
    <n v="0.88"/>
    <s v="Alive"/>
    <n v="86"/>
    <n v="181"/>
    <n v="101"/>
    <n v="55"/>
    <s v="Good"/>
    <n v="0"/>
    <n v="1.7000000000000001E-2"/>
    <n v="8.8000000000000005E-3"/>
    <d v="1899-12-30T21:38:00"/>
  </r>
  <r>
    <n v="748"/>
    <d v="2020-08-18T16:12:00"/>
    <d v="2020-08-18T00:00:00"/>
    <s v="16:12"/>
    <d v="2020-08-19T08:10:00"/>
    <d v="2020-08-19T00:00:00"/>
    <d v="1899-12-30T08:10:00"/>
    <n v="4"/>
    <x v="1"/>
    <x v="2"/>
    <x v="15"/>
    <n v="73"/>
    <n v="2.21"/>
    <n v="2.9"/>
    <s v="Alive"/>
    <n v="92"/>
    <n v="144"/>
    <n v="60"/>
    <n v="65"/>
    <s v="Good"/>
    <n v="0"/>
    <n v="2.2099999999999998E-2"/>
    <n v="2.8999999999999998E-2"/>
    <d v="1899-12-30T15:58:00"/>
  </r>
  <r>
    <n v="749"/>
    <d v="2020-08-17T10:18:00"/>
    <d v="2020-08-17T00:00:00"/>
    <s v="10:18"/>
    <d v="2020-08-19T08:10:00"/>
    <d v="2020-08-19T00:00:00"/>
    <d v="1899-12-30T08:10:00"/>
    <n v="6"/>
    <x v="2"/>
    <x v="2"/>
    <x v="3"/>
    <n v="66"/>
    <n v="2.11"/>
    <n v="1.1100000000000001"/>
    <s v="Alive"/>
    <n v="134"/>
    <n v="178"/>
    <n v="70"/>
    <n v="55"/>
    <s v="Good"/>
    <n v="0"/>
    <n v="2.1099999999999997E-2"/>
    <n v="1.11E-2"/>
    <d v="1899-12-31T21:52:00"/>
  </r>
  <r>
    <n v="750"/>
    <d v="2020-08-17T16:24:00"/>
    <d v="2020-08-17T00:00:00"/>
    <s v="16:24"/>
    <d v="2020-08-19T08:20:00"/>
    <d v="2020-08-19T00:00:00"/>
    <d v="1899-12-30T08:20:00"/>
    <n v="2"/>
    <x v="2"/>
    <x v="3"/>
    <x v="0"/>
    <n v="72"/>
    <n v="10.75"/>
    <n v="4.93"/>
    <s v="Alive"/>
    <n v="95"/>
    <n v="170"/>
    <n v="87"/>
    <n v="54"/>
    <s v="Good"/>
    <n v="0"/>
    <n v="0.1075"/>
    <n v="4.9299999999999997E-2"/>
    <d v="1899-12-31T15:56:00"/>
  </r>
  <r>
    <n v="751"/>
    <d v="2020-08-18T15:44:00"/>
    <d v="2020-08-18T00:00:00"/>
    <s v="15:44"/>
    <d v="2020-08-19T08:52:00"/>
    <d v="2020-08-19T00:00:00"/>
    <d v="1899-12-30T08:52:00"/>
    <n v="5"/>
    <x v="1"/>
    <x v="0"/>
    <x v="2"/>
    <n v="76"/>
    <n v="6.19"/>
    <n v="1.77"/>
    <s v="Alive"/>
    <n v="104"/>
    <n v="176"/>
    <n v="92"/>
    <n v="43"/>
    <s v="Moderate"/>
    <n v="0"/>
    <n v="6.1900000000000004E-2"/>
    <n v="1.77E-2"/>
    <d v="1899-12-30T17:08:00"/>
  </r>
  <r>
    <n v="752"/>
    <d v="2020-08-19T18:28:00"/>
    <d v="2020-08-19T00:00:00"/>
    <s v="18:28"/>
    <d v="2020-08-20T08:12:00"/>
    <d v="2020-08-20T00:00:00"/>
    <d v="1899-12-30T08:12:00"/>
    <n v="6"/>
    <x v="1"/>
    <x v="0"/>
    <x v="3"/>
    <n v="81"/>
    <n v="8.07"/>
    <n v="1.5"/>
    <s v="Alive"/>
    <n v="76"/>
    <n v="171"/>
    <n v="86"/>
    <n v="58"/>
    <s v="Good"/>
    <n v="0"/>
    <n v="8.0700000000000008E-2"/>
    <n v="1.4999999999999999E-2"/>
    <d v="1899-12-30T13:44:00"/>
  </r>
  <r>
    <n v="753"/>
    <d v="2020-08-19T16:00:00"/>
    <d v="2020-08-19T00:00:00"/>
    <s v="16:00"/>
    <d v="2020-08-20T08:15:00"/>
    <d v="2020-08-20T00:00:00"/>
    <d v="1899-12-30T08:15:00"/>
    <n v="4"/>
    <x v="1"/>
    <x v="3"/>
    <x v="15"/>
    <n v="70"/>
    <n v="5.78"/>
    <n v="2.59"/>
    <s v="Alive"/>
    <n v="84"/>
    <n v="168"/>
    <n v="64"/>
    <n v="40"/>
    <s v="Moderate"/>
    <n v="0"/>
    <n v="5.7800000000000004E-2"/>
    <n v="2.5899999999999999E-2"/>
    <d v="1899-12-30T16:15:00"/>
  </r>
  <r>
    <n v="754"/>
    <d v="2020-08-19T18:05:00"/>
    <d v="2020-08-19T00:00:00"/>
    <s v="18:05"/>
    <d v="2020-08-20T08:19:00"/>
    <d v="2020-08-20T00:00:00"/>
    <d v="1899-12-30T08:19:00"/>
    <n v="5"/>
    <x v="1"/>
    <x v="2"/>
    <x v="1"/>
    <n v="69"/>
    <n v="2.35"/>
    <n v="0.81"/>
    <s v="Alive"/>
    <n v="113"/>
    <n v="159"/>
    <n v="74"/>
    <n v="55"/>
    <s v="Good"/>
    <n v="0"/>
    <n v="2.35E-2"/>
    <n v="8.1000000000000013E-3"/>
    <d v="1899-12-30T14:14:00"/>
  </r>
  <r>
    <n v="756"/>
    <d v="2020-08-20T06:53:00"/>
    <d v="2020-08-20T00:00:00"/>
    <s v="06:53"/>
    <d v="2020-08-20T14:03:00"/>
    <d v="2020-08-20T00:00:00"/>
    <d v="1899-12-30T14:03:00"/>
    <n v="5"/>
    <x v="1"/>
    <x v="4"/>
    <x v="1"/>
    <n v="86"/>
    <n v="29.08"/>
    <n v="6.24"/>
    <s v="Alive"/>
    <n v="123"/>
    <n v="175"/>
    <n v="78"/>
    <n v="25"/>
    <s v="Poor"/>
    <n v="0"/>
    <n v="0.2908"/>
    <n v="6.2400000000000004E-2"/>
    <d v="1899-12-30T07:10:00"/>
  </r>
  <r>
    <n v="757"/>
    <d v="2020-08-20T15:54:00"/>
    <d v="2020-08-20T00:00:00"/>
    <s v="15:54"/>
    <d v="2020-08-21T08:12:00"/>
    <d v="2020-08-21T00:00:00"/>
    <d v="1899-12-30T08:12:00"/>
    <n v="4"/>
    <x v="1"/>
    <x v="0"/>
    <x v="8"/>
    <n v="82"/>
    <n v="17.45"/>
    <n v="7.31"/>
    <s v="Alive"/>
    <n v="83"/>
    <n v="160"/>
    <n v="72"/>
    <n v="33"/>
    <s v="Moderate"/>
    <n v="0"/>
    <n v="0.17449999999999999"/>
    <n v="7.3099999999999998E-2"/>
    <d v="1899-12-30T16:18:00"/>
  </r>
  <r>
    <n v="758"/>
    <d v="2020-08-17T13:05:00"/>
    <d v="2020-08-17T00:00:00"/>
    <s v="13:05"/>
    <d v="2020-08-21T08:15:00"/>
    <d v="2020-08-21T00:00:00"/>
    <d v="1899-12-30T08:15:00"/>
    <n v="5"/>
    <x v="1"/>
    <x v="2"/>
    <x v="16"/>
    <n v="74"/>
    <n v="2.36"/>
    <n v="0.83"/>
    <s v="Alive"/>
    <n v="117"/>
    <n v="178"/>
    <n v="115"/>
    <n v="17"/>
    <s v="Very Poor"/>
    <n v="0"/>
    <n v="2.3599999999999999E-2"/>
    <n v="8.3000000000000001E-3"/>
    <d v="1900-01-02T19:10:00"/>
  </r>
  <r>
    <n v="759"/>
    <d v="2020-08-12T17:00:00"/>
    <d v="2020-08-12T00:00:00"/>
    <s v="17:00"/>
    <d v="2020-08-21T13:25:00"/>
    <d v="2020-08-21T00:00:00"/>
    <d v="1899-12-30T13:25:00"/>
    <n v="5"/>
    <x v="2"/>
    <x v="2"/>
    <x v="16"/>
    <n v="59"/>
    <n v="1.51"/>
    <n v="0.8"/>
    <s v="Alive"/>
    <n v="80"/>
    <n v="163"/>
    <n v="66"/>
    <n v="40"/>
    <s v="Moderate"/>
    <n v="0"/>
    <n v="1.5100000000000001E-2"/>
    <n v="8.0000000000000002E-3"/>
    <d v="1900-01-07T20:25:00"/>
  </r>
  <r>
    <n v="760"/>
    <d v="2020-08-21T07:00:00"/>
    <d v="2020-08-21T00:00:00"/>
    <s v="07:00"/>
    <d v="2020-08-21T14:55:00"/>
    <d v="2020-08-21T00:00:00"/>
    <d v="1899-12-30T14:55:00"/>
    <n v="4"/>
    <x v="1"/>
    <x v="0"/>
    <x v="8"/>
    <n v="64"/>
    <n v="2.88"/>
    <n v="1.05"/>
    <s v="Alive"/>
    <n v="76"/>
    <n v="152"/>
    <n v="67"/>
    <n v="40"/>
    <s v="Moderate"/>
    <n v="0"/>
    <n v="2.8799999999999999E-2"/>
    <n v="1.0500000000000001E-2"/>
    <d v="1899-12-30T07:55:00"/>
  </r>
  <r>
    <n v="761"/>
    <d v="2020-08-21T14:00:00"/>
    <d v="2020-08-21T00:00:00"/>
    <s v="14:00"/>
    <d v="2020-08-22T08:04:00"/>
    <d v="2020-08-22T00:00:00"/>
    <d v="1899-12-30T08:04:00"/>
    <n v="5"/>
    <x v="1"/>
    <x v="0"/>
    <x v="8"/>
    <n v="48"/>
    <n v="2.08"/>
    <n v="0.62"/>
    <s v="Alive"/>
    <n v="92"/>
    <n v="163"/>
    <n v="95"/>
    <n v="50"/>
    <s v="Moderate"/>
    <n v="0"/>
    <n v="2.0799999999999999E-2"/>
    <n v="6.1999999999999998E-3"/>
    <d v="1899-12-30T18:04:00"/>
  </r>
  <r>
    <n v="762"/>
    <d v="2020-08-21T13:50:00"/>
    <d v="2020-08-21T00:00:00"/>
    <s v="13:50"/>
    <d v="2020-08-22T12:47:00"/>
    <d v="2020-08-22T00:00:00"/>
    <d v="1899-12-30T12:47:00"/>
    <n v="5"/>
    <x v="1"/>
    <x v="3"/>
    <x v="8"/>
    <n v="78"/>
    <n v="7.01"/>
    <n v="1.78"/>
    <s v="Alive"/>
    <n v="62"/>
    <n v="177"/>
    <n v="76"/>
    <n v="63"/>
    <s v="Good"/>
    <n v="0"/>
    <n v="7.0099999999999996E-2"/>
    <n v="1.78E-2"/>
    <d v="1899-12-30T22:57:00"/>
  </r>
  <r>
    <n v="763"/>
    <d v="2020-08-23T16:00:00"/>
    <d v="2020-08-23T00:00:00"/>
    <s v="16:00"/>
    <d v="2020-08-24T08:08:00"/>
    <d v="2020-08-24T00:00:00"/>
    <d v="1899-12-30T08:08:00"/>
    <n v="4"/>
    <x v="1"/>
    <x v="0"/>
    <x v="12"/>
    <n v="77"/>
    <n v="6.59"/>
    <n v="2.31"/>
    <s v="Alive"/>
    <n v="95"/>
    <n v="175"/>
    <n v="84"/>
    <n v="54"/>
    <s v="Good"/>
    <n v="0"/>
    <n v="6.59E-2"/>
    <n v="2.3099999999999999E-2"/>
    <d v="1899-12-30T16:08:00"/>
  </r>
  <r>
    <n v="764"/>
    <d v="2020-08-23T15:55:00"/>
    <d v="2020-08-23T00:00:00"/>
    <s v="15:55"/>
    <d v="2020-08-24T08:11:00"/>
    <d v="2020-08-24T00:00:00"/>
    <d v="1899-12-30T08:11:00"/>
    <n v="3"/>
    <x v="1"/>
    <x v="0"/>
    <x v="0"/>
    <n v="62"/>
    <n v="1.83"/>
    <n v="0.59"/>
    <s v="Alive"/>
    <n v="112"/>
    <n v="167"/>
    <n v="75"/>
    <n v="55"/>
    <s v="Good"/>
    <n v="0"/>
    <n v="1.83E-2"/>
    <n v="5.8999999999999999E-3"/>
    <d v="1899-12-30T16:16:00"/>
  </r>
  <r>
    <n v="765"/>
    <d v="2020-08-23T16:00:00"/>
    <d v="2020-08-23T00:00:00"/>
    <s v="16:00"/>
    <d v="2020-08-24T08:11:00"/>
    <d v="2020-08-24T00:00:00"/>
    <d v="1899-12-30T08:11:00"/>
    <n v="2"/>
    <x v="1"/>
    <x v="3"/>
    <x v="11"/>
    <n v="81"/>
    <n v="6.21"/>
    <n v="2.33"/>
    <s v="Alive"/>
    <n v="93"/>
    <n v="151"/>
    <n v="60"/>
    <n v="45"/>
    <s v="Moderate"/>
    <n v="0"/>
    <n v="6.2100000000000002E-2"/>
    <n v="2.3300000000000001E-2"/>
    <d v="1899-12-30T16:11:00"/>
  </r>
  <r>
    <n v="766"/>
    <d v="2020-08-23T16:00:00"/>
    <d v="2020-08-23T00:00:00"/>
    <s v="16:00"/>
    <d v="2020-08-24T08:13:00"/>
    <d v="2020-08-24T00:00:00"/>
    <d v="1899-12-30T08:13:00"/>
    <n v="5"/>
    <x v="1"/>
    <x v="3"/>
    <x v="3"/>
    <n v="66"/>
    <n v="6.64"/>
    <n v="8.91"/>
    <s v="Alive"/>
    <n v="162"/>
    <n v="178"/>
    <n v="70"/>
    <n v="65"/>
    <s v="Good"/>
    <n v="0"/>
    <n v="6.6400000000000001E-2"/>
    <n v="8.9099999999999999E-2"/>
    <d v="1899-12-30T16:13:00"/>
  </r>
  <r>
    <n v="767"/>
    <d v="2020-08-23T16:00:00"/>
    <d v="2020-08-23T00:00:00"/>
    <s v="16:00"/>
    <d v="2020-08-24T08:40:00"/>
    <d v="2020-08-24T00:00:00"/>
    <d v="1899-12-30T08:40:00"/>
    <n v="6"/>
    <x v="1"/>
    <x v="3"/>
    <x v="1"/>
    <n v="68"/>
    <n v="4.0599999999999996"/>
    <n v="2.48"/>
    <s v="Alive"/>
    <n v="89"/>
    <n v="191"/>
    <n v="99"/>
    <n v="59"/>
    <s v="Good"/>
    <n v="0"/>
    <n v="4.0599999999999997E-2"/>
    <n v="2.4799999999999999E-2"/>
    <d v="1899-12-30T16:40:00"/>
  </r>
  <r>
    <n v="768"/>
    <d v="2020-08-23T16:00:00"/>
    <d v="2020-08-23T00:00:00"/>
    <s v="16:00"/>
    <d v="2020-08-24T11:30:00"/>
    <d v="2020-08-24T00:00:00"/>
    <d v="1899-12-30T11:30:00"/>
    <n v="4"/>
    <x v="1"/>
    <x v="3"/>
    <x v="12"/>
    <n v="47"/>
    <n v="6.98"/>
    <n v="4.3"/>
    <s v="Alive"/>
    <n v="66"/>
    <n v="180"/>
    <n v="85"/>
    <n v="30"/>
    <s v="Poor"/>
    <n v="0"/>
    <n v="6.9800000000000001E-2"/>
    <n v="4.2999999999999997E-2"/>
    <d v="1899-12-30T19:30:00"/>
  </r>
  <r>
    <n v="769"/>
    <d v="2020-08-21T16:00:00"/>
    <d v="2020-08-21T00:00:00"/>
    <s v="16:00"/>
    <d v="2020-08-24T12:15:00"/>
    <d v="2020-08-24T00:00:00"/>
    <d v="1899-12-30T12:15:00"/>
    <n v="3"/>
    <x v="2"/>
    <x v="0"/>
    <x v="0"/>
    <n v="70"/>
    <n v="35.56"/>
    <n v="11.88"/>
    <s v="Alive"/>
    <n v="65"/>
    <n v="175"/>
    <n v="89"/>
    <n v="25"/>
    <s v="Poor"/>
    <n v="0"/>
    <n v="0.35560000000000003"/>
    <n v="0.1188"/>
    <d v="1900-01-01T20:15:00"/>
  </r>
  <r>
    <n v="770"/>
    <d v="2020-08-22T13:45:00"/>
    <d v="2020-08-22T00:00:00"/>
    <s v="13:45"/>
    <d v="2020-08-24T13:56:00"/>
    <d v="2020-08-24T00:00:00"/>
    <d v="1899-12-30T13:56:00"/>
    <n v="2"/>
    <x v="2"/>
    <x v="3"/>
    <x v="11"/>
    <n v="82"/>
    <n v="17.45"/>
    <n v="7.92"/>
    <s v="Alive"/>
    <n v="86"/>
    <n v="178"/>
    <n v="82"/>
    <n v="30"/>
    <s v="Poor"/>
    <n v="0"/>
    <n v="0.17449999999999999"/>
    <n v="7.9199999999999993E-2"/>
    <d v="1900-01-01T00:11:00"/>
  </r>
  <r>
    <n v="771"/>
    <d v="2020-08-24T06:56:00"/>
    <d v="2020-08-24T00:00:00"/>
    <s v="06:56"/>
    <d v="2020-08-24T15:35:00"/>
    <d v="2020-08-24T00:00:00"/>
    <d v="1899-12-30T15:35:00"/>
    <n v="6"/>
    <x v="1"/>
    <x v="2"/>
    <x v="1"/>
    <n v="70"/>
    <n v="2.74"/>
    <n v="1.65"/>
    <s v="Alive"/>
    <n v="92"/>
    <n v="180"/>
    <n v="94"/>
    <n v="55"/>
    <s v="Good"/>
    <n v="0"/>
    <n v="2.7400000000000001E-2"/>
    <n v="1.6500000000000001E-2"/>
    <d v="1899-12-30T08:39:00"/>
  </r>
  <r>
    <n v="772"/>
    <d v="2020-08-25T07:14:00"/>
    <d v="2020-08-25T00:00:00"/>
    <s v="07:14"/>
    <d v="2020-08-25T10:15:00"/>
    <d v="2020-08-25T00:00:00"/>
    <d v="1899-12-30T10:15:00"/>
    <n v="3"/>
    <x v="1"/>
    <x v="0"/>
    <x v="16"/>
    <n v="73"/>
    <n v="5.13"/>
    <n v="2.81"/>
    <s v="Alive"/>
    <n v="101"/>
    <n v="180"/>
    <n v="79"/>
    <n v="55"/>
    <s v="Good"/>
    <n v="0"/>
    <n v="5.1299999999999998E-2"/>
    <n v="2.81E-2"/>
    <d v="1899-12-30T03:01:00"/>
  </r>
  <r>
    <n v="773"/>
    <d v="2020-08-25T07:00:00"/>
    <d v="2020-08-25T00:00:00"/>
    <s v="07:00"/>
    <d v="2020-08-25T12:05:00"/>
    <d v="2020-08-25T00:00:00"/>
    <d v="1899-12-30T12:05:00"/>
    <n v="4"/>
    <x v="1"/>
    <x v="3"/>
    <x v="8"/>
    <n v="76"/>
    <n v="6.73"/>
    <n v="2.4900000000000002"/>
    <s v="Alive"/>
    <n v="105"/>
    <n v="190"/>
    <n v="94"/>
    <n v="46"/>
    <s v="Moderate"/>
    <n v="0"/>
    <n v="6.7299999999999999E-2"/>
    <n v="2.4900000000000002E-2"/>
    <d v="1899-12-30T05:05:00"/>
  </r>
  <r>
    <n v="774"/>
    <d v="2020-08-19T06:30:00"/>
    <d v="2020-08-19T00:00:00"/>
    <s v="06:30"/>
    <d v="2020-08-25T12:21:00"/>
    <d v="2020-08-25T00:00:00"/>
    <d v="1899-12-30T12:21:00"/>
    <n v="5"/>
    <x v="1"/>
    <x v="3"/>
    <x v="12"/>
    <n v="77"/>
    <n v="4.83"/>
    <n v="1.55"/>
    <s v="Alive"/>
    <n v="104"/>
    <n v="164"/>
    <n v="74"/>
    <n v="69"/>
    <s v="Good"/>
    <n v="0"/>
    <n v="4.8300000000000003E-2"/>
    <n v="1.55E-2"/>
    <d v="1900-01-05T05:51:00"/>
  </r>
  <r>
    <n v="775"/>
    <d v="2020-08-25T07:15:00"/>
    <d v="2020-08-25T00:00:00"/>
    <s v="07:15"/>
    <d v="2020-08-25T12:30:00"/>
    <d v="2020-08-25T00:00:00"/>
    <d v="1899-12-30T12:30:00"/>
    <n v="6"/>
    <x v="1"/>
    <x v="2"/>
    <x v="4"/>
    <n v="64"/>
    <n v="1.23"/>
    <n v="1.18"/>
    <s v="Alive"/>
    <n v="84"/>
    <n v="163"/>
    <n v="59"/>
    <n v="45"/>
    <s v="Moderate"/>
    <n v="0"/>
    <n v="1.23E-2"/>
    <n v="1.18E-2"/>
    <d v="1899-12-30T05:15:00"/>
  </r>
  <r>
    <n v="776"/>
    <d v="2020-08-25T07:10:00"/>
    <d v="2020-08-25T00:00:00"/>
    <s v="07:10"/>
    <d v="2020-08-25T16:20:00"/>
    <d v="2020-08-25T00:00:00"/>
    <d v="1899-12-30T16:20:00"/>
    <n v="5"/>
    <x v="1"/>
    <x v="3"/>
    <x v="12"/>
    <n v="65"/>
    <n v="2.23"/>
    <n v="1.1000000000000001"/>
    <s v="Alive"/>
    <n v="113"/>
    <n v="168"/>
    <n v="79"/>
    <n v="10"/>
    <s v="Very Poor"/>
    <n v="0"/>
    <n v="2.23E-2"/>
    <n v="1.1000000000000001E-2"/>
    <d v="1899-12-30T09:10:00"/>
  </r>
  <r>
    <n v="777"/>
    <d v="2020-08-25T16:09:00"/>
    <d v="2020-08-25T00:00:00"/>
    <s v="16:09"/>
    <d v="2020-08-26T08:12:00"/>
    <d v="2020-08-26T00:00:00"/>
    <d v="1899-12-30T08:12:00"/>
    <n v="4"/>
    <x v="1"/>
    <x v="2"/>
    <x v="15"/>
    <n v="66"/>
    <n v="1.4"/>
    <n v="1.1100000000000001"/>
    <s v="Alive"/>
    <n v="81"/>
    <n v="151"/>
    <n v="62"/>
    <n v="45"/>
    <s v="Moderate"/>
    <n v="0"/>
    <n v="1.3999999999999999E-2"/>
    <n v="1.11E-2"/>
    <d v="1899-12-30T16:03:00"/>
  </r>
  <r>
    <n v="778"/>
    <d v="2020-08-16T15:59:00"/>
    <d v="2020-08-16T00:00:00"/>
    <s v="15:59"/>
    <d v="2020-08-26T08:15:00"/>
    <d v="2020-08-26T00:00:00"/>
    <d v="1899-12-30T08:15:00"/>
    <n v="6"/>
    <x v="1"/>
    <x v="2"/>
    <x v="11"/>
    <n v="55"/>
    <n v="2.2799999999999998"/>
    <n v="0.8"/>
    <s v="Alive"/>
    <n v="100"/>
    <n v="175"/>
    <n v="73"/>
    <n v="45"/>
    <s v="Moderate"/>
    <n v="0"/>
    <n v="2.2799999999999997E-2"/>
    <n v="8.0000000000000002E-3"/>
    <d v="1900-01-08T16:16:00"/>
  </r>
  <r>
    <n v="779"/>
    <d v="2020-08-25T15:37:00"/>
    <d v="2020-08-25T00:00:00"/>
    <s v="15:37"/>
    <d v="2020-08-26T08:20:00"/>
    <d v="2020-08-26T00:00:00"/>
    <d v="1899-12-30T08:20:00"/>
    <n v="5"/>
    <x v="1"/>
    <x v="0"/>
    <x v="8"/>
    <n v="73"/>
    <n v="2.21"/>
    <n v="0.8"/>
    <s v="Alive"/>
    <n v="99"/>
    <n v="172"/>
    <n v="98"/>
    <n v="40"/>
    <s v="Moderate"/>
    <n v="0"/>
    <n v="2.2099999999999998E-2"/>
    <n v="8.0000000000000002E-3"/>
    <d v="1899-12-30T16:43:00"/>
  </r>
  <r>
    <n v="780"/>
    <d v="2020-08-25T15:34:00"/>
    <d v="2020-08-25T00:00:00"/>
    <s v="15:34"/>
    <d v="2020-08-26T08:25:00"/>
    <d v="2020-08-26T00:00:00"/>
    <d v="1899-12-30T08:25:00"/>
    <n v="2"/>
    <x v="1"/>
    <x v="0"/>
    <x v="12"/>
    <n v="68"/>
    <n v="5.97"/>
    <n v="2.21"/>
    <s v="Alive"/>
    <n v="78"/>
    <n v="166"/>
    <n v="97"/>
    <n v="20"/>
    <s v="Very Poor"/>
    <n v="0"/>
    <n v="5.9699999999999996E-2"/>
    <n v="2.2099999999999998E-2"/>
    <d v="1899-12-30T16:51:00"/>
  </r>
  <r>
    <n v="781"/>
    <d v="2020-08-26T07:05:00"/>
    <d v="2020-08-26T00:00:00"/>
    <s v="07:05"/>
    <d v="2020-08-26T13:00:00"/>
    <d v="2020-08-26T00:00:00"/>
    <d v="1899-12-30T13:00:00"/>
    <n v="2"/>
    <x v="1"/>
    <x v="0"/>
    <x v="12"/>
    <n v="66"/>
    <n v="5.26"/>
    <n v="0.99"/>
    <s v="Alive"/>
    <n v="110"/>
    <n v="173"/>
    <n v="89"/>
    <n v="28"/>
    <s v="Poor"/>
    <n v="0"/>
    <n v="5.2600000000000001E-2"/>
    <n v="9.8999999999999991E-3"/>
    <d v="1899-12-30T05:55:00"/>
  </r>
  <r>
    <n v="782"/>
    <d v="2020-08-26T06:59:00"/>
    <d v="2020-08-26T00:00:00"/>
    <s v="06:59"/>
    <d v="2020-08-26T13:42:00"/>
    <d v="2020-08-26T00:00:00"/>
    <d v="1899-12-30T13:42:00"/>
    <n v="5"/>
    <x v="1"/>
    <x v="0"/>
    <x v="8"/>
    <n v="63"/>
    <n v="1.1499999999999999"/>
    <n v="0.6"/>
    <s v="Alive"/>
    <n v="66"/>
    <n v="150"/>
    <n v="60"/>
    <n v="60"/>
    <s v="Good"/>
    <n v="0"/>
    <n v="1.15E-2"/>
    <n v="6.0000000000000001E-3"/>
    <d v="1899-12-30T06:43:00"/>
  </r>
  <r>
    <n v="783"/>
    <d v="2020-08-26T07:02:00"/>
    <d v="2020-08-26T00:00:00"/>
    <s v="07:02"/>
    <d v="2020-08-26T14:53:00"/>
    <d v="2020-08-26T00:00:00"/>
    <d v="1899-12-30T14:53:00"/>
    <n v="6"/>
    <x v="1"/>
    <x v="2"/>
    <x v="11"/>
    <n v="75"/>
    <n v="2.52"/>
    <n v="0.85"/>
    <s v="Alive"/>
    <n v="84"/>
    <n v="180"/>
    <n v="88"/>
    <n v="45"/>
    <s v="Moderate"/>
    <n v="0"/>
    <n v="2.52E-2"/>
    <n v="8.5000000000000006E-3"/>
    <d v="1899-12-30T07:51:00"/>
  </r>
  <r>
    <n v="784"/>
    <d v="2020-08-26T15:46:00"/>
    <d v="2020-08-26T00:00:00"/>
    <s v="15:46"/>
    <d v="2020-08-27T08:04:00"/>
    <d v="2020-08-27T00:00:00"/>
    <d v="1899-12-30T08:04:00"/>
    <n v="3"/>
    <x v="1"/>
    <x v="0"/>
    <x v="6"/>
    <n v="77"/>
    <n v="6.59"/>
    <n v="4.09"/>
    <s v="Alive"/>
    <n v="65"/>
    <n v="164"/>
    <n v="98"/>
    <n v="31"/>
    <s v="Moderate"/>
    <n v="0"/>
    <n v="6.59E-2"/>
    <n v="4.0899999999999999E-2"/>
    <d v="1899-12-30T16:18:00"/>
  </r>
  <r>
    <n v="785"/>
    <d v="2020-08-26T15:52:00"/>
    <d v="2020-08-26T00:00:00"/>
    <s v="15:52"/>
    <d v="2020-08-27T08:10:00"/>
    <d v="2020-08-27T00:00:00"/>
    <d v="1899-12-30T08:10:00"/>
    <n v="5"/>
    <x v="1"/>
    <x v="0"/>
    <x v="8"/>
    <n v="73"/>
    <n v="3.74"/>
    <n v="1.0900000000000001"/>
    <s v="Alive"/>
    <n v="131"/>
    <n v="171"/>
    <n v="86"/>
    <n v="60"/>
    <s v="Good"/>
    <n v="0"/>
    <n v="3.7400000000000003E-2"/>
    <n v="1.09E-2"/>
    <d v="1899-12-30T16:18:00"/>
  </r>
  <r>
    <n v="786"/>
    <d v="2020-08-25T15:52:00"/>
    <d v="2020-08-25T00:00:00"/>
    <s v="15:52"/>
    <d v="2020-08-27T08:15:00"/>
    <d v="2020-08-27T00:00:00"/>
    <d v="1899-12-30T08:15:00"/>
    <n v="6"/>
    <x v="1"/>
    <x v="2"/>
    <x v="15"/>
    <n v="73"/>
    <n v="3.57"/>
    <n v="1.31"/>
    <s v="Alive"/>
    <n v="71"/>
    <n v="183"/>
    <n v="70"/>
    <n v="51"/>
    <s v="Good"/>
    <n v="0"/>
    <n v="3.5699999999999996E-2"/>
    <n v="1.3100000000000001E-2"/>
    <d v="1899-12-31T16:23:00"/>
  </r>
  <r>
    <n v="787"/>
    <d v="2020-08-27T07:03:00"/>
    <d v="2020-08-27T00:00:00"/>
    <s v="07:03"/>
    <d v="2020-08-27T13:35:00"/>
    <d v="2020-08-27T00:00:00"/>
    <d v="1899-12-30T13:35:00"/>
    <n v="5"/>
    <x v="1"/>
    <x v="0"/>
    <x v="7"/>
    <n v="82"/>
    <n v="13.03"/>
    <n v="2.85"/>
    <s v="Alive"/>
    <n v="79"/>
    <n v="163"/>
    <n v="75"/>
    <n v="50"/>
    <s v="Moderate"/>
    <n v="0"/>
    <n v="0.1303"/>
    <n v="2.8500000000000001E-2"/>
    <d v="1899-12-30T06:32:00"/>
  </r>
  <r>
    <n v="788"/>
    <d v="2020-08-25T13:30:00"/>
    <d v="2020-08-25T00:00:00"/>
    <s v="13:30"/>
    <d v="2020-08-27T13:58:00"/>
    <d v="2020-08-27T00:00:00"/>
    <d v="1899-12-30T13:58:00"/>
    <n v="3"/>
    <x v="2"/>
    <x v="2"/>
    <x v="6"/>
    <n v="64"/>
    <n v="1.23"/>
    <n v="0.86"/>
    <s v="Alive"/>
    <n v="71"/>
    <n v="158"/>
    <n v="78"/>
    <n v="75"/>
    <s v="Good"/>
    <n v="0"/>
    <n v="1.23E-2"/>
    <n v="8.6E-3"/>
    <d v="1900-01-01T00:28:00"/>
  </r>
  <r>
    <n v="789"/>
    <d v="2020-08-26T15:30:00"/>
    <d v="2020-08-26T00:00:00"/>
    <s v="15:30"/>
    <d v="2020-08-27T14:40:00"/>
    <d v="2020-08-27T00:00:00"/>
    <d v="1899-12-30T14:40:00"/>
    <n v="6"/>
    <x v="1"/>
    <x v="2"/>
    <x v="15"/>
    <n v="73"/>
    <n v="4.9000000000000004"/>
    <n v="1.71"/>
    <s v="Alive"/>
    <n v="74"/>
    <n v="192"/>
    <n v="94"/>
    <n v="14"/>
    <s v="Very Poor"/>
    <n v="0"/>
    <n v="4.9000000000000002E-2"/>
    <n v="1.7100000000000001E-2"/>
    <d v="1899-12-30T23:10:00"/>
  </r>
  <r>
    <n v="790"/>
    <d v="2020-08-25T16:19:00"/>
    <d v="2020-08-25T00:00:00"/>
    <s v="16:19"/>
    <d v="2020-08-28T08:05:00"/>
    <d v="2020-08-28T00:00:00"/>
    <d v="1899-12-30T08:05:00"/>
    <n v="5"/>
    <x v="2"/>
    <x v="0"/>
    <x v="16"/>
    <n v="66"/>
    <n v="2.38"/>
    <n v="1.22"/>
    <s v="Alive"/>
    <n v="131"/>
    <n v="166"/>
    <n v="51"/>
    <n v="65"/>
    <s v="Good"/>
    <n v="0"/>
    <n v="2.3799999999999998E-2"/>
    <n v="1.2199999999999999E-2"/>
    <d v="1900-01-01T15:46:00"/>
  </r>
  <r>
    <n v="791"/>
    <d v="2020-08-27T15:58:00"/>
    <d v="2020-08-27T00:00:00"/>
    <s v="15:58"/>
    <d v="2020-08-28T08:11:00"/>
    <d v="2020-08-28T00:00:00"/>
    <d v="1899-12-30T08:11:00"/>
    <n v="4"/>
    <x v="1"/>
    <x v="4"/>
    <x v="7"/>
    <n v="78"/>
    <n v="4.58"/>
    <n v="2.95"/>
    <s v="Alive"/>
    <n v="61"/>
    <n v="165"/>
    <n v="81"/>
    <n v="55"/>
    <s v="Good"/>
    <n v="0"/>
    <n v="4.58E-2"/>
    <n v="2.9500000000000002E-2"/>
    <d v="1899-12-30T16:13:00"/>
  </r>
  <r>
    <n v="792"/>
    <d v="2020-08-25T22:48:00"/>
    <d v="2020-08-25T00:00:00"/>
    <s v="22:48"/>
    <d v="2020-08-28T12:15:00"/>
    <d v="2020-08-28T00:00:00"/>
    <d v="1899-12-30T12:15:00"/>
    <n v="6"/>
    <x v="0"/>
    <x v="2"/>
    <x v="11"/>
    <n v="73"/>
    <n v="23.04"/>
    <n v="10.51"/>
    <s v="Alive"/>
    <n v="114"/>
    <n v="167"/>
    <n v="104"/>
    <n v="65"/>
    <s v="Good"/>
    <n v="0"/>
    <n v="0.23039999999999999"/>
    <n v="0.1051"/>
    <d v="1900-01-01T13:27:00"/>
  </r>
  <r>
    <n v="793"/>
    <d v="2020-08-28T07:07:00"/>
    <d v="2020-08-28T00:00:00"/>
    <s v="07:07"/>
    <d v="2020-08-28T14:30:00"/>
    <d v="2020-08-28T00:00:00"/>
    <d v="1899-12-30T14:30:00"/>
    <n v="5"/>
    <x v="1"/>
    <x v="0"/>
    <x v="16"/>
    <n v="76"/>
    <n v="4.53"/>
    <n v="1.19"/>
    <s v="Alive"/>
    <n v="78"/>
    <n v="173"/>
    <n v="70"/>
    <n v="55"/>
    <s v="Good"/>
    <n v="0"/>
    <n v="4.53E-2"/>
    <n v="1.1899999999999999E-2"/>
    <d v="1899-12-30T07:23:00"/>
  </r>
  <r>
    <n v="794"/>
    <d v="2020-08-26T14:00:00"/>
    <d v="2020-08-26T00:00:00"/>
    <s v="14:00"/>
    <d v="2020-08-28T15:10:00"/>
    <d v="2020-08-28T00:00:00"/>
    <d v="1899-12-30T15:10:00"/>
    <n v="4"/>
    <x v="2"/>
    <x v="0"/>
    <x v="7"/>
    <n v="49"/>
    <n v="2.08"/>
    <n v="0.95"/>
    <s v="Alive"/>
    <n v="111"/>
    <n v="180"/>
    <n v="84"/>
    <n v="44"/>
    <s v="Moderate"/>
    <n v="0"/>
    <n v="2.0799999999999999E-2"/>
    <n v="9.4999999999999998E-3"/>
    <d v="1900-01-01T01:10:00"/>
  </r>
  <r>
    <n v="795"/>
    <d v="2020-08-28T15:49:00"/>
    <d v="2020-08-28T00:00:00"/>
    <s v="15:49"/>
    <d v="2020-08-29T08:00:00"/>
    <d v="2020-08-29T00:00:00"/>
    <d v="1899-12-30T08:00:00"/>
    <n v="5"/>
    <x v="1"/>
    <x v="0"/>
    <x v="12"/>
    <n v="73"/>
    <n v="10.4"/>
    <n v="5.58"/>
    <s v="Alive"/>
    <n v="104"/>
    <n v="175"/>
    <n v="88"/>
    <n v="60"/>
    <s v="Good"/>
    <n v="0"/>
    <n v="0.10400000000000001"/>
    <n v="5.5800000000000002E-2"/>
    <d v="1899-12-30T16:11:00"/>
  </r>
  <r>
    <n v="796"/>
    <d v="2020-08-28T16:00:00"/>
    <d v="2020-08-28T00:00:00"/>
    <s v="16:00"/>
    <d v="2020-08-29T08:02:00"/>
    <d v="2020-08-29T00:00:00"/>
    <d v="1899-12-30T08:02:00"/>
    <n v="4"/>
    <x v="1"/>
    <x v="2"/>
    <x v="4"/>
    <n v="73"/>
    <n v="3.57"/>
    <n v="1.46"/>
    <s v="Alive"/>
    <n v="101"/>
    <n v="173"/>
    <n v="86"/>
    <n v="64"/>
    <s v="Good"/>
    <n v="0"/>
    <n v="3.5699999999999996E-2"/>
    <n v="1.46E-2"/>
    <d v="1899-12-30T16:02:00"/>
  </r>
  <r>
    <n v="797"/>
    <d v="2020-08-29T07:08:00"/>
    <d v="2020-08-29T00:00:00"/>
    <s v="07:08"/>
    <d v="2020-08-29T10:40:00"/>
    <d v="2020-08-29T00:00:00"/>
    <d v="1899-12-30T10:40:00"/>
    <n v="5"/>
    <x v="1"/>
    <x v="0"/>
    <x v="12"/>
    <n v="77"/>
    <n v="18.21"/>
    <n v="5.24"/>
    <s v="Alive"/>
    <n v="155"/>
    <n v="166"/>
    <n v="96"/>
    <n v="55"/>
    <s v="Good"/>
    <n v="0"/>
    <n v="0.18210000000000001"/>
    <n v="5.2400000000000002E-2"/>
    <d v="1899-12-30T03:32:00"/>
  </r>
  <r>
    <n v="798"/>
    <d v="2020-08-29T06:58:00"/>
    <d v="2020-08-29T00:00:00"/>
    <s v="06:58"/>
    <d v="2020-08-29T12:32:00"/>
    <d v="2020-08-29T00:00:00"/>
    <d v="1899-12-30T12:32:00"/>
    <n v="4"/>
    <x v="1"/>
    <x v="0"/>
    <x v="4"/>
    <n v="75"/>
    <n v="4.25"/>
    <n v="1.03"/>
    <s v="Alive"/>
    <n v="127"/>
    <n v="166"/>
    <n v="92"/>
    <n v="14"/>
    <s v="Very Poor"/>
    <n v="0"/>
    <n v="4.2500000000000003E-2"/>
    <n v="1.03E-2"/>
    <d v="1899-12-30T05:34:00"/>
  </r>
  <r>
    <n v="799"/>
    <d v="2020-08-21T11:00:00"/>
    <d v="2020-08-21T00:00:00"/>
    <s v="11:00"/>
    <d v="2020-08-29T14:38:00"/>
    <d v="2020-08-29T00:00:00"/>
    <d v="1899-12-30T14:38:00"/>
    <n v="5"/>
    <x v="2"/>
    <x v="3"/>
    <x v="12"/>
    <n v="81"/>
    <n v="15.08"/>
    <n v="9.1999999999999993"/>
    <s v="Alive"/>
    <n v="75"/>
    <n v="183"/>
    <n v="83"/>
    <n v="65"/>
    <s v="Good"/>
    <n v="0"/>
    <n v="0.15079999999999999"/>
    <n v="9.1999999999999998E-2"/>
    <d v="1900-01-07T03:38:00"/>
  </r>
  <r>
    <n v="800"/>
    <d v="2020-08-30T14:00:00"/>
    <d v="2020-08-30T00:00:00"/>
    <s v="14:00"/>
    <d v="2020-09-01T08:15:00"/>
    <d v="2020-09-01T00:00:00"/>
    <d v="1899-12-30T08:15:00"/>
    <n v="2"/>
    <x v="2"/>
    <x v="3"/>
    <x v="3"/>
    <n v="73"/>
    <n v="3.74"/>
    <n v="2.5499999999999998"/>
    <s v="Alive"/>
    <n v="77"/>
    <n v="153"/>
    <n v="63"/>
    <n v="47"/>
    <s v="Moderate"/>
    <n v="0"/>
    <n v="3.7400000000000003E-2"/>
    <n v="2.5499999999999998E-2"/>
    <d v="1899-12-31T18:15:00"/>
  </r>
  <r>
    <n v="802"/>
    <d v="2020-08-09T10:00:00"/>
    <d v="2020-08-09T00:00:00"/>
    <s v="10:00"/>
    <d v="2020-09-01T08:20:00"/>
    <d v="2020-09-01T00:00:00"/>
    <d v="1899-12-30T08:20:00"/>
    <n v="4"/>
    <x v="1"/>
    <x v="0"/>
    <x v="8"/>
    <n v="47"/>
    <n v="3.37"/>
    <n v="1.29"/>
    <s v="Alive"/>
    <n v="101"/>
    <n v="180"/>
    <n v="82"/>
    <n v="45"/>
    <s v="Moderate"/>
    <n v="0"/>
    <n v="3.3700000000000001E-2"/>
    <n v="1.29E-2"/>
    <d v="1900-01-21T22:20:00"/>
  </r>
  <r>
    <n v="803"/>
    <d v="2020-09-01T07:45:00"/>
    <d v="2020-09-01T00:00:00"/>
    <s v="07:45"/>
    <d v="2020-09-01T13:52:00"/>
    <d v="2020-09-01T00:00:00"/>
    <d v="1899-12-30T13:52:00"/>
    <n v="5"/>
    <x v="1"/>
    <x v="2"/>
    <x v="4"/>
    <n v="60"/>
    <n v="3.79"/>
    <n v="3.25"/>
    <s v="Alive"/>
    <n v="69"/>
    <n v="182"/>
    <n v="112"/>
    <n v="45"/>
    <s v="Moderate"/>
    <n v="0"/>
    <n v="3.7900000000000003E-2"/>
    <n v="3.2500000000000001E-2"/>
    <d v="1899-12-30T06:07:00"/>
  </r>
  <r>
    <n v="804"/>
    <d v="2020-09-01T15:56:00"/>
    <d v="2020-09-01T00:00:00"/>
    <s v="15:56"/>
    <d v="2020-09-02T08:00:00"/>
    <d v="2020-09-02T00:00:00"/>
    <d v="1899-12-30T08:00:00"/>
    <n v="5"/>
    <x v="1"/>
    <x v="0"/>
    <x v="6"/>
    <n v="66"/>
    <n v="3.57"/>
    <n v="0.81"/>
    <s v="Alive"/>
    <n v="82"/>
    <n v="172"/>
    <n v="96"/>
    <n v="65"/>
    <s v="Good"/>
    <n v="0"/>
    <n v="3.5699999999999996E-2"/>
    <n v="8.1000000000000013E-3"/>
    <d v="1899-12-30T16:04:00"/>
  </r>
  <r>
    <n v="805"/>
    <d v="2020-09-01T16:00:00"/>
    <d v="2020-09-01T00:00:00"/>
    <s v="16:00"/>
    <d v="2020-09-02T08:17:00"/>
    <d v="2020-09-02T00:00:00"/>
    <d v="1899-12-30T08:17:00"/>
    <n v="2"/>
    <x v="1"/>
    <x v="0"/>
    <x v="2"/>
    <n v="60"/>
    <n v="1.61"/>
    <n v="0.5"/>
    <s v="Alive"/>
    <n v="85"/>
    <n v="170"/>
    <n v="93"/>
    <n v="45"/>
    <s v="Moderate"/>
    <n v="0"/>
    <n v="1.61E-2"/>
    <n v="5.0000000000000001E-3"/>
    <d v="1899-12-30T16:17:00"/>
  </r>
  <r>
    <n v="806"/>
    <d v="2020-09-01T16:00:00"/>
    <d v="2020-09-01T00:00:00"/>
    <s v="16:00"/>
    <d v="2020-09-02T08:33:00"/>
    <d v="2020-09-02T00:00:00"/>
    <d v="1899-12-30T08:33:00"/>
    <n v="6"/>
    <x v="1"/>
    <x v="0"/>
    <x v="12"/>
    <n v="64"/>
    <n v="2.09"/>
    <n v="0.75"/>
    <s v="Alive"/>
    <n v="71"/>
    <n v="171"/>
    <n v="80"/>
    <n v="55"/>
    <s v="Good"/>
    <n v="0"/>
    <n v="2.0899999999999998E-2"/>
    <n v="7.4999999999999997E-3"/>
    <d v="1899-12-30T16:33:00"/>
  </r>
  <r>
    <n v="807"/>
    <d v="2020-08-27T16:18:00"/>
    <d v="2020-08-27T00:00:00"/>
    <s v="16:18"/>
    <d v="2020-09-02T08:45:00"/>
    <d v="2020-09-02T00:00:00"/>
    <d v="1899-12-30T08:45:00"/>
    <n v="4"/>
    <x v="2"/>
    <x v="2"/>
    <x v="11"/>
    <n v="78"/>
    <n v="49.2"/>
    <n v="13.95"/>
    <s v="Alive"/>
    <n v="64"/>
    <n v="166"/>
    <n v="70"/>
    <n v="54"/>
    <s v="Good"/>
    <n v="0"/>
    <n v="0.49200000000000005"/>
    <n v="0.13949999999999999"/>
    <d v="1900-01-04T16:27:00"/>
  </r>
  <r>
    <n v="808"/>
    <d v="2020-09-02T07:07:00"/>
    <d v="2020-09-02T00:00:00"/>
    <s v="07:07"/>
    <d v="2020-09-02T12:05:00"/>
    <d v="2020-09-02T00:00:00"/>
    <d v="1899-12-30T12:05:00"/>
    <n v="6"/>
    <x v="1"/>
    <x v="3"/>
    <x v="12"/>
    <n v="82"/>
    <n v="8.9700000000000006"/>
    <n v="5.07"/>
    <s v="Died"/>
    <n v="135"/>
    <n v="177"/>
    <n v="85"/>
    <n v="45"/>
    <s v="Moderate"/>
    <n v="1"/>
    <n v="8.9700000000000002E-2"/>
    <n v="5.0700000000000002E-2"/>
    <d v="1899-12-30T04:58:00"/>
  </r>
  <r>
    <n v="809"/>
    <d v="2020-09-02T07:05:00"/>
    <d v="2020-09-02T00:00:00"/>
    <s v="07:05"/>
    <d v="2020-09-02T12:54:00"/>
    <d v="2020-09-02T00:00:00"/>
    <d v="1899-12-30T12:54:00"/>
    <n v="4"/>
    <x v="1"/>
    <x v="0"/>
    <x v="11"/>
    <n v="62"/>
    <n v="2.5299999999999998"/>
    <n v="0.89"/>
    <s v="Alive"/>
    <n v="61"/>
    <n v="178"/>
    <n v="90"/>
    <n v="45"/>
    <s v="Moderate"/>
    <n v="0"/>
    <n v="2.53E-2"/>
    <n v="8.8999999999999999E-3"/>
    <d v="1899-12-30T05:49:00"/>
  </r>
  <r>
    <n v="810"/>
    <d v="2020-09-02T07:55:00"/>
    <d v="2020-09-02T00:00:00"/>
    <s v="07:55"/>
    <d v="2020-09-02T13:30:00"/>
    <d v="2020-09-02T00:00:00"/>
    <d v="1899-12-30T13:30:00"/>
    <n v="5"/>
    <x v="1"/>
    <x v="2"/>
    <x v="6"/>
    <n v="75"/>
    <n v="7.03"/>
    <n v="4.2300000000000004"/>
    <s v="Alive"/>
    <n v="65"/>
    <n v="170"/>
    <n v="83"/>
    <n v="55"/>
    <s v="Good"/>
    <n v="0"/>
    <n v="7.0300000000000001E-2"/>
    <n v="4.2300000000000004E-2"/>
    <d v="1899-12-30T05:35:00"/>
  </r>
  <r>
    <n v="811"/>
    <d v="2020-09-01T16:59:00"/>
    <d v="2020-09-01T00:00:00"/>
    <s v="16:59"/>
    <d v="2020-09-02T16:13:00"/>
    <d v="2020-09-02T00:00:00"/>
    <d v="1899-12-30T16:13:00"/>
    <n v="1"/>
    <x v="0"/>
    <x v="0"/>
    <x v="0"/>
    <n v="31"/>
    <n v="1.78"/>
    <n v="1"/>
    <s v="Alive"/>
    <n v="75"/>
    <n v="164"/>
    <n v="58"/>
    <n v="35"/>
    <s v="Moderate"/>
    <n v="0"/>
    <n v="1.78E-2"/>
    <n v="0.01"/>
    <d v="1899-12-30T23:14:00"/>
  </r>
  <r>
    <n v="812"/>
    <d v="2020-09-02T14:46:00"/>
    <d v="2020-09-02T00:00:00"/>
    <s v="14:46"/>
    <d v="2020-09-03T08:14:00"/>
    <d v="2020-09-03T00:00:00"/>
    <d v="1899-12-30T08:14:00"/>
    <n v="5"/>
    <x v="1"/>
    <x v="0"/>
    <x v="12"/>
    <n v="71"/>
    <n v="21.47"/>
    <n v="4.03"/>
    <s v="Alive"/>
    <n v="98"/>
    <n v="183"/>
    <n v="70"/>
    <n v="62"/>
    <s v="Good"/>
    <n v="0"/>
    <n v="0.2147"/>
    <n v="4.0300000000000002E-2"/>
    <d v="1899-12-30T17:28:00"/>
  </r>
  <r>
    <n v="813"/>
    <d v="2020-09-02T15:10:00"/>
    <d v="2020-09-02T00:00:00"/>
    <s v="15:10"/>
    <d v="2020-09-03T08:15:00"/>
    <d v="2020-09-03T00:00:00"/>
    <d v="1899-12-30T08:15:00"/>
    <n v="3"/>
    <x v="1"/>
    <x v="0"/>
    <x v="6"/>
    <n v="65"/>
    <n v="3.07"/>
    <n v="4.08"/>
    <s v="Alive"/>
    <n v="97"/>
    <n v="164"/>
    <n v="107"/>
    <n v="60"/>
    <s v="Good"/>
    <n v="0"/>
    <n v="3.0699999999999998E-2"/>
    <n v="4.0800000000000003E-2"/>
    <d v="1899-12-30T17:05:00"/>
  </r>
  <r>
    <n v="814"/>
    <d v="2020-09-03T07:07:00"/>
    <d v="2020-09-03T00:00:00"/>
    <s v="07:07"/>
    <d v="2020-09-03T11:37:00"/>
    <d v="2020-09-03T00:00:00"/>
    <d v="1899-12-30T11:37:00"/>
    <n v="5"/>
    <x v="1"/>
    <x v="0"/>
    <x v="12"/>
    <n v="57"/>
    <n v="1.51"/>
    <n v="0.56000000000000005"/>
    <s v="Alive"/>
    <n v="65"/>
    <n v="175"/>
    <n v="90"/>
    <n v="45"/>
    <s v="Moderate"/>
    <n v="0"/>
    <n v="1.5100000000000001E-2"/>
    <n v="5.6000000000000008E-3"/>
    <d v="1899-12-30T04:30:00"/>
  </r>
  <r>
    <n v="815"/>
    <d v="2020-09-03T07:04:00"/>
    <d v="2020-09-03T00:00:00"/>
    <s v="07:04"/>
    <d v="2020-09-03T14:03:00"/>
    <d v="2020-09-03T00:00:00"/>
    <d v="1899-12-30T14:03:00"/>
    <n v="3"/>
    <x v="1"/>
    <x v="0"/>
    <x v="6"/>
    <n v="58"/>
    <n v="2.08"/>
    <n v="1.62"/>
    <s v="Alive"/>
    <n v="79"/>
    <n v="165"/>
    <n v="70"/>
    <n v="65"/>
    <s v="Good"/>
    <n v="0"/>
    <n v="2.0799999999999999E-2"/>
    <n v="1.6200000000000003E-2"/>
    <d v="1899-12-30T06:59:00"/>
  </r>
  <r>
    <n v="816"/>
    <d v="2020-09-03T07:12:00"/>
    <d v="2020-09-03T00:00:00"/>
    <s v="07:12"/>
    <d v="2020-09-03T14:40:00"/>
    <d v="2020-09-03T00:00:00"/>
    <d v="1899-12-30T14:40:00"/>
    <n v="5"/>
    <x v="1"/>
    <x v="3"/>
    <x v="12"/>
    <n v="77"/>
    <n v="28.42"/>
    <n v="13.06"/>
    <s v="Alive"/>
    <n v="106"/>
    <n v="155"/>
    <n v="53"/>
    <n v="62"/>
    <s v="Good"/>
    <n v="0"/>
    <n v="0.28420000000000001"/>
    <n v="0.13059999999999999"/>
    <d v="1899-12-30T07:28:00"/>
  </r>
  <r>
    <n v="817"/>
    <d v="2020-08-31T14:00:00"/>
    <d v="2020-08-31T00:00:00"/>
    <s v="14:00"/>
    <d v="2020-09-04T08:11:00"/>
    <d v="2020-09-04T00:00:00"/>
    <d v="1899-12-30T08:11:00"/>
    <n v="2"/>
    <x v="2"/>
    <x v="2"/>
    <x v="11"/>
    <n v="63"/>
    <n v="2.96"/>
    <n v="1.32"/>
    <s v="Alive"/>
    <n v="103"/>
    <n v="170"/>
    <n v="70"/>
    <n v="66"/>
    <s v="Good"/>
    <n v="0"/>
    <n v="2.9600000000000001E-2"/>
    <n v="1.32E-2"/>
    <d v="1900-01-02T18:11:00"/>
  </r>
  <r>
    <n v="818"/>
    <d v="2020-09-03T14:55:00"/>
    <d v="2020-09-03T00:00:00"/>
    <s v="14:55"/>
    <d v="2020-09-04T08:15:00"/>
    <d v="2020-09-04T00:00:00"/>
    <d v="1899-12-30T08:15:00"/>
    <n v="5"/>
    <x v="1"/>
    <x v="4"/>
    <x v="16"/>
    <n v="44"/>
    <n v="6.35"/>
    <n v="2.04"/>
    <s v="Alive"/>
    <n v="74"/>
    <n v="178"/>
    <n v="68"/>
    <n v="57"/>
    <s v="Good"/>
    <n v="0"/>
    <n v="6.3500000000000001E-2"/>
    <n v="2.0400000000000001E-2"/>
    <d v="1899-12-30T17:20:00"/>
  </r>
  <r>
    <n v="819"/>
    <d v="2020-08-31T16:04:00"/>
    <d v="2020-08-31T00:00:00"/>
    <s v="16:04"/>
    <d v="2020-09-04T08:24:00"/>
    <d v="2020-09-04T00:00:00"/>
    <d v="1899-12-30T08:24:00"/>
    <n v="4"/>
    <x v="1"/>
    <x v="0"/>
    <x v="8"/>
    <n v="71"/>
    <n v="6.71"/>
    <n v="1.1499999999999999"/>
    <s v="Alive"/>
    <n v="68"/>
    <n v="176"/>
    <n v="92"/>
    <n v="63"/>
    <s v="Good"/>
    <n v="0"/>
    <n v="6.7099999999999993E-2"/>
    <n v="1.15E-2"/>
    <d v="1900-01-02T16:20:00"/>
  </r>
  <r>
    <n v="820"/>
    <d v="2020-08-21T11:00:00"/>
    <d v="2020-08-21T00:00:00"/>
    <s v="11:00"/>
    <d v="2020-09-04T14:00:00"/>
    <d v="2020-09-04T00:00:00"/>
    <d v="1899-12-30T14:00:00"/>
    <n v="4"/>
    <x v="2"/>
    <x v="2"/>
    <x v="11"/>
    <n v="79"/>
    <n v="13.2"/>
    <n v="6.61"/>
    <s v="Alive"/>
    <n v="81"/>
    <n v="150"/>
    <n v="71"/>
    <n v="45"/>
    <s v="Moderate"/>
    <n v="0"/>
    <n v="0.13200000000000001"/>
    <n v="6.6100000000000006E-2"/>
    <d v="1900-01-13T03:00:00"/>
  </r>
  <r>
    <n v="821"/>
    <d v="2020-08-24T11:44:00"/>
    <d v="2020-08-24T00:00:00"/>
    <s v="11:44"/>
    <d v="2020-09-04T14:25:00"/>
    <d v="2020-09-04T00:00:00"/>
    <d v="1899-12-30T14:25:00"/>
    <n v="5"/>
    <x v="2"/>
    <x v="2"/>
    <x v="16"/>
    <n v="78"/>
    <n v="4.58"/>
    <n v="2.1"/>
    <s v="Alive"/>
    <n v="118"/>
    <n v="170"/>
    <n v="102"/>
    <n v="33"/>
    <s v="Moderate"/>
    <n v="0"/>
    <n v="4.58E-2"/>
    <n v="2.1000000000000001E-2"/>
    <d v="1900-01-10T02:41:00"/>
  </r>
  <r>
    <n v="822"/>
    <d v="2020-09-04T14:50:00"/>
    <d v="2020-09-04T00:00:00"/>
    <s v="14:50"/>
    <d v="2020-09-04T22:20:00"/>
    <d v="2020-09-04T00:00:00"/>
    <d v="1899-12-30T22:20:00"/>
    <n v="1"/>
    <x v="0"/>
    <x v="2"/>
    <x v="2"/>
    <n v="80"/>
    <n v="48.39"/>
    <n v="16.52"/>
    <s v="Alive"/>
    <n v="131"/>
    <n v="166"/>
    <n v="94"/>
    <n v="42"/>
    <s v="Moderate"/>
    <n v="0"/>
    <n v="0.4839"/>
    <n v="0.16519999999999999"/>
    <d v="1899-12-30T07:30:00"/>
  </r>
  <r>
    <n v="823"/>
    <d v="2020-09-04T15:57:00"/>
    <d v="2020-09-04T00:00:00"/>
    <s v="15:57"/>
    <d v="2020-09-05T08:00:00"/>
    <d v="2020-09-05T00:00:00"/>
    <d v="1899-12-30T08:00:00"/>
    <n v="5"/>
    <x v="1"/>
    <x v="0"/>
    <x v="6"/>
    <n v="77"/>
    <n v="7.67"/>
    <n v="1.0900000000000001"/>
    <s v="Alive"/>
    <n v="86"/>
    <n v="166"/>
    <n v="77"/>
    <n v="55"/>
    <s v="Good"/>
    <n v="0"/>
    <n v="7.6700000000000004E-2"/>
    <n v="1.09E-2"/>
    <d v="1899-12-30T16:03:00"/>
  </r>
  <r>
    <n v="824"/>
    <d v="2020-09-05T07:00:00"/>
    <d v="2020-09-05T00:00:00"/>
    <s v="07:00"/>
    <d v="2020-09-05T12:21:00"/>
    <d v="2020-09-05T00:00:00"/>
    <d v="1899-12-30T12:21:00"/>
    <n v="5"/>
    <x v="1"/>
    <x v="0"/>
    <x v="6"/>
    <n v="78"/>
    <n v="10.29"/>
    <n v="2.5499999999999998"/>
    <s v="Alive"/>
    <n v="68"/>
    <n v="154"/>
    <n v="44"/>
    <n v="58"/>
    <s v="Good"/>
    <n v="0"/>
    <n v="0.10289999999999999"/>
    <n v="2.5499999999999998E-2"/>
    <d v="1899-12-30T05:21:00"/>
  </r>
  <r>
    <n v="825"/>
    <d v="2020-09-06T16:00:00"/>
    <d v="2020-09-06T00:00:00"/>
    <s v="16:00"/>
    <d v="2020-09-07T08:14:00"/>
    <d v="2020-09-07T00:00:00"/>
    <d v="1899-12-30T08:14:00"/>
    <n v="5"/>
    <x v="1"/>
    <x v="0"/>
    <x v="6"/>
    <n v="81"/>
    <n v="6.21"/>
    <n v="2.98"/>
    <s v="Alive"/>
    <n v="107"/>
    <n v="158"/>
    <n v="86"/>
    <n v="60"/>
    <s v="Good"/>
    <n v="0"/>
    <n v="6.2100000000000002E-2"/>
    <n v="2.98E-2"/>
    <d v="1899-12-30T16:14:00"/>
  </r>
  <r>
    <n v="826"/>
    <d v="2020-09-06T16:00:00"/>
    <d v="2020-09-06T00:00:00"/>
    <s v="16:00"/>
    <d v="2020-09-07T08:17:00"/>
    <d v="2020-09-07T00:00:00"/>
    <d v="1899-12-30T08:17:00"/>
    <n v="4"/>
    <x v="1"/>
    <x v="3"/>
    <x v="3"/>
    <n v="83"/>
    <n v="7.03"/>
    <n v="2.21"/>
    <s v="Alive"/>
    <n v="84"/>
    <n v="179"/>
    <n v="69"/>
    <n v="60"/>
    <s v="Good"/>
    <n v="0"/>
    <n v="7.0300000000000001E-2"/>
    <n v="2.2099999999999998E-2"/>
    <d v="1899-12-30T16:17:00"/>
  </r>
  <r>
    <n v="827"/>
    <d v="2020-09-06T16:00:00"/>
    <d v="2020-09-06T00:00:00"/>
    <s v="16:00"/>
    <d v="2020-09-07T08:19:00"/>
    <d v="2020-09-07T00:00:00"/>
    <d v="1899-12-30T08:19:00"/>
    <n v="2"/>
    <x v="1"/>
    <x v="6"/>
    <x v="12"/>
    <n v="78"/>
    <n v="3.06"/>
    <n v="3.32"/>
    <s v="Alive"/>
    <n v="77"/>
    <n v="170"/>
    <n v="70"/>
    <n v="55"/>
    <s v="Good"/>
    <n v="0"/>
    <n v="3.0600000000000002E-2"/>
    <n v="3.32E-2"/>
    <d v="1899-12-30T16:19:00"/>
  </r>
  <r>
    <n v="828"/>
    <d v="2020-09-05T14:00:00"/>
    <d v="2020-09-05T00:00:00"/>
    <s v="14:00"/>
    <d v="2020-09-07T08:25:00"/>
    <d v="2020-09-07T00:00:00"/>
    <d v="1899-12-30T08:25:00"/>
    <n v="6"/>
    <x v="2"/>
    <x v="2"/>
    <x v="14"/>
    <n v="72"/>
    <n v="10.85"/>
    <n v="3.61"/>
    <s v="Alive"/>
    <n v="65"/>
    <n v="175"/>
    <n v="75"/>
    <n v="60"/>
    <s v="Good"/>
    <n v="0"/>
    <n v="0.1085"/>
    <n v="3.61E-2"/>
    <d v="1899-12-31T18:25:00"/>
  </r>
  <r>
    <n v="829"/>
    <d v="2020-09-07T07:00:00"/>
    <d v="2020-09-07T00:00:00"/>
    <s v="07:00"/>
    <d v="2020-09-07T12:14:00"/>
    <d v="2020-09-07T00:00:00"/>
    <d v="1899-12-30T12:14:00"/>
    <n v="2"/>
    <x v="1"/>
    <x v="4"/>
    <x v="12"/>
    <n v="75"/>
    <n v="27.84"/>
    <n v="10.58"/>
    <s v="Alive"/>
    <n v="81"/>
    <n v="159"/>
    <n v="70"/>
    <n v="55"/>
    <s v="Good"/>
    <n v="0"/>
    <n v="0.27839999999999998"/>
    <n v="0.10580000000000001"/>
    <d v="1899-12-30T05:14:00"/>
  </r>
  <r>
    <n v="830"/>
    <d v="2020-08-25T14:12:00"/>
    <d v="2020-08-25T00:00:00"/>
    <s v="14:12"/>
    <d v="2020-09-07T12:55:00"/>
    <d v="2020-09-07T00:00:00"/>
    <d v="1899-12-30T12:55:00"/>
    <n v="5"/>
    <x v="2"/>
    <x v="2"/>
    <x v="11"/>
    <n v="79"/>
    <n v="8.1300000000000008"/>
    <n v="2.5099999999999998"/>
    <s v="Alive"/>
    <n v="64"/>
    <n v="170"/>
    <n v="78"/>
    <n v="65"/>
    <s v="Good"/>
    <n v="0"/>
    <n v="8.1300000000000011E-2"/>
    <n v="2.5099999999999997E-2"/>
    <d v="1900-01-11T22:43:00"/>
  </r>
  <r>
    <n v="831"/>
    <d v="2020-09-07T06:00:00"/>
    <d v="2020-09-07T00:00:00"/>
    <s v="06:00"/>
    <d v="2020-09-07T15:20:00"/>
    <d v="2020-09-07T00:00:00"/>
    <d v="1899-12-30T15:20:00"/>
    <n v="6"/>
    <x v="1"/>
    <x v="2"/>
    <x v="3"/>
    <n v="56"/>
    <n v="1.33"/>
    <n v="0.92"/>
    <s v="Alive"/>
    <n v="142"/>
    <n v="175"/>
    <n v="90"/>
    <n v="57"/>
    <s v="Good"/>
    <n v="0"/>
    <n v="1.3300000000000001E-2"/>
    <n v="9.1999999999999998E-3"/>
    <d v="1899-12-30T09:20:00"/>
  </r>
  <r>
    <n v="832"/>
    <d v="2020-09-07T16:11:00"/>
    <d v="2020-09-07T00:00:00"/>
    <s v="16:11"/>
    <d v="2020-09-08T08:01:00"/>
    <d v="2020-09-08T00:00:00"/>
    <d v="1899-12-30T08:01:00"/>
    <n v="2"/>
    <x v="1"/>
    <x v="0"/>
    <x v="2"/>
    <n v="58"/>
    <n v="9.4"/>
    <n v="2.76"/>
    <s v="Alive"/>
    <n v="80"/>
    <n v="169"/>
    <n v="74"/>
    <n v="54"/>
    <s v="Good"/>
    <n v="0"/>
    <n v="9.4E-2"/>
    <n v="2.76E-2"/>
    <d v="1899-12-30T15:50:00"/>
  </r>
  <r>
    <n v="833"/>
    <d v="2020-09-07T16:05:00"/>
    <d v="2020-09-07T00:00:00"/>
    <s v="16:05"/>
    <d v="2020-09-08T08:12:00"/>
    <d v="2020-09-08T00:00:00"/>
    <d v="1899-12-30T08:12:00"/>
    <n v="5"/>
    <x v="1"/>
    <x v="0"/>
    <x v="4"/>
    <n v="80"/>
    <n v="9.2100000000000009"/>
    <n v="1.92"/>
    <s v="Alive"/>
    <n v="82"/>
    <n v="170"/>
    <n v="101"/>
    <n v="25"/>
    <s v="Poor"/>
    <n v="0"/>
    <n v="9.2100000000000015E-2"/>
    <n v="1.9199999999999998E-2"/>
    <d v="1899-12-30T16:07:00"/>
  </r>
  <r>
    <n v="834"/>
    <d v="2020-08-24T10:00:00"/>
    <d v="2020-08-24T00:00:00"/>
    <s v="10:00"/>
    <d v="2020-09-08T08:15:00"/>
    <d v="2020-09-08T00:00:00"/>
    <d v="1899-12-30T08:15:00"/>
    <n v="4"/>
    <x v="2"/>
    <x v="3"/>
    <x v="8"/>
    <n v="64"/>
    <n v="2.1"/>
    <n v="1"/>
    <s v="Alive"/>
    <n v="64"/>
    <n v="172"/>
    <n v="97"/>
    <n v="46"/>
    <s v="Moderate"/>
    <n v="0"/>
    <n v="2.1000000000000001E-2"/>
    <n v="0.01"/>
    <d v="1900-01-13T22:15:00"/>
  </r>
  <r>
    <n v="835"/>
    <d v="2020-09-07T16:16:00"/>
    <d v="2020-09-07T00:00:00"/>
    <s v="16:16"/>
    <d v="2020-09-08T12:40:00"/>
    <d v="2020-09-08T00:00:00"/>
    <d v="1899-12-30T12:40:00"/>
    <n v="5"/>
    <x v="1"/>
    <x v="2"/>
    <x v="4"/>
    <n v="66"/>
    <n v="3.41"/>
    <n v="1.83"/>
    <s v="Alive"/>
    <n v="90"/>
    <n v="175"/>
    <n v="125"/>
    <n v="55"/>
    <s v="Good"/>
    <n v="0"/>
    <n v="3.4099999999999998E-2"/>
    <n v="1.83E-2"/>
    <d v="1899-12-30T20:24:00"/>
  </r>
  <r>
    <n v="836"/>
    <d v="2020-09-07T15:06:00"/>
    <d v="2020-09-07T00:00:00"/>
    <s v="15:06"/>
    <d v="2020-09-08T14:43:00"/>
    <d v="2020-09-08T00:00:00"/>
    <d v="1899-12-30T14:43:00"/>
    <n v="2"/>
    <x v="1"/>
    <x v="0"/>
    <x v="2"/>
    <n v="84"/>
    <n v="10.95"/>
    <n v="10.26"/>
    <s v="Alive"/>
    <n v="88"/>
    <n v="179"/>
    <n v="90"/>
    <n v="45"/>
    <s v="Moderate"/>
    <n v="0"/>
    <n v="0.10949999999999999"/>
    <n v="0.1026"/>
    <d v="1899-12-30T23:37:00"/>
  </r>
  <r>
    <n v="837"/>
    <d v="2020-09-08T07:00:00"/>
    <d v="2020-09-08T00:00:00"/>
    <s v="07:00"/>
    <d v="2020-09-08T14:45:00"/>
    <d v="2020-09-08T00:00:00"/>
    <d v="1899-12-30T14:45:00"/>
    <n v="4"/>
    <x v="1"/>
    <x v="0"/>
    <x v="8"/>
    <n v="35"/>
    <n v="1.51"/>
    <n v="0.56000000000000005"/>
    <s v="Alive"/>
    <n v="114"/>
    <n v="171"/>
    <n v="56"/>
    <n v="40"/>
    <s v="Moderate"/>
    <n v="0"/>
    <n v="1.5100000000000001E-2"/>
    <n v="5.6000000000000008E-3"/>
    <d v="1899-12-30T07:45:00"/>
  </r>
  <r>
    <n v="838"/>
    <d v="2020-09-08T16:00:00"/>
    <d v="2020-09-08T00:00:00"/>
    <s v="16:00"/>
    <d v="2020-09-09T08:00:00"/>
    <d v="2020-09-09T00:00:00"/>
    <d v="1899-12-30T08:00:00"/>
    <n v="2"/>
    <x v="1"/>
    <x v="4"/>
    <x v="2"/>
    <n v="81"/>
    <n v="24.31"/>
    <n v="10.36"/>
    <s v="Alive"/>
    <n v="66"/>
    <n v="175"/>
    <n v="100"/>
    <n v="55"/>
    <s v="Good"/>
    <n v="0"/>
    <n v="0.24309999999999998"/>
    <n v="0.1036"/>
    <d v="1899-12-30T16:00:00"/>
  </r>
  <r>
    <n v="839"/>
    <d v="2020-09-08T16:06:00"/>
    <d v="2020-09-08T00:00:00"/>
    <s v="16:06"/>
    <d v="2020-09-09T08:00:00"/>
    <d v="2020-09-09T00:00:00"/>
    <d v="1899-12-30T08:00:00"/>
    <n v="6"/>
    <x v="1"/>
    <x v="2"/>
    <x v="15"/>
    <n v="58"/>
    <n v="1.68"/>
    <n v="1.28"/>
    <s v="Alive"/>
    <n v="139"/>
    <n v="164"/>
    <n v="75"/>
    <n v="28"/>
    <s v="Poor"/>
    <n v="0"/>
    <n v="1.6799999999999999E-2"/>
    <n v="1.2800000000000001E-2"/>
    <d v="1899-12-30T15:54:00"/>
  </r>
  <r>
    <n v="840"/>
    <d v="2020-09-08T14:07:00"/>
    <d v="2020-09-08T00:00:00"/>
    <s v="14:07"/>
    <d v="2020-09-09T08:01:00"/>
    <d v="2020-09-09T00:00:00"/>
    <d v="1899-12-30T08:01:00"/>
    <n v="3"/>
    <x v="1"/>
    <x v="0"/>
    <x v="13"/>
    <n v="39"/>
    <n v="5.48"/>
    <n v="2.09"/>
    <s v="Alive"/>
    <n v="85"/>
    <n v="165"/>
    <n v="76"/>
    <n v="55"/>
    <s v="Good"/>
    <n v="0"/>
    <n v="5.4800000000000001E-2"/>
    <n v="2.0899999999999998E-2"/>
    <d v="1899-12-30T17:54:00"/>
  </r>
  <r>
    <n v="841"/>
    <d v="2020-09-07T11:00:00"/>
    <d v="2020-09-07T00:00:00"/>
    <s v="11:00"/>
    <d v="2020-09-09T08:11:00"/>
    <d v="2020-09-09T00:00:00"/>
    <d v="1899-12-30T08:11:00"/>
    <n v="5"/>
    <x v="2"/>
    <x v="3"/>
    <x v="16"/>
    <n v="76"/>
    <n v="4.53"/>
    <n v="2.77"/>
    <s v="Alive"/>
    <n v="100"/>
    <n v="178"/>
    <n v="89"/>
    <n v="55"/>
    <s v="Good"/>
    <n v="0"/>
    <n v="4.53E-2"/>
    <n v="2.7699999999999999E-2"/>
    <d v="1899-12-31T21:11:00"/>
  </r>
  <r>
    <n v="842"/>
    <d v="2020-09-03T16:01:00"/>
    <d v="2020-09-03T00:00:00"/>
    <s v="16:01"/>
    <d v="2020-09-09T08:21:00"/>
    <d v="2020-09-09T00:00:00"/>
    <d v="1899-12-30T08:21:00"/>
    <n v="4"/>
    <x v="2"/>
    <x v="4"/>
    <x v="11"/>
    <n v="81"/>
    <n v="30.88"/>
    <n v="11.5"/>
    <s v="Alive"/>
    <n v="85"/>
    <n v="170"/>
    <n v="80"/>
    <n v="80"/>
    <s v="Good"/>
    <n v="0"/>
    <n v="0.30879999999999996"/>
    <n v="0.115"/>
    <d v="1900-01-04T16:20:00"/>
  </r>
  <r>
    <n v="843"/>
    <d v="2020-09-09T07:00:00"/>
    <d v="2020-09-09T00:00:00"/>
    <s v="07:00"/>
    <d v="2020-09-09T13:58:00"/>
    <d v="2020-09-09T00:00:00"/>
    <d v="1899-12-30T13:58:00"/>
    <n v="2"/>
    <x v="1"/>
    <x v="0"/>
    <x v="2"/>
    <n v="66"/>
    <n v="2.38"/>
    <n v="0.59"/>
    <s v="Alive"/>
    <n v="112"/>
    <n v="170"/>
    <n v="119"/>
    <n v="70"/>
    <s v="Good"/>
    <n v="0"/>
    <n v="2.3799999999999998E-2"/>
    <n v="5.8999999999999999E-3"/>
    <d v="1899-12-30T06:58:00"/>
  </r>
  <r>
    <n v="844"/>
    <d v="2020-09-09T07:00:00"/>
    <d v="2020-09-09T00:00:00"/>
    <s v="07:00"/>
    <d v="2020-09-09T15:21:00"/>
    <d v="2020-09-09T00:00:00"/>
    <d v="1899-12-30T15:21:00"/>
    <n v="4"/>
    <x v="1"/>
    <x v="2"/>
    <x v="11"/>
    <n v="59"/>
    <n v="0.88"/>
    <n v="0.67"/>
    <s v="Alive"/>
    <n v="110"/>
    <n v="157"/>
    <n v="90"/>
    <n v="55"/>
    <s v="Good"/>
    <n v="0"/>
    <n v="8.8000000000000005E-3"/>
    <n v="6.7000000000000002E-3"/>
    <d v="1899-12-30T08:21:00"/>
  </r>
  <r>
    <n v="845"/>
    <d v="2020-09-09T07:00:00"/>
    <d v="2020-09-09T00:00:00"/>
    <s v="07:00"/>
    <d v="2020-09-09T15:23:00"/>
    <d v="2020-09-09T00:00:00"/>
    <d v="1899-12-30T15:23:00"/>
    <n v="3"/>
    <x v="1"/>
    <x v="2"/>
    <x v="13"/>
    <n v="77"/>
    <n v="3.94"/>
    <n v="1.36"/>
    <s v="Alive"/>
    <n v="84"/>
    <n v="168"/>
    <n v="89"/>
    <n v="45"/>
    <s v="Moderate"/>
    <n v="0"/>
    <n v="3.9399999999999998E-2"/>
    <n v="1.3600000000000001E-2"/>
    <d v="1899-12-30T08:23:00"/>
  </r>
  <r>
    <n v="846"/>
    <d v="2020-09-09T16:07:00"/>
    <d v="2020-09-09T00:00:00"/>
    <s v="16:07"/>
    <d v="2020-09-10T08:06:00"/>
    <d v="2020-09-10T00:00:00"/>
    <d v="1899-12-30T08:06:00"/>
    <n v="2"/>
    <x v="1"/>
    <x v="0"/>
    <x v="12"/>
    <n v="82"/>
    <n v="13.89"/>
    <n v="1.87"/>
    <s v="Alive"/>
    <n v="64"/>
    <n v="171"/>
    <n v="81"/>
    <n v="50"/>
    <s v="Moderate"/>
    <n v="0"/>
    <n v="0.1389"/>
    <n v="1.8700000000000001E-2"/>
    <d v="1899-12-30T15:59:00"/>
  </r>
  <r>
    <n v="847"/>
    <d v="2020-09-09T16:00:00"/>
    <d v="2020-09-09T00:00:00"/>
    <s v="16:00"/>
    <d v="2020-09-10T08:12:00"/>
    <d v="2020-09-10T00:00:00"/>
    <d v="1899-12-30T08:12:00"/>
    <n v="5"/>
    <x v="1"/>
    <x v="4"/>
    <x v="10"/>
    <n v="28"/>
    <n v="4.6500000000000004"/>
    <n v="1.64"/>
    <s v="Alive"/>
    <n v="69"/>
    <n v="163"/>
    <n v="79"/>
    <n v="65"/>
    <s v="Good"/>
    <n v="0"/>
    <n v="4.6500000000000007E-2"/>
    <n v="1.6399999999999998E-2"/>
    <d v="1899-12-30T16:12:00"/>
  </r>
  <r>
    <n v="848"/>
    <d v="2020-09-07T13:56:00"/>
    <d v="2020-09-07T00:00:00"/>
    <s v="13:56"/>
    <d v="2020-09-10T08:12:00"/>
    <d v="2020-09-10T00:00:00"/>
    <d v="1899-12-30T08:12:00"/>
    <n v="4"/>
    <x v="2"/>
    <x v="2"/>
    <x v="7"/>
    <n v="67"/>
    <n v="7.09"/>
    <n v="3.43"/>
    <s v="Alive"/>
    <n v="130"/>
    <n v="169"/>
    <n v="74"/>
    <n v="43"/>
    <s v="Moderate"/>
    <n v="0"/>
    <n v="7.0900000000000005E-2"/>
    <n v="3.4300000000000004E-2"/>
    <d v="1900-01-01T18:16:00"/>
  </r>
  <r>
    <n v="849"/>
    <d v="2020-09-10T07:00:00"/>
    <d v="2020-09-10T00:00:00"/>
    <s v="07:00"/>
    <d v="2020-09-10T10:54:00"/>
    <d v="2020-09-10T00:00:00"/>
    <d v="1899-12-30T10:54:00"/>
    <n v="2"/>
    <x v="1"/>
    <x v="3"/>
    <x v="12"/>
    <n v="82"/>
    <n v="8.9700000000000006"/>
    <n v="4.49"/>
    <s v="Alive"/>
    <n v="72"/>
    <n v="187"/>
    <n v="83"/>
    <n v="49"/>
    <s v="Moderate"/>
    <n v="0"/>
    <n v="8.9700000000000002E-2"/>
    <n v="4.4900000000000002E-2"/>
    <d v="1899-12-30T03:54:00"/>
  </r>
  <r>
    <n v="850"/>
    <d v="2020-08-30T09:58:00"/>
    <d v="2020-08-30T00:00:00"/>
    <s v="09:58"/>
    <d v="2020-09-10T14:25:00"/>
    <d v="2020-09-10T00:00:00"/>
    <d v="1899-12-30T14:25:00"/>
    <n v="5"/>
    <x v="2"/>
    <x v="2"/>
    <x v="11"/>
    <n v="68"/>
    <n v="2.72"/>
    <n v="1"/>
    <s v="Alive"/>
    <n v="86"/>
    <n v="173"/>
    <n v="92"/>
    <n v="59"/>
    <s v="Good"/>
    <n v="0"/>
    <n v="2.7200000000000002E-2"/>
    <n v="0.01"/>
    <d v="1900-01-10T04:27:00"/>
  </r>
  <r>
    <n v="851"/>
    <d v="2020-09-09T11:50:00"/>
    <d v="2020-09-09T00:00:00"/>
    <s v="11:50"/>
    <d v="2020-09-10T16:12:00"/>
    <d v="2020-09-10T00:00:00"/>
    <d v="1899-12-30T16:12:00"/>
    <n v="4"/>
    <x v="1"/>
    <x v="0"/>
    <x v="7"/>
    <n v="62"/>
    <n v="2.97"/>
    <n v="0.86"/>
    <s v="Alive"/>
    <n v="71"/>
    <n v="173"/>
    <n v="73"/>
    <n v="64"/>
    <s v="Good"/>
    <n v="0"/>
    <n v="2.9700000000000001E-2"/>
    <n v="8.6E-3"/>
    <d v="1899-12-31T04:22:00"/>
  </r>
  <r>
    <n v="852"/>
    <d v="2020-09-10T15:47:00"/>
    <d v="2020-09-10T00:00:00"/>
    <s v="15:47"/>
    <d v="2020-09-11T07:57:00"/>
    <d v="2020-09-11T00:00:00"/>
    <d v="1899-12-30T07:57:00"/>
    <n v="4"/>
    <x v="1"/>
    <x v="0"/>
    <x v="7"/>
    <n v="72"/>
    <n v="7.65"/>
    <n v="1.17"/>
    <s v="Alive"/>
    <n v="62"/>
    <n v="175"/>
    <n v="95"/>
    <n v="41"/>
    <s v="Moderate"/>
    <n v="0"/>
    <n v="7.6499999999999999E-2"/>
    <n v="1.1699999999999999E-2"/>
    <d v="1899-12-30T16:10:00"/>
  </r>
  <r>
    <n v="853"/>
    <d v="2020-09-07T11:00:00"/>
    <d v="2020-09-07T00:00:00"/>
    <s v="11:00"/>
    <d v="2020-09-11T08:03:00"/>
    <d v="2020-09-11T00:00:00"/>
    <d v="1899-12-30T08:03:00"/>
    <n v="5"/>
    <x v="1"/>
    <x v="2"/>
    <x v="15"/>
    <n v="68"/>
    <n v="1.59"/>
    <n v="0.7"/>
    <s v="Alive"/>
    <n v="127"/>
    <n v="165"/>
    <n v="69"/>
    <n v="66"/>
    <s v="Good"/>
    <n v="0"/>
    <n v="1.5900000000000001E-2"/>
    <n v="6.9999999999999993E-3"/>
    <d v="1900-01-02T21:03:00"/>
  </r>
  <r>
    <n v="854"/>
    <d v="2020-09-09T13:20:00"/>
    <d v="2020-09-09T00:00:00"/>
    <s v="13:20"/>
    <d v="2020-09-11T08:10:00"/>
    <d v="2020-09-11T00:00:00"/>
    <d v="1899-12-30T08:10:00"/>
    <n v="2"/>
    <x v="2"/>
    <x v="2"/>
    <x v="11"/>
    <n v="69"/>
    <n v="2.9"/>
    <n v="1.03"/>
    <s v="Alive"/>
    <n v="120"/>
    <n v="166"/>
    <n v="65"/>
    <n v="55"/>
    <s v="Good"/>
    <n v="0"/>
    <n v="2.8999999999999998E-2"/>
    <n v="1.03E-2"/>
    <d v="1899-12-31T18:50:00"/>
  </r>
  <r>
    <n v="855"/>
    <d v="2020-09-09T10:45:00"/>
    <d v="2020-09-09T00:00:00"/>
    <s v="10:45"/>
    <d v="2020-09-11T13:28:00"/>
    <d v="2020-09-11T00:00:00"/>
    <d v="1899-12-30T13:28:00"/>
    <n v="2"/>
    <x v="2"/>
    <x v="3"/>
    <x v="11"/>
    <n v="82"/>
    <n v="6.61"/>
    <n v="5.56"/>
    <s v="Alive"/>
    <n v="104"/>
    <n v="163"/>
    <n v="99"/>
    <n v="55"/>
    <s v="Good"/>
    <n v="0"/>
    <n v="6.6100000000000006E-2"/>
    <n v="5.5599999999999997E-2"/>
    <d v="1900-01-01T02:43:00"/>
  </r>
  <r>
    <n v="856"/>
    <d v="2020-09-10T17:15:00"/>
    <d v="2020-09-10T00:00:00"/>
    <s v="17:15"/>
    <d v="2020-09-11T13:40:00"/>
    <d v="2020-09-11T00:00:00"/>
    <d v="1899-12-30T13:40:00"/>
    <n v="5"/>
    <x v="1"/>
    <x v="2"/>
    <x v="15"/>
    <n v="74"/>
    <n v="2.36"/>
    <n v="1.18"/>
    <s v="Alive"/>
    <n v="67"/>
    <n v="180"/>
    <n v="98"/>
    <n v="48"/>
    <s v="Moderate"/>
    <n v="0"/>
    <n v="2.3599999999999999E-2"/>
    <n v="1.18E-2"/>
    <d v="1899-12-30T20:25:00"/>
  </r>
  <r>
    <n v="857"/>
    <d v="2020-09-11T07:00:00"/>
    <d v="2020-09-11T00:00:00"/>
    <s v="07:00"/>
    <d v="2020-09-11T13:40:00"/>
    <d v="2020-09-11T00:00:00"/>
    <d v="1899-12-30T13:40:00"/>
    <n v="4"/>
    <x v="1"/>
    <x v="2"/>
    <x v="7"/>
    <n v="77"/>
    <n v="2.87"/>
    <n v="1.0900000000000001"/>
    <s v="Alive"/>
    <n v="70"/>
    <n v="180"/>
    <n v="100"/>
    <n v="52"/>
    <s v="Good"/>
    <n v="0"/>
    <n v="2.87E-2"/>
    <n v="1.09E-2"/>
    <d v="1899-12-30T06:40:00"/>
  </r>
  <r>
    <n v="858"/>
    <d v="2020-09-11T07:26:00"/>
    <d v="2020-09-11T00:00:00"/>
    <s v="07:26"/>
    <d v="2020-09-12T08:12:00"/>
    <d v="2020-09-12T00:00:00"/>
    <d v="1899-12-30T08:12:00"/>
    <n v="5"/>
    <x v="1"/>
    <x v="3"/>
    <x v="12"/>
    <n v="82"/>
    <n v="18.25"/>
    <n v="9.65"/>
    <s v="Died"/>
    <n v="86"/>
    <n v="176"/>
    <n v="9.5"/>
    <n v="57"/>
    <s v="Good"/>
    <n v="1"/>
    <n v="0.1825"/>
    <n v="9.6500000000000002E-2"/>
    <d v="1899-12-31T00:46:00"/>
  </r>
  <r>
    <n v="859"/>
    <d v="2020-09-11T16:14:00"/>
    <d v="2020-09-11T00:00:00"/>
    <s v="16:14"/>
    <d v="2020-09-12T11:07:00"/>
    <d v="2020-09-12T00:00:00"/>
    <d v="1899-12-30T11:07:00"/>
    <n v="5"/>
    <x v="1"/>
    <x v="3"/>
    <x v="12"/>
    <n v="73"/>
    <n v="8.82"/>
    <n v="3.86"/>
    <s v="Alive"/>
    <n v="134"/>
    <n v="176"/>
    <n v="100"/>
    <n v="41"/>
    <s v="Moderate"/>
    <n v="0"/>
    <n v="8.8200000000000001E-2"/>
    <n v="3.8599999999999995E-2"/>
    <d v="1899-12-30T18:53:00"/>
  </r>
  <r>
    <n v="860"/>
    <d v="2020-09-13T16:00:00"/>
    <d v="2020-09-13T00:00:00"/>
    <s v="16:00"/>
    <d v="2020-09-14T08:07:00"/>
    <d v="2020-09-14T00:00:00"/>
    <d v="1899-12-30T08:07:00"/>
    <n v="4"/>
    <x v="1"/>
    <x v="0"/>
    <x v="6"/>
    <n v="69"/>
    <n v="5.92"/>
    <n v="7.08"/>
    <s v="Alive"/>
    <n v="89"/>
    <n v="161"/>
    <n v="86"/>
    <n v="28"/>
    <s v="Poor"/>
    <n v="0"/>
    <n v="5.9200000000000003E-2"/>
    <n v="7.0800000000000002E-2"/>
    <d v="1899-12-30T16:07:00"/>
  </r>
  <r>
    <n v="861"/>
    <d v="2020-09-13T16:00:00"/>
    <d v="2020-09-13T00:00:00"/>
    <s v="16:00"/>
    <d v="2020-09-14T08:08:00"/>
    <d v="2020-09-14T00:00:00"/>
    <d v="1899-12-30T08:08:00"/>
    <n v="6"/>
    <x v="1"/>
    <x v="4"/>
    <x v="1"/>
    <n v="77"/>
    <n v="18.37"/>
    <n v="1.92"/>
    <s v="Alive"/>
    <n v="92"/>
    <n v="172"/>
    <n v="77"/>
    <n v="57"/>
    <s v="Good"/>
    <n v="0"/>
    <n v="0.1837"/>
    <n v="1.9199999999999998E-2"/>
    <d v="1899-12-30T16:08:00"/>
  </r>
  <r>
    <n v="862"/>
    <d v="2020-09-13T15:58:00"/>
    <d v="2020-09-13T00:00:00"/>
    <s v="15:58"/>
    <d v="2020-09-14T08:11:00"/>
    <d v="2020-09-14T00:00:00"/>
    <d v="1899-12-30T08:11:00"/>
    <n v="5"/>
    <x v="1"/>
    <x v="2"/>
    <x v="3"/>
    <n v="56"/>
    <n v="0.88"/>
    <n v="0.5"/>
    <s v="Alive"/>
    <n v="76"/>
    <n v="174"/>
    <n v="83"/>
    <n v="40"/>
    <s v="Moderate"/>
    <n v="0"/>
    <n v="8.8000000000000005E-3"/>
    <n v="5.0000000000000001E-3"/>
    <d v="1899-12-30T16:13:00"/>
  </r>
  <r>
    <n v="863"/>
    <d v="2020-09-13T15:40:00"/>
    <d v="2020-09-13T00:00:00"/>
    <s v="15:40"/>
    <d v="2020-09-14T08:13:00"/>
    <d v="2020-09-14T00:00:00"/>
    <d v="1899-12-30T08:13:00"/>
    <n v="3"/>
    <x v="1"/>
    <x v="0"/>
    <x v="0"/>
    <n v="58"/>
    <n v="2.08"/>
    <n v="0.84"/>
    <s v="Alive"/>
    <n v="93"/>
    <n v="170"/>
    <n v="72"/>
    <n v="60"/>
    <s v="Good"/>
    <n v="0"/>
    <n v="2.0799999999999999E-2"/>
    <n v="8.3999999999999995E-3"/>
    <d v="1899-12-30T16:33:00"/>
  </r>
  <r>
    <n v="864"/>
    <d v="2020-09-13T15:35:00"/>
    <d v="2020-09-13T00:00:00"/>
    <s v="15:35"/>
    <d v="2020-09-14T08:18:00"/>
    <d v="2020-09-14T00:00:00"/>
    <d v="1899-12-30T08:18:00"/>
    <n v="2"/>
    <x v="1"/>
    <x v="0"/>
    <x v="12"/>
    <n v="78"/>
    <n v="9.43"/>
    <n v="2.17"/>
    <s v="Alive"/>
    <n v="196"/>
    <n v="168"/>
    <n v="111"/>
    <n v="40"/>
    <s v="Moderate"/>
    <n v="0"/>
    <n v="9.4299999999999995E-2"/>
    <n v="2.1700000000000001E-2"/>
    <d v="1899-12-30T16:43:00"/>
  </r>
  <r>
    <n v="865"/>
    <d v="2020-09-07T16:00:00"/>
    <d v="2020-09-07T00:00:00"/>
    <s v="16:00"/>
    <d v="2020-09-14T11:56:00"/>
    <d v="2020-09-14T00:00:00"/>
    <d v="1899-12-30T11:56:00"/>
    <n v="2"/>
    <x v="1"/>
    <x v="0"/>
    <x v="12"/>
    <n v="70"/>
    <n v="13.24"/>
    <n v="3.14"/>
    <s v="Alive"/>
    <n v="112"/>
    <n v="178"/>
    <n v="85"/>
    <n v="60"/>
    <s v="Good"/>
    <n v="0"/>
    <n v="0.13239999999999999"/>
    <n v="3.1400000000000004E-2"/>
    <d v="1900-01-05T19:56:00"/>
  </r>
  <r>
    <n v="866"/>
    <d v="2020-09-12T10:00:00"/>
    <d v="2020-09-12T00:00:00"/>
    <s v="10:00"/>
    <d v="2020-09-14T13:05:00"/>
    <d v="2020-09-14T00:00:00"/>
    <d v="1899-12-30T13:05:00"/>
    <n v="6"/>
    <x v="2"/>
    <x v="3"/>
    <x v="1"/>
    <n v="72"/>
    <n v="3.51"/>
    <n v="1.66"/>
    <s v="Alive"/>
    <n v="83"/>
    <n v="163"/>
    <n v="75"/>
    <n v="29"/>
    <s v="Poor"/>
    <n v="0"/>
    <n v="3.5099999999999999E-2"/>
    <n v="1.66E-2"/>
    <d v="1900-01-01T03:05:00"/>
  </r>
  <r>
    <n v="867"/>
    <d v="2020-09-12T13:40:00"/>
    <d v="2020-09-12T00:00:00"/>
    <s v="13:40"/>
    <d v="2020-09-14T13:07:00"/>
    <d v="2020-09-14T00:00:00"/>
    <d v="1899-12-30T13:07:00"/>
    <n v="4"/>
    <x v="2"/>
    <x v="2"/>
    <x v="6"/>
    <n v="72"/>
    <n v="3.91"/>
    <n v="2.27"/>
    <s v="Alive"/>
    <n v="110"/>
    <n v="154"/>
    <n v="88"/>
    <n v="29"/>
    <s v="Poor"/>
    <n v="0"/>
    <n v="3.9100000000000003E-2"/>
    <n v="2.2700000000000001E-2"/>
    <d v="1899-12-31T23:27:00"/>
  </r>
  <r>
    <n v="868"/>
    <d v="2020-09-03T12:00:00"/>
    <d v="2020-09-03T00:00:00"/>
    <s v="12:00"/>
    <d v="2020-09-14T13:26:00"/>
    <d v="2020-09-14T00:00:00"/>
    <d v="1899-12-30T13:26:00"/>
    <n v="3"/>
    <x v="2"/>
    <x v="2"/>
    <x v="0"/>
    <n v="61"/>
    <n v="1.01"/>
    <n v="0.71"/>
    <s v="Alive"/>
    <n v="85"/>
    <n v="173"/>
    <n v="82"/>
    <n v="25"/>
    <s v="Poor"/>
    <n v="0"/>
    <n v="1.01E-2"/>
    <n v="7.0999999999999995E-3"/>
    <d v="1900-01-10T01:26:00"/>
  </r>
  <r>
    <n v="869"/>
    <d v="2020-09-12T10:55:00"/>
    <d v="2020-09-12T00:00:00"/>
    <s v="10:55"/>
    <d v="2020-09-14T14:45:00"/>
    <d v="2020-09-14T00:00:00"/>
    <d v="1899-12-30T14:45:00"/>
    <n v="5"/>
    <x v="2"/>
    <x v="2"/>
    <x v="3"/>
    <n v="65"/>
    <n v="13.48"/>
    <n v="25.78"/>
    <s v="Alive"/>
    <n v="78"/>
    <n v="167"/>
    <n v="72"/>
    <n v="52"/>
    <s v="Good"/>
    <n v="0"/>
    <n v="0.1348"/>
    <n v="0.25780000000000003"/>
    <d v="1900-01-01T03:50:00"/>
  </r>
  <r>
    <n v="870"/>
    <d v="2020-09-02T14:00:00"/>
    <d v="2020-09-02T00:00:00"/>
    <s v="14:00"/>
    <d v="2020-09-15T08:08:00"/>
    <d v="2020-09-15T00:00:00"/>
    <d v="1899-12-30T08:08:00"/>
    <n v="2"/>
    <x v="2"/>
    <x v="3"/>
    <x v="8"/>
    <n v="77"/>
    <n v="9.99"/>
    <n v="12.6"/>
    <s v="Alive"/>
    <n v="132"/>
    <n v="182"/>
    <n v="82"/>
    <n v="51"/>
    <s v="Good"/>
    <n v="0"/>
    <n v="9.9900000000000003E-2"/>
    <n v="0.126"/>
    <d v="1900-01-11T18:08:00"/>
  </r>
  <r>
    <n v="871"/>
    <d v="2020-09-13T11:00:00"/>
    <d v="2020-09-13T00:00:00"/>
    <s v="11:00"/>
    <d v="2020-09-15T08:10:00"/>
    <d v="2020-09-15T00:00:00"/>
    <d v="1899-12-30T08:10:00"/>
    <n v="5"/>
    <x v="2"/>
    <x v="3"/>
    <x v="4"/>
    <n v="79"/>
    <n v="5.48"/>
    <n v="3.61"/>
    <s v="Alive"/>
    <n v="74"/>
    <n v="170"/>
    <n v="70"/>
    <n v="47"/>
    <s v="Moderate"/>
    <n v="0"/>
    <n v="5.4800000000000001E-2"/>
    <n v="3.61E-2"/>
    <d v="1899-12-31T21:10:00"/>
  </r>
  <r>
    <n v="872"/>
    <d v="2020-09-14T16:00:00"/>
    <d v="2020-09-14T00:00:00"/>
    <s v="16:00"/>
    <d v="2020-09-15T08:10:00"/>
    <d v="2020-09-15T00:00:00"/>
    <d v="1899-12-30T08:10:00"/>
    <n v="4"/>
    <x v="1"/>
    <x v="0"/>
    <x v="12"/>
    <n v="53"/>
    <n v="1.51"/>
    <n v="0.67"/>
    <s v="Alive"/>
    <n v="99"/>
    <n v="179"/>
    <n v="110"/>
    <n v="37"/>
    <s v="Moderate"/>
    <n v="0"/>
    <n v="1.5100000000000001E-2"/>
    <n v="6.7000000000000002E-3"/>
    <d v="1899-12-30T16:10:00"/>
  </r>
  <r>
    <n v="873"/>
    <d v="2020-09-06T12:47:00"/>
    <d v="2020-09-06T00:00:00"/>
    <s v="12:47"/>
    <d v="2020-09-15T08:21:00"/>
    <d v="2020-09-15T00:00:00"/>
    <d v="1899-12-30T08:21:00"/>
    <n v="6"/>
    <x v="2"/>
    <x v="2"/>
    <x v="15"/>
    <n v="74"/>
    <n v="15.4"/>
    <n v="4.2699999999999996"/>
    <s v="Alive"/>
    <n v="65"/>
    <n v="171"/>
    <n v="80"/>
    <n v="55"/>
    <s v="Good"/>
    <n v="0"/>
    <n v="0.154"/>
    <n v="4.2699999999999995E-2"/>
    <d v="1900-01-07T19:34:00"/>
  </r>
  <r>
    <n v="874"/>
    <d v="2020-09-14T16:00:00"/>
    <d v="2020-09-14T00:00:00"/>
    <s v="16:00"/>
    <d v="2020-09-15T11:38:00"/>
    <d v="2020-09-15T00:00:00"/>
    <d v="1899-12-30T11:38:00"/>
    <n v="4"/>
    <x v="1"/>
    <x v="3"/>
    <x v="12"/>
    <n v="80"/>
    <n v="5.83"/>
    <n v="2.73"/>
    <s v="Alive"/>
    <n v="76"/>
    <n v="147"/>
    <n v="50"/>
    <n v="35"/>
    <s v="Moderate"/>
    <n v="0"/>
    <n v="5.8299999999999998E-2"/>
    <n v="2.7300000000000001E-2"/>
    <d v="1899-12-30T19:38:00"/>
  </r>
  <r>
    <n v="875"/>
    <d v="2020-09-14T16:00:00"/>
    <d v="2020-09-14T00:00:00"/>
    <s v="16:00"/>
    <d v="2020-09-15T14:08:00"/>
    <d v="2020-09-15T00:00:00"/>
    <d v="1899-12-30T14:08:00"/>
    <n v="6"/>
    <x v="1"/>
    <x v="0"/>
    <x v="15"/>
    <n v="79"/>
    <n v="8.1"/>
    <n v="2.12"/>
    <s v="Alive"/>
    <n v="104"/>
    <n v="174"/>
    <n v="95"/>
    <n v="65"/>
    <s v="Good"/>
    <n v="0"/>
    <n v="8.1000000000000003E-2"/>
    <n v="2.12E-2"/>
    <d v="1899-12-30T22:08:00"/>
  </r>
  <r>
    <n v="876"/>
    <d v="2020-09-14T13:56:00"/>
    <d v="2020-09-14T00:00:00"/>
    <s v="13:56"/>
    <d v="2020-09-15T14:27:00"/>
    <d v="2020-09-15T00:00:00"/>
    <d v="1899-12-30T14:27:00"/>
    <n v="5"/>
    <x v="1"/>
    <x v="3"/>
    <x v="4"/>
    <n v="55"/>
    <n v="1.51"/>
    <n v="0.96"/>
    <s v="Alive"/>
    <n v="107"/>
    <n v="160"/>
    <n v="63"/>
    <n v="55"/>
    <s v="Good"/>
    <n v="0"/>
    <n v="1.5100000000000001E-2"/>
    <n v="9.5999999999999992E-3"/>
    <d v="1899-12-31T00:31:00"/>
  </r>
  <r>
    <n v="877"/>
    <d v="2020-09-13T10:00:00"/>
    <d v="2020-09-13T00:00:00"/>
    <s v="10:00"/>
    <d v="2020-09-15T14:52:00"/>
    <d v="2020-09-15T00:00:00"/>
    <d v="1899-12-30T14:52:00"/>
    <n v="2"/>
    <x v="1"/>
    <x v="0"/>
    <x v="8"/>
    <n v="56"/>
    <n v="5.96"/>
    <n v="5.22"/>
    <s v="Alive"/>
    <n v="98"/>
    <n v="181"/>
    <n v="91"/>
    <n v="55"/>
    <s v="Good"/>
    <n v="0"/>
    <n v="5.96E-2"/>
    <n v="5.2199999999999996E-2"/>
    <d v="1900-01-01T04:52:00"/>
  </r>
  <r>
    <n v="878"/>
    <d v="2020-09-15T07:04:00"/>
    <d v="2020-09-15T00:00:00"/>
    <s v="07:04"/>
    <d v="2020-09-15T15:37:00"/>
    <d v="2020-09-15T00:00:00"/>
    <d v="1899-12-30T15:37:00"/>
    <n v="4"/>
    <x v="1"/>
    <x v="0"/>
    <x v="13"/>
    <n v="67"/>
    <n v="4.09"/>
    <n v="0.82"/>
    <s v="Alive"/>
    <n v="100"/>
    <n v="167"/>
    <n v="57"/>
    <n v="15"/>
    <s v="Very Poor"/>
    <n v="0"/>
    <n v="4.0899999999999999E-2"/>
    <n v="8.199999999999999E-3"/>
    <d v="1899-12-30T08:33:00"/>
  </r>
  <r>
    <n v="879"/>
    <d v="2020-09-15T15:33:00"/>
    <d v="2020-09-15T00:00:00"/>
    <s v="15:33"/>
    <d v="2020-09-16T07:55:00"/>
    <d v="2020-09-16T00:00:00"/>
    <d v="1899-12-30T07:55:00"/>
    <n v="2"/>
    <x v="1"/>
    <x v="0"/>
    <x v="2"/>
    <n v="64"/>
    <n v="6.88"/>
    <n v="3.95"/>
    <s v="Alive"/>
    <n v="81"/>
    <n v="182"/>
    <n v="113"/>
    <n v="51"/>
    <s v="Good"/>
    <n v="0"/>
    <n v="6.88E-2"/>
    <n v="3.95E-2"/>
    <d v="1899-12-30T16:22:00"/>
  </r>
  <r>
    <n v="880"/>
    <d v="2020-09-15T15:59:00"/>
    <d v="2020-09-15T00:00:00"/>
    <s v="15:59"/>
    <d v="2020-09-16T08:04:00"/>
    <d v="2020-09-16T00:00:00"/>
    <d v="1899-12-30T08:04:00"/>
    <n v="4"/>
    <x v="1"/>
    <x v="3"/>
    <x v="15"/>
    <n v="69"/>
    <n v="5.42"/>
    <n v="1.89"/>
    <s v="Alive"/>
    <n v="62"/>
    <n v="176"/>
    <n v="89"/>
    <n v="62"/>
    <s v="Good"/>
    <n v="0"/>
    <n v="5.4199999999999998E-2"/>
    <n v="1.89E-2"/>
    <d v="1899-12-30T16:05:00"/>
  </r>
  <r>
    <n v="881"/>
    <d v="2020-09-12T10:21:00"/>
    <d v="2020-09-12T00:00:00"/>
    <s v="10:21"/>
    <d v="2020-09-16T08:08:00"/>
    <d v="2020-09-16T00:00:00"/>
    <d v="1899-12-30T08:08:00"/>
    <n v="5"/>
    <x v="2"/>
    <x v="2"/>
    <x v="11"/>
    <n v="52"/>
    <n v="1.51"/>
    <n v="1.34"/>
    <s v="Alive"/>
    <n v="89"/>
    <n v="159"/>
    <n v="68"/>
    <n v="55"/>
    <s v="Good"/>
    <n v="0"/>
    <n v="1.5100000000000001E-2"/>
    <n v="1.34E-2"/>
    <d v="1900-01-02T21:47:00"/>
  </r>
  <r>
    <n v="882"/>
    <d v="2020-09-01T15:42:00"/>
    <d v="2020-09-01T00:00:00"/>
    <s v="15:42"/>
    <d v="2020-09-16T08:20:00"/>
    <d v="2020-09-16T00:00:00"/>
    <d v="1899-12-30T08:20:00"/>
    <n v="6"/>
    <x v="2"/>
    <x v="2"/>
    <x v="0"/>
    <n v="82"/>
    <n v="6.63"/>
    <n v="1.49"/>
    <s v="Alive"/>
    <n v="99"/>
    <n v="166"/>
    <n v="91"/>
    <n v="52"/>
    <s v="Good"/>
    <n v="0"/>
    <n v="6.6299999999999998E-2"/>
    <n v="1.49E-2"/>
    <d v="1900-01-13T16:38:00"/>
  </r>
  <r>
    <n v="883"/>
    <d v="2020-09-16T07:18:00"/>
    <d v="2020-09-16T00:00:00"/>
    <s v="07:18"/>
    <d v="2020-09-16T12:48:00"/>
    <d v="2020-09-16T00:00:00"/>
    <d v="1899-12-30T12:48:00"/>
    <n v="6"/>
    <x v="1"/>
    <x v="2"/>
    <x v="0"/>
    <n v="63"/>
    <n v="1.59"/>
    <n v="1.07"/>
    <s v="Alive"/>
    <n v="79"/>
    <n v="183"/>
    <n v="73"/>
    <n v="50"/>
    <s v="Moderate"/>
    <n v="0"/>
    <n v="1.5900000000000001E-2"/>
    <n v="1.0700000000000001E-2"/>
    <d v="1899-12-30T05:30:00"/>
  </r>
  <r>
    <n v="884"/>
    <d v="2020-09-15T16:01:00"/>
    <d v="2020-09-15T00:00:00"/>
    <s v="16:01"/>
    <d v="2020-09-16T13:50:00"/>
    <d v="2020-09-16T00:00:00"/>
    <d v="1899-12-30T13:50:00"/>
    <n v="5"/>
    <x v="1"/>
    <x v="2"/>
    <x v="11"/>
    <n v="66"/>
    <n v="7.54"/>
    <n v="12.87"/>
    <s v="Alive"/>
    <n v="75"/>
    <n v="173"/>
    <n v="100"/>
    <n v="51"/>
    <s v="Good"/>
    <n v="0"/>
    <n v="7.5399999999999995E-2"/>
    <n v="0.12869999999999998"/>
    <d v="1899-12-30T21:49:00"/>
  </r>
  <r>
    <n v="885"/>
    <d v="2020-09-10T12:05:00"/>
    <d v="2020-09-10T00:00:00"/>
    <s v="12:05"/>
    <d v="2020-09-16T14:35:00"/>
    <d v="2020-09-16T00:00:00"/>
    <d v="1899-12-30T14:35:00"/>
    <n v="4"/>
    <x v="2"/>
    <x v="2"/>
    <x v="15"/>
    <n v="78"/>
    <n v="8.18"/>
    <n v="1.78"/>
    <s v="Alive"/>
    <n v="87"/>
    <n v="170"/>
    <n v="70"/>
    <n v="54"/>
    <s v="Good"/>
    <n v="0"/>
    <n v="8.1799999999999998E-2"/>
    <n v="1.78E-2"/>
    <d v="1900-01-05T02:30:00"/>
  </r>
  <r>
    <n v="886"/>
    <d v="2020-09-16T07:02:00"/>
    <d v="2020-09-16T00:00:00"/>
    <s v="07:02"/>
    <d v="2020-09-16T14:48:00"/>
    <d v="2020-09-16T00:00:00"/>
    <d v="1899-12-30T14:48:00"/>
    <n v="2"/>
    <x v="1"/>
    <x v="0"/>
    <x v="2"/>
    <n v="72"/>
    <n v="4.8099999999999996"/>
    <n v="2.27"/>
    <s v="Alive"/>
    <n v="120"/>
    <n v="179"/>
    <n v="100"/>
    <n v="53"/>
    <s v="Good"/>
    <n v="0"/>
    <n v="4.8099999999999997E-2"/>
    <n v="2.2700000000000001E-2"/>
    <d v="1899-12-30T07:46:00"/>
  </r>
  <r>
    <n v="887"/>
    <d v="2020-09-16T16:00:00"/>
    <d v="2020-09-16T00:00:00"/>
    <s v="16:00"/>
    <d v="2020-09-17T08:00:00"/>
    <d v="2020-09-17T00:00:00"/>
    <d v="1899-12-30T08:00:00"/>
    <n v="2"/>
    <x v="1"/>
    <x v="4"/>
    <x v="12"/>
    <n v="69"/>
    <n v="37.47"/>
    <n v="12.1"/>
    <s v="Alive"/>
    <n v="144"/>
    <n v="162"/>
    <n v="65"/>
    <n v="55"/>
    <s v="Good"/>
    <n v="0"/>
    <n v="0.37469999999999998"/>
    <n v="0.121"/>
    <d v="1899-12-30T16:00:00"/>
  </r>
  <r>
    <n v="888"/>
    <d v="2020-09-16T15:41:00"/>
    <d v="2020-09-16T00:00:00"/>
    <s v="15:41"/>
    <d v="2020-09-17T08:10:00"/>
    <d v="2020-09-17T00:00:00"/>
    <d v="1899-12-30T08:10:00"/>
    <n v="4"/>
    <x v="1"/>
    <x v="0"/>
    <x v="11"/>
    <n v="85"/>
    <n v="7.96"/>
    <n v="1.36"/>
    <s v="Alive"/>
    <n v="107"/>
    <n v="160"/>
    <n v="71"/>
    <n v="55"/>
    <s v="Good"/>
    <n v="0"/>
    <n v="7.9600000000000004E-2"/>
    <n v="1.3600000000000001E-2"/>
    <d v="1899-12-30T16:29:00"/>
  </r>
  <r>
    <n v="889"/>
    <d v="2020-09-16T16:06:00"/>
    <d v="2020-09-16T00:00:00"/>
    <s v="16:06"/>
    <d v="2020-09-17T08:37:00"/>
    <d v="2020-09-17T00:00:00"/>
    <d v="1899-12-30T08:37:00"/>
    <n v="5"/>
    <x v="1"/>
    <x v="2"/>
    <x v="16"/>
    <n v="67"/>
    <n v="1.49"/>
    <n v="0.68"/>
    <s v="Alive"/>
    <n v="80"/>
    <n v="170"/>
    <n v="80"/>
    <n v="40"/>
    <s v="Moderate"/>
    <n v="0"/>
    <n v="1.49E-2"/>
    <n v="6.8000000000000005E-3"/>
    <d v="1899-12-30T16:31:00"/>
  </r>
  <r>
    <n v="890"/>
    <d v="2020-09-17T07:00:00"/>
    <d v="2020-09-17T00:00:00"/>
    <s v="07:00"/>
    <d v="2020-09-17T12:30:00"/>
    <d v="2020-09-17T00:00:00"/>
    <d v="1899-12-30T12:30:00"/>
    <n v="4"/>
    <x v="1"/>
    <x v="2"/>
    <x v="11"/>
    <n v="74"/>
    <n v="4.45"/>
    <n v="1.41"/>
    <s v="Alive"/>
    <n v="63"/>
    <n v="173"/>
    <n v="83"/>
    <n v="46"/>
    <s v="Moderate"/>
    <n v="0"/>
    <n v="4.4500000000000005E-2"/>
    <n v="1.41E-2"/>
    <d v="1899-12-30T05:30:00"/>
  </r>
  <r>
    <n v="891"/>
    <d v="2020-09-15T16:32:00"/>
    <d v="2020-09-15T00:00:00"/>
    <s v="16:32"/>
    <d v="2020-09-17T12:35:00"/>
    <d v="2020-09-17T00:00:00"/>
    <d v="1899-12-30T12:35:00"/>
    <n v="2"/>
    <x v="1"/>
    <x v="0"/>
    <x v="12"/>
    <n v="67"/>
    <n v="7.07"/>
    <n v="2.11"/>
    <s v="Alive"/>
    <n v="72"/>
    <n v="165"/>
    <n v="92"/>
    <n v="65"/>
    <s v="Good"/>
    <n v="0"/>
    <n v="7.0699999999999999E-2"/>
    <n v="2.1099999999999997E-2"/>
    <d v="1899-12-31T20:03:00"/>
  </r>
  <r>
    <n v="892"/>
    <d v="2020-09-15T14:00:00"/>
    <d v="2020-09-15T00:00:00"/>
    <s v="14:00"/>
    <d v="2020-09-17T14:00:00"/>
    <d v="2020-09-17T00:00:00"/>
    <d v="1899-12-30T14:00:00"/>
    <n v="5"/>
    <x v="2"/>
    <x v="0"/>
    <x v="16"/>
    <n v="60"/>
    <n v="1.61"/>
    <n v="0.77"/>
    <s v="Alive"/>
    <n v="103"/>
    <n v="170"/>
    <n v="93"/>
    <n v="55"/>
    <s v="Good"/>
    <n v="0"/>
    <n v="1.61E-2"/>
    <n v="7.7000000000000002E-3"/>
    <d v="1900-01-01T00:00:00"/>
  </r>
  <r>
    <n v="893"/>
    <d v="2020-09-17T15:58:00"/>
    <d v="2020-09-17T00:00:00"/>
    <s v="15:58"/>
    <d v="2020-09-18T07:54:00"/>
    <d v="2020-09-18T00:00:00"/>
    <d v="1899-12-30T07:54:00"/>
    <n v="4"/>
    <x v="1"/>
    <x v="0"/>
    <x v="15"/>
    <n v="70"/>
    <n v="4.95"/>
    <n v="1.08"/>
    <s v="Alive"/>
    <n v="74"/>
    <n v="165"/>
    <n v="91"/>
    <n v="55"/>
    <s v="Good"/>
    <n v="0"/>
    <n v="4.9500000000000002E-2"/>
    <n v="1.0800000000000001E-2"/>
    <d v="1899-12-30T15:56:00"/>
  </r>
  <r>
    <n v="894"/>
    <d v="2020-09-16T14:39:00"/>
    <d v="2020-09-16T00:00:00"/>
    <s v="14:39"/>
    <d v="2020-09-18T08:13:00"/>
    <d v="2020-09-18T00:00:00"/>
    <d v="1899-12-30T08:13:00"/>
    <n v="2"/>
    <x v="2"/>
    <x v="2"/>
    <x v="11"/>
    <n v="72"/>
    <n v="5.26"/>
    <n v="2.0699999999999998"/>
    <s v="Alive"/>
    <n v="81"/>
    <n v="158"/>
    <n v="83"/>
    <n v="56"/>
    <s v="Good"/>
    <n v="0"/>
    <n v="5.2600000000000001E-2"/>
    <n v="2.07E-2"/>
    <d v="1899-12-31T17:34:00"/>
  </r>
  <r>
    <n v="895"/>
    <d v="2020-09-17T16:13:00"/>
    <d v="2020-09-17T00:00:00"/>
    <s v="16:13"/>
    <d v="2020-09-18T08:17:00"/>
    <d v="2020-09-18T00:00:00"/>
    <d v="1899-12-30T08:17:00"/>
    <n v="5"/>
    <x v="1"/>
    <x v="0"/>
    <x v="7"/>
    <n v="64"/>
    <n v="2.09"/>
    <n v="1.07"/>
    <s v="Alive"/>
    <n v="112"/>
    <n v="183"/>
    <n v="77"/>
    <n v="55"/>
    <s v="Good"/>
    <n v="0"/>
    <n v="2.0899999999999998E-2"/>
    <n v="1.0700000000000001E-2"/>
    <d v="1899-12-30T16:04:00"/>
  </r>
  <r>
    <n v="896"/>
    <d v="2020-09-10T11:00:00"/>
    <d v="2020-09-10T00:00:00"/>
    <s v="11:00"/>
    <d v="2020-09-18T09:16:00"/>
    <d v="2020-09-18T00:00:00"/>
    <d v="1899-12-30T09:16:00"/>
    <n v="6"/>
    <x v="2"/>
    <x v="2"/>
    <x v="16"/>
    <n v="45"/>
    <n v="0.88"/>
    <n v="0.69"/>
    <s v="Alive"/>
    <n v="78"/>
    <n v="176"/>
    <n v="107"/>
    <n v="55"/>
    <s v="Good"/>
    <n v="0"/>
    <n v="8.8000000000000005E-3"/>
    <n v="6.8999999999999999E-3"/>
    <d v="1900-01-06T22:16:00"/>
  </r>
  <r>
    <n v="897"/>
    <d v="2020-09-18T07:00:00"/>
    <d v="2020-09-18T00:00:00"/>
    <s v="07:00"/>
    <d v="2020-09-18T13:16:00"/>
    <d v="2020-09-18T00:00:00"/>
    <d v="1899-12-30T13:16:00"/>
    <n v="5"/>
    <x v="1"/>
    <x v="2"/>
    <x v="7"/>
    <n v="45"/>
    <n v="0.88"/>
    <n v="0.5"/>
    <s v="Alive"/>
    <n v="74"/>
    <n v="169"/>
    <n v="85"/>
    <n v="55"/>
    <s v="Good"/>
    <n v="0"/>
    <n v="8.8000000000000005E-3"/>
    <n v="5.0000000000000001E-3"/>
    <d v="1899-12-30T06:16:00"/>
  </r>
  <r>
    <n v="898"/>
    <d v="2020-09-18T07:09:00"/>
    <d v="2020-09-18T00:00:00"/>
    <s v="07:09"/>
    <d v="2020-09-18T14:43:00"/>
    <d v="2020-09-18T00:00:00"/>
    <d v="1899-12-30T14:43:00"/>
    <n v="2"/>
    <x v="1"/>
    <x v="2"/>
    <x v="11"/>
    <n v="71"/>
    <n v="1.94"/>
    <n v="0.76"/>
    <s v="Alive"/>
    <n v="87"/>
    <n v="154"/>
    <n v="88"/>
    <n v="65"/>
    <s v="Good"/>
    <n v="0"/>
    <n v="1.9400000000000001E-2"/>
    <n v="7.6E-3"/>
    <d v="1899-12-30T07:34:00"/>
  </r>
  <r>
    <n v="899"/>
    <d v="2020-09-18T14:14:00"/>
    <d v="2020-09-18T00:00:00"/>
    <s v="14:14"/>
    <d v="2020-09-19T08:00:00"/>
    <d v="2020-09-19T00:00:00"/>
    <d v="1899-12-30T08:00:00"/>
    <n v="4"/>
    <x v="1"/>
    <x v="4"/>
    <x v="1"/>
    <n v="46"/>
    <n v="4.6500000000000004"/>
    <n v="1.64"/>
    <s v="Alive"/>
    <n v="89"/>
    <n v="176"/>
    <n v="104"/>
    <n v="64"/>
    <s v="Good"/>
    <n v="0"/>
    <n v="4.6500000000000007E-2"/>
    <n v="1.6399999999999998E-2"/>
    <d v="1899-12-30T17:46:00"/>
  </r>
  <r>
    <n v="900"/>
    <d v="2020-09-18T15:53:00"/>
    <d v="2020-09-18T00:00:00"/>
    <s v="15:53"/>
    <d v="2020-09-19T08:15:00"/>
    <d v="2020-09-19T00:00:00"/>
    <d v="1899-12-30T08:15:00"/>
    <n v="5"/>
    <x v="1"/>
    <x v="3"/>
    <x v="0"/>
    <n v="83"/>
    <n v="9.52"/>
    <n v="2.73"/>
    <s v="Alive"/>
    <n v="77"/>
    <n v="174"/>
    <n v="79"/>
    <n v="53"/>
    <s v="Good"/>
    <n v="0"/>
    <n v="9.5199999999999993E-2"/>
    <n v="2.7300000000000001E-2"/>
    <d v="1899-12-30T16:22:00"/>
  </r>
  <r>
    <n v="901"/>
    <d v="2020-09-18T14:07:00"/>
    <d v="2020-09-18T00:00:00"/>
    <s v="14:07"/>
    <d v="2020-09-19T12:20:00"/>
    <d v="2020-09-19T00:00:00"/>
    <d v="1899-12-30T12:20:00"/>
    <n v="4"/>
    <x v="1"/>
    <x v="2"/>
    <x v="1"/>
    <n v="64"/>
    <n v="1.23"/>
    <n v="0.56000000000000005"/>
    <s v="Alive"/>
    <n v="75"/>
    <n v="158"/>
    <n v="81"/>
    <n v="70"/>
    <s v="Good"/>
    <n v="0"/>
    <n v="1.23E-2"/>
    <n v="5.6000000000000008E-3"/>
    <d v="1899-12-30T22:13:00"/>
  </r>
  <r>
    <n v="902"/>
    <d v="2020-09-19T07:00:00"/>
    <d v="2020-09-19T00:00:00"/>
    <s v="07:00"/>
    <d v="2020-09-19T13:39:00"/>
    <d v="2020-09-19T00:00:00"/>
    <d v="1899-12-30T13:39:00"/>
    <n v="5"/>
    <x v="1"/>
    <x v="2"/>
    <x v="0"/>
    <n v="70"/>
    <n v="1.82"/>
    <n v="0.74"/>
    <s v="Alive"/>
    <n v="80"/>
    <n v="155"/>
    <n v="75"/>
    <n v="55"/>
    <s v="Good"/>
    <n v="0"/>
    <n v="1.8200000000000001E-2"/>
    <n v="7.4000000000000003E-3"/>
    <d v="1899-12-30T06:39:00"/>
  </r>
  <r>
    <n v="903"/>
    <d v="2020-09-20T15:40:00"/>
    <d v="2020-09-20T00:00:00"/>
    <s v="15:40"/>
    <d v="2020-09-21T08:22:00"/>
    <d v="2020-09-21T00:00:00"/>
    <d v="1899-12-30T08:22:00"/>
    <n v="4"/>
    <x v="1"/>
    <x v="2"/>
    <x v="6"/>
    <n v="74"/>
    <n v="11.1"/>
    <n v="2.59"/>
    <s v="Alive"/>
    <n v="88"/>
    <n v="170"/>
    <n v="78"/>
    <n v="35"/>
    <s v="Moderate"/>
    <n v="0"/>
    <n v="0.111"/>
    <n v="2.5899999999999999E-2"/>
    <d v="1899-12-30T16:42:00"/>
  </r>
  <r>
    <n v="904"/>
    <d v="2020-09-20T15:45:00"/>
    <d v="2020-09-20T00:00:00"/>
    <s v="15:45"/>
    <d v="2020-09-21T08:37:00"/>
    <d v="2020-09-21T00:00:00"/>
    <d v="1899-12-30T08:37:00"/>
    <n v="6"/>
    <x v="1"/>
    <x v="3"/>
    <x v="1"/>
    <n v="66"/>
    <n v="2.38"/>
    <n v="1.02"/>
    <s v="Alive"/>
    <n v="127"/>
    <n v="150"/>
    <n v="64"/>
    <n v="45"/>
    <s v="Moderate"/>
    <n v="0"/>
    <n v="2.3799999999999998E-2"/>
    <n v="1.0200000000000001E-2"/>
    <d v="1899-12-30T16:52:00"/>
  </r>
  <r>
    <n v="905"/>
    <d v="2020-09-20T16:00:00"/>
    <d v="2020-09-20T00:00:00"/>
    <s v="16:00"/>
    <d v="2020-09-21T12:54:00"/>
    <d v="2020-09-21T00:00:00"/>
    <d v="1899-12-30T12:54:00"/>
    <n v="4"/>
    <x v="1"/>
    <x v="2"/>
    <x v="12"/>
    <n v="65"/>
    <n v="3.2"/>
    <n v="1.06"/>
    <s v="Alive"/>
    <n v="78"/>
    <n v="170"/>
    <n v="83"/>
    <n v="57"/>
    <s v="Good"/>
    <n v="0"/>
    <n v="3.2000000000000001E-2"/>
    <n v="1.06E-2"/>
    <d v="1899-12-30T20:54:00"/>
  </r>
  <r>
    <n v="906"/>
    <d v="2020-09-17T10:06:00"/>
    <d v="2020-09-17T00:00:00"/>
    <s v="10:06"/>
    <d v="2020-09-21T14:10:00"/>
    <d v="2020-09-21T00:00:00"/>
    <d v="1899-12-30T14:10:00"/>
    <n v="5"/>
    <x v="2"/>
    <x v="2"/>
    <x v="6"/>
    <n v="83"/>
    <n v="20.21"/>
    <n v="27.44"/>
    <s v="Alive"/>
    <n v="66"/>
    <n v="160"/>
    <n v="64"/>
    <n v="29"/>
    <s v="Poor"/>
    <n v="0"/>
    <n v="0.2021"/>
    <n v="0.27440000000000003"/>
    <d v="1900-01-03T04:04:00"/>
  </r>
  <r>
    <n v="907"/>
    <d v="2020-09-21T07:00:00"/>
    <d v="2020-09-21T00:00:00"/>
    <s v="07:00"/>
    <d v="2020-09-21T14:23:00"/>
    <d v="2020-09-21T00:00:00"/>
    <d v="1899-12-30T14:23:00"/>
    <n v="6"/>
    <x v="1"/>
    <x v="4"/>
    <x v="1"/>
    <n v="66"/>
    <n v="7.21"/>
    <n v="1.95"/>
    <s v="Alive"/>
    <n v="68"/>
    <n v="150"/>
    <n v="64"/>
    <n v="55"/>
    <s v="Good"/>
    <n v="0"/>
    <n v="7.2099999999999997E-2"/>
    <n v="1.95E-2"/>
    <d v="1899-12-30T07:23:00"/>
  </r>
  <r>
    <n v="908"/>
    <d v="2020-09-13T09:00:00"/>
    <d v="2020-09-13T00:00:00"/>
    <s v="09:00"/>
    <d v="2020-09-22T08:05:00"/>
    <d v="2020-09-22T00:00:00"/>
    <d v="1899-12-30T08:05:00"/>
    <n v="2"/>
    <x v="2"/>
    <x v="2"/>
    <x v="6"/>
    <n v="85"/>
    <n v="4.79"/>
    <n v="2.09"/>
    <s v="Alive"/>
    <n v="147"/>
    <n v="150"/>
    <n v="68"/>
    <n v="25"/>
    <s v="Poor"/>
    <n v="0"/>
    <n v="4.7899999999999998E-2"/>
    <n v="2.0899999999999998E-2"/>
    <d v="1900-01-07T23:05:00"/>
  </r>
  <r>
    <n v="909"/>
    <d v="2020-09-21T16:00:00"/>
    <d v="2020-09-21T00:00:00"/>
    <s v="16:00"/>
    <d v="2020-09-22T08:15:00"/>
    <d v="2020-09-22T00:00:00"/>
    <d v="1899-12-30T08:15:00"/>
    <n v="6"/>
    <x v="1"/>
    <x v="4"/>
    <x v="3"/>
    <n v="73"/>
    <n v="11.02"/>
    <n v="4.76"/>
    <s v="Alive"/>
    <n v="71"/>
    <n v="170"/>
    <n v="80"/>
    <n v="25"/>
    <s v="Poor"/>
    <n v="0"/>
    <n v="0.11019999999999999"/>
    <n v="4.7599999999999996E-2"/>
    <d v="1899-12-30T16:15:00"/>
  </r>
  <r>
    <n v="910"/>
    <d v="2020-09-20T14:00:00"/>
    <d v="2020-09-20T00:00:00"/>
    <s v="14:00"/>
    <d v="2020-09-22T08:20:00"/>
    <d v="2020-09-22T00:00:00"/>
    <d v="1899-12-30T08:20:00"/>
    <n v="4"/>
    <x v="2"/>
    <x v="0"/>
    <x v="8"/>
    <n v="73"/>
    <n v="9.4"/>
    <n v="6.41"/>
    <s v="Alive"/>
    <n v="71"/>
    <n v="172"/>
    <n v="90"/>
    <n v="40"/>
    <s v="Moderate"/>
    <n v="0"/>
    <n v="9.4E-2"/>
    <n v="6.4100000000000004E-2"/>
    <d v="1899-12-31T18:20:00"/>
  </r>
  <r>
    <n v="911"/>
    <d v="2020-09-10T09:55:00"/>
    <d v="2020-09-10T00:00:00"/>
    <s v="09:55"/>
    <d v="2020-09-22T08:30:00"/>
    <d v="2020-09-22T00:00:00"/>
    <d v="1899-12-30T08:30:00"/>
    <n v="5"/>
    <x v="2"/>
    <x v="3"/>
    <x v="4"/>
    <n v="68"/>
    <n v="42.5"/>
    <n v="57.27"/>
    <s v="Died"/>
    <n v="86"/>
    <n v="148"/>
    <n v="61"/>
    <n v="55"/>
    <s v="Good"/>
    <n v="1"/>
    <n v="0.42499999999999999"/>
    <n v="0.57269999999999999"/>
    <d v="1900-01-10T22:35:00"/>
  </r>
  <r>
    <n v="912"/>
    <d v="2020-09-17T11:50:00"/>
    <d v="2020-09-17T00:00:00"/>
    <s v="11:50"/>
    <d v="2020-09-22T12:30:00"/>
    <d v="2020-09-22T00:00:00"/>
    <d v="1899-12-30T12:30:00"/>
    <n v="2"/>
    <x v="2"/>
    <x v="0"/>
    <x v="6"/>
    <n v="81"/>
    <n v="8.44"/>
    <n v="3.93"/>
    <s v="Alive"/>
    <n v="75"/>
    <n v="179"/>
    <n v="101"/>
    <n v="40"/>
    <s v="Moderate"/>
    <n v="0"/>
    <n v="8.4399999999999989E-2"/>
    <n v="3.9300000000000002E-2"/>
    <d v="1900-01-04T00:40:00"/>
  </r>
  <r>
    <n v="913"/>
    <d v="2020-09-20T15:50:00"/>
    <d v="2020-09-20T00:00:00"/>
    <s v="15:50"/>
    <d v="2020-09-23T07:57:00"/>
    <d v="2020-09-23T00:00:00"/>
    <d v="1899-12-30T07:57:00"/>
    <n v="5"/>
    <x v="1"/>
    <x v="0"/>
    <x v="11"/>
    <n v="75"/>
    <n v="12.28"/>
    <n v="2.83"/>
    <s v="Alive"/>
    <n v="69"/>
    <n v="176"/>
    <n v="91"/>
    <n v="40"/>
    <s v="Moderate"/>
    <n v="0"/>
    <n v="0.12279999999999999"/>
    <n v="2.8300000000000002E-2"/>
    <d v="1900-01-01T16:07:00"/>
  </r>
  <r>
    <n v="914"/>
    <d v="2020-09-22T16:00:00"/>
    <d v="2020-09-22T00:00:00"/>
    <s v="16:00"/>
    <d v="2020-09-23T08:05:00"/>
    <d v="2020-09-23T00:00:00"/>
    <d v="1899-12-30T08:05:00"/>
    <n v="2"/>
    <x v="1"/>
    <x v="0"/>
    <x v="2"/>
    <n v="49"/>
    <n v="2.08"/>
    <n v="0.84"/>
    <s v="Died"/>
    <n v="82"/>
    <n v="175"/>
    <n v="95"/>
    <n v="45"/>
    <s v="Moderate"/>
    <n v="1"/>
    <n v="2.0799999999999999E-2"/>
    <n v="8.3999999999999995E-3"/>
    <d v="1899-12-30T16:05:00"/>
  </r>
  <r>
    <n v="915"/>
    <d v="2020-09-22T16:00:00"/>
    <d v="2020-09-22T00:00:00"/>
    <s v="16:00"/>
    <d v="2020-09-23T08:15:00"/>
    <d v="2020-09-23T00:00:00"/>
    <d v="1899-12-30T08:15:00"/>
    <n v="4"/>
    <x v="1"/>
    <x v="3"/>
    <x v="15"/>
    <n v="72"/>
    <n v="5.24"/>
    <n v="2.4700000000000002"/>
    <s v="Alive"/>
    <n v="68"/>
    <n v="178"/>
    <n v="98"/>
    <n v="20"/>
    <s v="Very Poor"/>
    <n v="0"/>
    <n v="5.2400000000000002E-2"/>
    <n v="2.4700000000000003E-2"/>
    <d v="1899-12-30T16:15:00"/>
  </r>
  <r>
    <n v="916"/>
    <d v="2020-09-22T16:00:00"/>
    <d v="2020-09-22T00:00:00"/>
    <s v="16:00"/>
    <d v="2020-09-23T08:15:00"/>
    <d v="2020-09-23T00:00:00"/>
    <d v="1899-12-30T08:15:00"/>
    <n v="6"/>
    <x v="1"/>
    <x v="2"/>
    <x v="0"/>
    <n v="60"/>
    <n v="0.94"/>
    <n v="0.67"/>
    <s v="Alive"/>
    <n v="77"/>
    <n v="157"/>
    <n v="69"/>
    <n v="45"/>
    <s v="Moderate"/>
    <n v="0"/>
    <n v="9.3999999999999986E-3"/>
    <n v="6.7000000000000002E-3"/>
    <d v="1899-12-30T16:15:00"/>
  </r>
  <r>
    <n v="917"/>
    <d v="2020-09-18T21:27:00"/>
    <d v="2020-09-18T00:00:00"/>
    <s v="21:27"/>
    <d v="2020-09-23T13:14:00"/>
    <d v="2020-09-23T00:00:00"/>
    <d v="1899-12-30T13:14:00"/>
    <n v="6"/>
    <x v="2"/>
    <x v="3"/>
    <x v="0"/>
    <n v="84"/>
    <n v="54.16"/>
    <n v="9.5"/>
    <s v="Alive"/>
    <n v="98"/>
    <n v="160"/>
    <n v="79"/>
    <n v="65"/>
    <s v="Good"/>
    <n v="0"/>
    <n v="0.54159999999999997"/>
    <n v="9.5000000000000001E-2"/>
    <d v="1900-01-03T15:47:00"/>
  </r>
  <r>
    <n v="918"/>
    <d v="2020-09-23T07:00:00"/>
    <d v="2020-09-23T00:00:00"/>
    <s v="07:00"/>
    <d v="2020-09-23T15:37:00"/>
    <d v="2020-09-23T00:00:00"/>
    <d v="1899-12-30T15:37:00"/>
    <n v="4"/>
    <x v="1"/>
    <x v="0"/>
    <x v="11"/>
    <n v="79"/>
    <n v="15.46"/>
    <n v="2.35"/>
    <s v="Alive"/>
    <n v="69"/>
    <n v="155"/>
    <n v="62"/>
    <n v="45"/>
    <s v="Moderate"/>
    <n v="0"/>
    <n v="0.15460000000000002"/>
    <n v="2.35E-2"/>
    <d v="1899-12-30T08:37:00"/>
  </r>
  <r>
    <n v="919"/>
    <d v="2020-09-21T16:00:00"/>
    <d v="2020-09-21T00:00:00"/>
    <s v="16:00"/>
    <d v="2020-09-24T08:00:00"/>
    <d v="2020-09-24T00:00:00"/>
    <d v="1899-12-30T08:00:00"/>
    <n v="3"/>
    <x v="1"/>
    <x v="3"/>
    <x v="6"/>
    <n v="81"/>
    <n v="12.49"/>
    <n v="7.82"/>
    <s v="Alive"/>
    <n v="69"/>
    <n v="174"/>
    <n v="105"/>
    <n v="54"/>
    <s v="Good"/>
    <n v="0"/>
    <n v="0.1249"/>
    <n v="7.8200000000000006E-2"/>
    <d v="1900-01-01T16:00:00"/>
  </r>
  <r>
    <n v="920"/>
    <d v="2020-09-22T16:59:00"/>
    <d v="2020-09-22T00:00:00"/>
    <s v="16:59"/>
    <d v="2020-09-24T08:10:00"/>
    <d v="2020-09-24T00:00:00"/>
    <d v="1899-12-30T08:10:00"/>
    <n v="4"/>
    <x v="2"/>
    <x v="0"/>
    <x v="12"/>
    <n v="78"/>
    <n v="5.14"/>
    <n v="1.27"/>
    <s v="Alive"/>
    <n v="93"/>
    <n v="162"/>
    <n v="69"/>
    <n v="40"/>
    <s v="Moderate"/>
    <n v="0"/>
    <n v="5.1399999999999994E-2"/>
    <n v="1.2699999999999999E-2"/>
    <d v="1899-12-31T15:11:00"/>
  </r>
  <r>
    <n v="921"/>
    <d v="2020-09-23T10:47:00"/>
    <d v="2020-09-23T00:00:00"/>
    <s v="10:47"/>
    <d v="2020-09-24T08:15:00"/>
    <d v="2020-09-24T00:00:00"/>
    <d v="1899-12-30T08:15:00"/>
    <n v="2"/>
    <x v="1"/>
    <x v="2"/>
    <x v="11"/>
    <n v="50"/>
    <n v="5.0199999999999996"/>
    <n v="4.53"/>
    <s v="Alive"/>
    <n v="77"/>
    <n v="169"/>
    <n v="99"/>
    <n v="60"/>
    <s v="Good"/>
    <n v="0"/>
    <n v="5.0199999999999995E-2"/>
    <n v="4.53E-2"/>
    <d v="1899-12-30T21:28:00"/>
  </r>
  <r>
    <n v="922"/>
    <d v="2020-09-23T15:35:00"/>
    <d v="2020-09-23T00:00:00"/>
    <s v="15:35"/>
    <d v="2020-09-24T08:20:00"/>
    <d v="2020-09-24T00:00:00"/>
    <d v="1899-12-30T08:20:00"/>
    <n v="5"/>
    <x v="1"/>
    <x v="4"/>
    <x v="7"/>
    <n v="49"/>
    <n v="31.52"/>
    <n v="10.51"/>
    <s v="Alive"/>
    <n v="82"/>
    <n v="175"/>
    <n v="77"/>
    <n v="33"/>
    <s v="Moderate"/>
    <n v="0"/>
    <n v="0.31519999999999998"/>
    <n v="0.1051"/>
    <d v="1899-12-30T16:45:00"/>
  </r>
  <r>
    <n v="923"/>
    <d v="2020-09-23T16:00:00"/>
    <d v="2020-09-23T00:00:00"/>
    <s v="16:00"/>
    <d v="2020-09-24T08:20:00"/>
    <d v="2020-09-24T00:00:00"/>
    <d v="1899-12-30T08:20:00"/>
    <n v="6"/>
    <x v="1"/>
    <x v="0"/>
    <x v="1"/>
    <n v="77"/>
    <n v="4.83"/>
    <n v="0.81"/>
    <s v="Alive"/>
    <n v="62"/>
    <n v="176"/>
    <n v="93"/>
    <n v="65"/>
    <s v="Good"/>
    <n v="0"/>
    <n v="4.8300000000000003E-2"/>
    <n v="8.1000000000000013E-3"/>
    <d v="1899-12-30T16:20:00"/>
  </r>
  <r>
    <n v="924"/>
    <d v="2020-09-20T14:00:00"/>
    <d v="2020-09-20T00:00:00"/>
    <s v="14:00"/>
    <d v="2020-09-24T11:25:00"/>
    <d v="2020-09-24T00:00:00"/>
    <d v="1899-12-30T11:25:00"/>
    <n v="4"/>
    <x v="2"/>
    <x v="3"/>
    <x v="12"/>
    <n v="72"/>
    <n v="3.51"/>
    <n v="1.84"/>
    <s v="Alive"/>
    <n v="116"/>
    <n v="163"/>
    <n v="64"/>
    <n v="15"/>
    <s v="Very Poor"/>
    <n v="0"/>
    <n v="3.5099999999999999E-2"/>
    <n v="1.84E-2"/>
    <d v="1900-01-02T21:25:00"/>
  </r>
  <r>
    <n v="925"/>
    <d v="2020-09-23T16:00:00"/>
    <d v="2020-09-23T00:00:00"/>
    <s v="16:00"/>
    <d v="2020-09-24T13:48:00"/>
    <d v="2020-09-24T00:00:00"/>
    <d v="1899-12-30T13:48:00"/>
    <n v="3"/>
    <x v="1"/>
    <x v="2"/>
    <x v="6"/>
    <n v="51"/>
    <n v="0.88"/>
    <n v="0.79"/>
    <s v="Alive"/>
    <n v="131"/>
    <n v="188"/>
    <n v="109"/>
    <n v="60"/>
    <s v="Good"/>
    <n v="0"/>
    <n v="8.8000000000000005E-3"/>
    <n v="7.9000000000000008E-3"/>
    <d v="1899-12-30T21:48:00"/>
  </r>
  <r>
    <n v="926"/>
    <d v="2020-09-22T13:30:00"/>
    <d v="2020-09-22T00:00:00"/>
    <s v="13:30"/>
    <d v="2020-09-24T14:14:00"/>
    <d v="2020-09-24T00:00:00"/>
    <d v="1899-12-30T14:14:00"/>
    <n v="2"/>
    <x v="2"/>
    <x v="2"/>
    <x v="11"/>
    <n v="70"/>
    <n v="3.09"/>
    <n v="3.08"/>
    <s v="Alive"/>
    <n v="79"/>
    <n v="178"/>
    <n v="80"/>
    <n v="60"/>
    <s v="Good"/>
    <n v="0"/>
    <n v="3.0899999999999997E-2"/>
    <n v="3.0800000000000001E-2"/>
    <d v="1900-01-01T00:44:00"/>
  </r>
  <r>
    <n v="927"/>
    <d v="2020-09-24T06:57:00"/>
    <d v="2020-09-24T00:00:00"/>
    <s v="06:57"/>
    <d v="2020-09-24T14:28:00"/>
    <d v="2020-09-24T00:00:00"/>
    <d v="1899-12-30T14:28:00"/>
    <n v="6"/>
    <x v="1"/>
    <x v="2"/>
    <x v="1"/>
    <n v="73"/>
    <n v="3.05"/>
    <n v="0.9"/>
    <s v="Alive"/>
    <n v="81"/>
    <n v="163"/>
    <n v="67"/>
    <n v="55"/>
    <s v="Good"/>
    <n v="0"/>
    <n v="3.0499999999999999E-2"/>
    <n v="9.0000000000000011E-3"/>
    <d v="1899-12-30T07:31:00"/>
  </r>
  <r>
    <n v="928"/>
    <d v="2020-09-24T15:31:00"/>
    <d v="2020-09-24T00:00:00"/>
    <s v="15:31"/>
    <d v="2020-09-25T08:09:00"/>
    <d v="2020-09-25T00:00:00"/>
    <d v="1899-12-30T08:09:00"/>
    <n v="2"/>
    <x v="1"/>
    <x v="0"/>
    <x v="8"/>
    <n v="77"/>
    <n v="6.59"/>
    <n v="1.01"/>
    <s v="Alive"/>
    <n v="103"/>
    <n v="164"/>
    <n v="70"/>
    <n v="65"/>
    <s v="Good"/>
    <n v="0"/>
    <n v="6.59E-2"/>
    <n v="1.01E-2"/>
    <d v="1899-12-30T16:38:00"/>
  </r>
  <r>
    <n v="929"/>
    <d v="2020-09-23T15:26:00"/>
    <d v="2020-09-23T00:00:00"/>
    <s v="15:26"/>
    <d v="2020-09-25T08:12:00"/>
    <d v="2020-09-25T00:00:00"/>
    <d v="1899-12-30T08:12:00"/>
    <n v="6"/>
    <x v="1"/>
    <x v="0"/>
    <x v="16"/>
    <n v="78"/>
    <n v="5.14"/>
    <n v="1.51"/>
    <s v="Alive"/>
    <n v="112"/>
    <n v="167"/>
    <n v="100"/>
    <n v="39"/>
    <s v="Moderate"/>
    <n v="0"/>
    <n v="5.1399999999999994E-2"/>
    <n v="1.5100000000000001E-2"/>
    <d v="1899-12-31T16:46:00"/>
  </r>
  <r>
    <n v="930"/>
    <d v="2020-09-21T14:00:00"/>
    <d v="2020-09-21T00:00:00"/>
    <s v="14:00"/>
    <d v="2020-09-25T08:14:00"/>
    <d v="2020-09-25T00:00:00"/>
    <d v="1899-12-30T08:14:00"/>
    <n v="4"/>
    <x v="2"/>
    <x v="2"/>
    <x v="15"/>
    <n v="61"/>
    <n v="3"/>
    <n v="1.17"/>
    <s v="Alive"/>
    <n v="85"/>
    <n v="175"/>
    <n v="81"/>
    <n v="50"/>
    <s v="Moderate"/>
    <n v="0"/>
    <n v="0.03"/>
    <n v="1.1699999999999999E-2"/>
    <d v="1900-01-02T18:14:00"/>
  </r>
  <r>
    <n v="931"/>
    <d v="2020-09-24T16:00:00"/>
    <d v="2020-09-24T00:00:00"/>
    <s v="16:00"/>
    <d v="2020-09-25T08:19:00"/>
    <d v="2020-09-25T00:00:00"/>
    <d v="1899-12-30T08:19:00"/>
    <n v="5"/>
    <x v="1"/>
    <x v="4"/>
    <x v="7"/>
    <n v="77"/>
    <n v="13.92"/>
    <n v="2.93"/>
    <s v="Alive"/>
    <n v="193"/>
    <n v="145"/>
    <n v="45"/>
    <n v="55"/>
    <s v="Good"/>
    <n v="0"/>
    <n v="0.13919999999999999"/>
    <n v="2.9300000000000003E-2"/>
    <d v="1899-12-30T16:19:00"/>
  </r>
  <r>
    <n v="932"/>
    <d v="2020-09-21T14:00:00"/>
    <d v="2020-09-21T00:00:00"/>
    <s v="14:00"/>
    <d v="2020-09-25T13:48:00"/>
    <d v="2020-09-25T00:00:00"/>
    <d v="1899-12-30T13:48:00"/>
    <n v="6"/>
    <x v="1"/>
    <x v="0"/>
    <x v="16"/>
    <n v="78"/>
    <n v="8.15"/>
    <n v="2.6"/>
    <s v="Alive"/>
    <n v="77"/>
    <n v="163"/>
    <n v="75"/>
    <n v="53"/>
    <s v="Good"/>
    <n v="0"/>
    <n v="8.1500000000000003E-2"/>
    <n v="2.6000000000000002E-2"/>
    <d v="1900-01-02T23:48:00"/>
  </r>
  <r>
    <n v="933"/>
    <d v="2020-09-25T07:12:00"/>
    <d v="2020-09-25T00:00:00"/>
    <s v="07:12"/>
    <d v="2020-09-25T13:52:00"/>
    <d v="2020-09-25T00:00:00"/>
    <d v="1899-12-30T13:52:00"/>
    <n v="2"/>
    <x v="1"/>
    <x v="0"/>
    <x v="8"/>
    <n v="79"/>
    <n v="5.48"/>
    <n v="0.86"/>
    <s v="Alive"/>
    <n v="90"/>
    <n v="176"/>
    <n v="60"/>
    <n v="50"/>
    <s v="Moderate"/>
    <n v="0"/>
    <n v="5.4800000000000001E-2"/>
    <n v="8.6E-3"/>
    <d v="1899-12-30T06:40:00"/>
  </r>
  <r>
    <n v="934"/>
    <d v="2020-09-25T18:07:00"/>
    <d v="2020-09-25T00:00:00"/>
    <s v="18:07"/>
    <d v="2020-09-25T19:53:00"/>
    <d v="2020-09-25T00:00:00"/>
    <d v="1899-12-30T19:53:00"/>
    <n v="1"/>
    <x v="0"/>
    <x v="4"/>
    <x v="6"/>
    <n v="49"/>
    <n v="16.079999999999998"/>
    <n v="3.24"/>
    <s v="Alive"/>
    <n v="105"/>
    <n v="158"/>
    <n v="63"/>
    <n v="60"/>
    <s v="Good"/>
    <n v="0"/>
    <n v="0.16079999999999997"/>
    <n v="3.2400000000000005E-2"/>
    <d v="1899-12-30T01:46:00"/>
  </r>
  <r>
    <n v="935"/>
    <d v="2020-09-25T13:59:00"/>
    <d v="2020-09-25T00:00:00"/>
    <s v="13:59"/>
    <d v="2020-09-26T07:50:00"/>
    <d v="2020-09-26T00:00:00"/>
    <d v="1899-12-30T07:50:00"/>
    <n v="5"/>
    <x v="1"/>
    <x v="3"/>
    <x v="8"/>
    <n v="68"/>
    <n v="2.71"/>
    <n v="1.46"/>
    <s v="Alive"/>
    <n v="95"/>
    <n v="168"/>
    <n v="65"/>
    <n v="46"/>
    <s v="Moderate"/>
    <n v="0"/>
    <n v="2.7099999999999999E-2"/>
    <n v="1.46E-2"/>
    <d v="1899-12-30T17:51:00"/>
  </r>
  <r>
    <n v="936"/>
    <d v="2020-09-25T15:10:00"/>
    <d v="2020-09-25T00:00:00"/>
    <s v="15:10"/>
    <d v="2020-09-26T07:52:00"/>
    <d v="2020-09-26T00:00:00"/>
    <d v="1899-12-30T07:52:00"/>
    <n v="4"/>
    <x v="1"/>
    <x v="3"/>
    <x v="11"/>
    <n v="64"/>
    <n v="2.09"/>
    <n v="1.07"/>
    <s v="Alive"/>
    <n v="67"/>
    <n v="182"/>
    <n v="85"/>
    <n v="55"/>
    <s v="Good"/>
    <n v="0"/>
    <n v="2.0899999999999998E-2"/>
    <n v="1.0700000000000001E-2"/>
    <d v="1899-12-30T16:42:00"/>
  </r>
  <r>
    <n v="937"/>
    <d v="2020-09-25T16:00:00"/>
    <d v="2020-09-25T00:00:00"/>
    <s v="16:00"/>
    <d v="2020-09-26T12:38:00"/>
    <d v="2020-09-26T00:00:00"/>
    <d v="1899-12-30T12:38:00"/>
    <n v="4"/>
    <x v="1"/>
    <x v="2"/>
    <x v="11"/>
    <n v="58"/>
    <n v="1.43"/>
    <n v="0.67"/>
    <s v="Alive"/>
    <n v="71"/>
    <n v="170"/>
    <n v="76"/>
    <n v="47"/>
    <s v="Moderate"/>
    <n v="0"/>
    <n v="1.43E-2"/>
    <n v="6.7000000000000002E-3"/>
    <d v="1899-12-30T20:38:00"/>
  </r>
  <r>
    <n v="938"/>
    <d v="2020-09-25T13:42:00"/>
    <d v="2020-09-25T00:00:00"/>
    <s v="13:42"/>
    <d v="2020-09-26T13:40:00"/>
    <d v="2020-09-26T00:00:00"/>
    <d v="1899-12-30T13:40:00"/>
    <n v="5"/>
    <x v="1"/>
    <x v="0"/>
    <x v="8"/>
    <n v="80"/>
    <n v="8.61"/>
    <n v="1.34"/>
    <s v="Alive"/>
    <n v="75"/>
    <n v="159"/>
    <n v="65"/>
    <n v="20"/>
    <s v="Very Poor"/>
    <n v="0"/>
    <n v="8.6099999999999996E-2"/>
    <n v="1.34E-2"/>
    <d v="1899-12-30T23:58:00"/>
  </r>
  <r>
    <n v="939"/>
    <d v="2020-09-25T17:33:00"/>
    <d v="2020-09-25T00:00:00"/>
    <s v="17:33"/>
    <d v="2020-09-26T18:30:00"/>
    <d v="2020-09-26T00:00:00"/>
    <d v="1899-12-30T18:30:00"/>
    <n v="2"/>
    <x v="0"/>
    <x v="0"/>
    <x v="8"/>
    <n v="25"/>
    <n v="8.57"/>
    <n v="3.21"/>
    <s v="Alive"/>
    <n v="70"/>
    <n v="173"/>
    <n v="64"/>
    <n v="44"/>
    <s v="Moderate"/>
    <n v="0"/>
    <n v="8.5699999999999998E-2"/>
    <n v="3.2099999999999997E-2"/>
    <d v="1899-12-31T00:57:00"/>
  </r>
  <r>
    <n v="940"/>
    <d v="2020-09-27T15:41:00"/>
    <d v="2020-09-27T00:00:00"/>
    <s v="15:41"/>
    <d v="2020-09-28T08:05:00"/>
    <d v="2020-09-28T00:00:00"/>
    <d v="1899-12-30T08:05:00"/>
    <n v="5"/>
    <x v="1"/>
    <x v="3"/>
    <x v="3"/>
    <n v="73"/>
    <n v="9.43"/>
    <n v="4.8899999999999997"/>
    <s v="Alive"/>
    <n v="146"/>
    <n v="163"/>
    <n v="67"/>
    <n v="65"/>
    <s v="Good"/>
    <n v="0"/>
    <n v="9.4299999999999995E-2"/>
    <n v="4.8899999999999999E-2"/>
    <d v="1899-12-30T16:24:00"/>
  </r>
  <r>
    <n v="941"/>
    <d v="2020-09-27T16:00:00"/>
    <d v="2020-09-27T00:00:00"/>
    <s v="16:00"/>
    <d v="2020-09-28T08:07:00"/>
    <d v="2020-09-28T00:00:00"/>
    <d v="1899-12-30T08:07:00"/>
    <n v="6"/>
    <x v="1"/>
    <x v="4"/>
    <x v="1"/>
    <n v="69"/>
    <n v="2.35"/>
    <n v="1.45"/>
    <s v="Alive"/>
    <n v="147"/>
    <n v="172"/>
    <n v="91"/>
    <n v="60"/>
    <s v="Good"/>
    <n v="0"/>
    <n v="2.35E-2"/>
    <n v="1.4499999999999999E-2"/>
    <d v="1899-12-30T16:07:00"/>
  </r>
  <r>
    <n v="942"/>
    <d v="2020-09-27T16:00:00"/>
    <d v="2020-09-27T00:00:00"/>
    <s v="16:00"/>
    <d v="2020-09-28T08:10:00"/>
    <d v="2020-09-28T00:00:00"/>
    <d v="1899-12-30T08:10:00"/>
    <n v="4"/>
    <x v="1"/>
    <x v="0"/>
    <x v="6"/>
    <n v="42"/>
    <n v="2.27"/>
    <n v="0.76"/>
    <s v="Alive"/>
    <n v="113"/>
    <n v="177"/>
    <n v="83"/>
    <n v="40"/>
    <s v="Moderate"/>
    <n v="0"/>
    <n v="2.2700000000000001E-2"/>
    <n v="7.6E-3"/>
    <d v="1899-12-30T16:10:00"/>
  </r>
  <r>
    <n v="943"/>
    <d v="2020-09-27T16:00:00"/>
    <d v="2020-09-27T00:00:00"/>
    <s v="16:00"/>
    <d v="2020-09-28T08:18:00"/>
    <d v="2020-09-28T00:00:00"/>
    <d v="1899-12-30T08:18:00"/>
    <n v="2"/>
    <x v="1"/>
    <x v="0"/>
    <x v="8"/>
    <n v="70"/>
    <n v="3.08"/>
    <n v="0.74"/>
    <s v="Alive"/>
    <n v="86"/>
    <n v="161"/>
    <n v="61"/>
    <n v="41"/>
    <s v="Moderate"/>
    <n v="0"/>
    <n v="3.0800000000000001E-2"/>
    <n v="7.4000000000000003E-3"/>
    <d v="1899-12-30T16:18:00"/>
  </r>
  <r>
    <n v="944"/>
    <d v="2020-09-23T14:00:00"/>
    <d v="2020-09-23T00:00:00"/>
    <s v="14:00"/>
    <d v="2020-09-28T12:00:00"/>
    <d v="2020-09-28T00:00:00"/>
    <d v="1899-12-30T12:00:00"/>
    <n v="4"/>
    <x v="2"/>
    <x v="3"/>
    <x v="6"/>
    <n v="73"/>
    <n v="3.74"/>
    <n v="1.89"/>
    <s v="Alive"/>
    <n v="107"/>
    <n v="174"/>
    <n v="92"/>
    <n v="45"/>
    <s v="Moderate"/>
    <n v="0"/>
    <n v="3.7400000000000003E-2"/>
    <n v="1.89E-2"/>
    <d v="1900-01-03T22:00:00"/>
  </r>
  <r>
    <n v="945"/>
    <d v="2020-09-27T15:58:00"/>
    <d v="2020-09-27T00:00:00"/>
    <s v="15:58"/>
    <d v="2020-09-28T12:35:00"/>
    <d v="2020-09-28T00:00:00"/>
    <d v="1899-12-30T12:35:00"/>
    <n v="3"/>
    <x v="1"/>
    <x v="2"/>
    <x v="0"/>
    <n v="49"/>
    <n v="0.88"/>
    <n v="0.55000000000000004"/>
    <s v="Alive"/>
    <n v="63"/>
    <n v="168"/>
    <n v="101"/>
    <n v="54"/>
    <s v="Good"/>
    <n v="0"/>
    <n v="8.8000000000000005E-3"/>
    <n v="5.5000000000000005E-3"/>
    <d v="1899-12-30T20:37:00"/>
  </r>
  <r>
    <n v="946"/>
    <d v="2020-09-28T07:00:00"/>
    <d v="2020-09-28T00:00:00"/>
    <s v="07:00"/>
    <d v="2020-09-28T13:45:00"/>
    <d v="2020-09-28T00:00:00"/>
    <d v="1899-12-30T13:45:00"/>
    <n v="2"/>
    <x v="1"/>
    <x v="0"/>
    <x v="8"/>
    <n v="77"/>
    <n v="7.16"/>
    <n v="3.81"/>
    <s v="Alive"/>
    <n v="83"/>
    <n v="157"/>
    <n v="91"/>
    <n v="40"/>
    <s v="Moderate"/>
    <n v="0"/>
    <n v="7.1599999999999997E-2"/>
    <n v="3.8100000000000002E-2"/>
    <d v="1899-12-30T06:45:00"/>
  </r>
  <r>
    <n v="947"/>
    <d v="2020-09-28T07:00:00"/>
    <d v="2020-09-28T00:00:00"/>
    <s v="07:00"/>
    <d v="2020-09-28T13:48:00"/>
    <d v="2020-09-28T00:00:00"/>
    <d v="1899-12-30T13:48:00"/>
    <n v="6"/>
    <x v="1"/>
    <x v="2"/>
    <x v="1"/>
    <n v="75"/>
    <n v="2.52"/>
    <n v="0.85"/>
    <s v="Alive"/>
    <n v="64"/>
    <n v="158"/>
    <n v="68"/>
    <n v="45"/>
    <s v="Moderate"/>
    <n v="0"/>
    <n v="2.52E-2"/>
    <n v="8.5000000000000006E-3"/>
    <d v="1899-12-30T06:48:00"/>
  </r>
  <r>
    <n v="948"/>
    <d v="2020-09-19T10:00:00"/>
    <d v="2020-09-19T00:00:00"/>
    <s v="10:00"/>
    <d v="2020-09-28T13:48:00"/>
    <d v="2020-09-28T00:00:00"/>
    <d v="1899-12-30T13:48:00"/>
    <n v="5"/>
    <x v="2"/>
    <x v="2"/>
    <x v="3"/>
    <n v="66"/>
    <n v="4.5"/>
    <n v="2.52"/>
    <s v="Alive"/>
    <n v="112"/>
    <n v="174"/>
    <n v="88"/>
    <n v="45"/>
    <s v="Moderate"/>
    <n v="0"/>
    <n v="4.4999999999999998E-2"/>
    <n v="2.52E-2"/>
    <d v="1900-01-08T03:48:00"/>
  </r>
  <r>
    <n v="949"/>
    <d v="2020-09-28T16:00:00"/>
    <d v="2020-09-28T00:00:00"/>
    <s v="16:00"/>
    <d v="2020-09-29T08:00:00"/>
    <d v="2020-09-29T00:00:00"/>
    <d v="1899-12-30T08:00:00"/>
    <n v="5"/>
    <x v="1"/>
    <x v="4"/>
    <x v="1"/>
    <n v="63"/>
    <n v="3.33"/>
    <n v="1.21"/>
    <s v="Alive"/>
    <n v="69"/>
    <n v="193"/>
    <n v="115"/>
    <n v="35"/>
    <s v="Moderate"/>
    <n v="0"/>
    <n v="3.3300000000000003E-2"/>
    <n v="1.21E-2"/>
    <d v="1899-12-30T16:00:00"/>
  </r>
  <r>
    <n v="950"/>
    <d v="2020-09-24T17:00:00"/>
    <d v="2020-09-24T00:00:00"/>
    <s v="17:00"/>
    <d v="2020-09-29T08:15:00"/>
    <d v="2020-09-29T00:00:00"/>
    <d v="1899-12-30T08:15:00"/>
    <n v="2"/>
    <x v="2"/>
    <x v="2"/>
    <x v="2"/>
    <n v="76"/>
    <n v="10.75"/>
    <n v="5.16"/>
    <s v="Alive"/>
    <n v="114"/>
    <n v="159"/>
    <n v="62"/>
    <n v="57"/>
    <s v="Good"/>
    <n v="0"/>
    <n v="0.1075"/>
    <n v="5.16E-2"/>
    <d v="1900-01-03T15:15:00"/>
  </r>
  <r>
    <n v="951"/>
    <d v="2020-09-22T07:04:00"/>
    <d v="2020-09-22T00:00:00"/>
    <s v="07:04"/>
    <d v="2020-09-29T08:40:00"/>
    <d v="2020-09-29T00:00:00"/>
    <d v="1899-12-30T08:40:00"/>
    <n v="6"/>
    <x v="1"/>
    <x v="2"/>
    <x v="3"/>
    <n v="72"/>
    <n v="5"/>
    <n v="1.74"/>
    <s v="Alive"/>
    <n v="63"/>
    <n v="175"/>
    <n v="82"/>
    <n v="55"/>
    <s v="Good"/>
    <n v="0"/>
    <n v="0.05"/>
    <n v="1.7399999999999999E-2"/>
    <d v="1900-01-06T01:36:00"/>
  </r>
  <r>
    <n v="952"/>
    <d v="2020-09-28T15:40:00"/>
    <d v="2020-09-28T00:00:00"/>
    <s v="15:40"/>
    <d v="2020-09-29T13:00:00"/>
    <d v="2020-09-29T00:00:00"/>
    <d v="1899-12-30T13:00:00"/>
    <n v="2"/>
    <x v="1"/>
    <x v="3"/>
    <x v="2"/>
    <n v="75"/>
    <n v="4.25"/>
    <n v="5.03"/>
    <s v="Alive"/>
    <n v="110"/>
    <n v="173"/>
    <n v="87"/>
    <n v="55"/>
    <s v="Good"/>
    <n v="0"/>
    <n v="4.2500000000000003E-2"/>
    <n v="5.0300000000000004E-2"/>
    <d v="1899-12-30T21:20:00"/>
  </r>
  <r>
    <n v="953"/>
    <d v="2020-09-29T06:54:00"/>
    <d v="2020-09-29T00:00:00"/>
    <s v="06:54"/>
    <d v="2020-09-29T13:15:00"/>
    <d v="2020-09-29T00:00:00"/>
    <d v="1899-12-30T13:15:00"/>
    <n v="5"/>
    <x v="1"/>
    <x v="4"/>
    <x v="1"/>
    <n v="70"/>
    <n v="18.78"/>
    <n v="5.74"/>
    <s v="Alive"/>
    <n v="118"/>
    <n v="175"/>
    <n v="63"/>
    <n v="55"/>
    <s v="Good"/>
    <n v="0"/>
    <n v="0.18780000000000002"/>
    <n v="5.74E-2"/>
    <d v="1899-12-30T06:21:00"/>
  </r>
  <r>
    <n v="954"/>
    <d v="2020-09-29T15:59:00"/>
    <d v="2020-09-29T00:00:00"/>
    <s v="15:59"/>
    <d v="2020-09-30T07:55:00"/>
    <d v="2020-09-30T00:00:00"/>
    <d v="1899-12-30T07:55:00"/>
    <n v="6"/>
    <x v="1"/>
    <x v="0"/>
    <x v="7"/>
    <n v="75"/>
    <n v="4.25"/>
    <n v="1.0900000000000001"/>
    <s v="Alive"/>
    <n v="80"/>
    <n v="172"/>
    <n v="90"/>
    <n v="29"/>
    <s v="Poor"/>
    <n v="0"/>
    <n v="4.2500000000000003E-2"/>
    <n v="1.09E-2"/>
    <d v="1899-12-30T15:56:00"/>
  </r>
  <r>
    <n v="955"/>
    <d v="2020-09-29T15:52:00"/>
    <d v="2020-09-29T00:00:00"/>
    <s v="15:52"/>
    <d v="2020-09-30T08:15:00"/>
    <d v="2020-09-30T00:00:00"/>
    <d v="1899-12-30T08:15:00"/>
    <n v="4"/>
    <x v="1"/>
    <x v="4"/>
    <x v="15"/>
    <n v="64"/>
    <n v="6.37"/>
    <n v="2.04"/>
    <s v="Alive"/>
    <n v="65"/>
    <n v="159"/>
    <n v="65"/>
    <n v="62"/>
    <s v="Good"/>
    <n v="0"/>
    <n v="6.3700000000000007E-2"/>
    <n v="2.0400000000000001E-2"/>
    <d v="1899-12-30T16:23:00"/>
  </r>
  <r>
    <n v="956"/>
    <d v="2020-09-28T15:33:00"/>
    <d v="2020-09-28T00:00:00"/>
    <s v="15:33"/>
    <d v="2020-09-30T08:19:00"/>
    <d v="2020-09-30T00:00:00"/>
    <d v="1899-12-30T08:19:00"/>
    <n v="5"/>
    <x v="2"/>
    <x v="3"/>
    <x v="11"/>
    <n v="82"/>
    <n v="20.54"/>
    <n v="7.5"/>
    <s v="Alive"/>
    <n v="79"/>
    <n v="160"/>
    <n v="70"/>
    <n v="46"/>
    <s v="Moderate"/>
    <n v="0"/>
    <n v="0.2054"/>
    <n v="7.4999999999999997E-2"/>
    <d v="1899-12-31T16:46:00"/>
  </r>
  <r>
    <n v="957"/>
    <d v="2020-09-29T15:58:00"/>
    <d v="2020-09-29T00:00:00"/>
    <s v="15:58"/>
    <d v="2020-09-30T11:51:00"/>
    <d v="2020-09-30T00:00:00"/>
    <d v="1899-12-30T11:51:00"/>
    <n v="2"/>
    <x v="1"/>
    <x v="0"/>
    <x v="2"/>
    <n v="62"/>
    <n v="3.87"/>
    <n v="1.18"/>
    <s v="Alive"/>
    <n v="81"/>
    <n v="180"/>
    <n v="85"/>
    <n v="57"/>
    <s v="Good"/>
    <n v="0"/>
    <n v="3.8699999999999998E-2"/>
    <n v="1.18E-2"/>
    <d v="1899-12-30T19:53:00"/>
  </r>
  <r>
    <n v="958"/>
    <d v="2020-09-30T07:00:00"/>
    <d v="2020-09-30T00:00:00"/>
    <s v="07:00"/>
    <d v="2020-09-30T13:05:00"/>
    <d v="2020-09-30T00:00:00"/>
    <d v="1899-12-30T13:05:00"/>
    <n v="5"/>
    <x v="1"/>
    <x v="3"/>
    <x v="11"/>
    <n v="74"/>
    <n v="3.99"/>
    <n v="1.92"/>
    <s v="Alive"/>
    <n v="77"/>
    <n v="186"/>
    <n v="107"/>
    <n v="45"/>
    <s v="Moderate"/>
    <n v="0"/>
    <n v="3.9900000000000005E-2"/>
    <n v="1.9199999999999998E-2"/>
    <d v="1899-12-30T06:05:00"/>
  </r>
  <r>
    <n v="959"/>
    <d v="2020-09-30T15:44:00"/>
    <d v="2020-09-30T00:00:00"/>
    <s v="15:44"/>
    <d v="2020-10-01T08:00:00"/>
    <d v="2020-10-01T00:00:00"/>
    <d v="1899-12-30T08:00:00"/>
    <n v="6"/>
    <x v="1"/>
    <x v="4"/>
    <x v="1"/>
    <n v="54"/>
    <n v="4.6500000000000004"/>
    <n v="1.64"/>
    <s v="Alive"/>
    <n v="101"/>
    <n v="163"/>
    <n v="77"/>
    <n v="51"/>
    <s v="Good"/>
    <n v="0"/>
    <n v="4.6500000000000007E-2"/>
    <n v="1.6399999999999998E-2"/>
    <d v="1899-12-30T16:16:00"/>
  </r>
  <r>
    <n v="960"/>
    <d v="2020-09-29T17:10:00"/>
    <d v="2020-09-29T00:00:00"/>
    <s v="17:10"/>
    <d v="2020-10-01T08:13:00"/>
    <d v="2020-10-01T00:00:00"/>
    <d v="1899-12-30T08:13:00"/>
    <n v="4"/>
    <x v="2"/>
    <x v="3"/>
    <x v="15"/>
    <n v="56"/>
    <n v="2.27"/>
    <n v="2.16"/>
    <s v="Alive"/>
    <n v="76"/>
    <n v="187"/>
    <n v="112"/>
    <n v="28"/>
    <s v="Poor"/>
    <n v="0"/>
    <n v="2.2700000000000001E-2"/>
    <n v="2.1600000000000001E-2"/>
    <d v="1899-12-31T15:03:00"/>
  </r>
  <r>
    <n v="961"/>
    <d v="2020-09-30T16:20:00"/>
    <d v="2020-09-30T00:00:00"/>
    <s v="16:20"/>
    <d v="2020-10-01T08:18:00"/>
    <d v="2020-10-01T00:00:00"/>
    <d v="1899-12-30T08:18:00"/>
    <n v="2"/>
    <x v="1"/>
    <x v="0"/>
    <x v="11"/>
    <n v="83"/>
    <n v="7.03"/>
    <n v="1.44"/>
    <s v="Alive"/>
    <n v="87"/>
    <n v="168"/>
    <n v="73"/>
    <n v="50"/>
    <s v="Moderate"/>
    <n v="0"/>
    <n v="7.0300000000000001E-2"/>
    <n v="1.44E-2"/>
    <d v="1899-12-30T15:58:00"/>
  </r>
  <r>
    <n v="962"/>
    <d v="2020-09-24T11:11:00"/>
    <d v="2020-09-24T00:00:00"/>
    <s v="11:11"/>
    <d v="2020-10-01T08:18:00"/>
    <d v="2020-10-01T00:00:00"/>
    <d v="1899-12-30T08:18:00"/>
    <n v="5"/>
    <x v="2"/>
    <x v="2"/>
    <x v="7"/>
    <n v="76"/>
    <n v="9.16"/>
    <n v="5.41"/>
    <s v="Alive"/>
    <n v="80"/>
    <n v="172"/>
    <n v="73"/>
    <n v="19"/>
    <s v="Very Poor"/>
    <n v="0"/>
    <n v="9.1600000000000001E-2"/>
    <n v="5.4100000000000002E-2"/>
    <d v="1900-01-05T21:07:00"/>
  </r>
  <r>
    <n v="963"/>
    <d v="2020-09-30T16:17:00"/>
    <d v="2020-09-30T00:00:00"/>
    <s v="16:17"/>
    <d v="2020-10-01T09:28:00"/>
    <d v="2020-10-01T00:00:00"/>
    <d v="1899-12-30T09:28:00"/>
    <n v="3"/>
    <x v="1"/>
    <x v="0"/>
    <x v="6"/>
    <n v="64"/>
    <n v="2.09"/>
    <n v="0.98"/>
    <s v="Alive"/>
    <n v="63"/>
    <n v="160"/>
    <n v="65"/>
    <n v="25"/>
    <s v="Poor"/>
    <n v="0"/>
    <n v="2.0899999999999998E-2"/>
    <n v="9.7999999999999997E-3"/>
    <d v="1899-12-30T17:11:00"/>
  </r>
  <r>
    <n v="964"/>
    <d v="2020-10-01T07:13:00"/>
    <d v="2020-10-01T00:00:00"/>
    <s v="07:13"/>
    <d v="2020-10-01T13:09:00"/>
    <d v="2020-10-01T00:00:00"/>
    <d v="1899-12-30T13:09:00"/>
    <n v="3"/>
    <x v="1"/>
    <x v="0"/>
    <x v="6"/>
    <n v="73"/>
    <n v="5.13"/>
    <n v="1.35"/>
    <s v="Alive"/>
    <n v="103"/>
    <n v="174"/>
    <n v="72"/>
    <n v="31"/>
    <s v="Moderate"/>
    <n v="0"/>
    <n v="5.1299999999999998E-2"/>
    <n v="1.3500000000000002E-2"/>
    <d v="1899-12-30T05:56:00"/>
  </r>
  <r>
    <n v="965"/>
    <d v="2020-10-01T07:00:00"/>
    <d v="2020-10-01T00:00:00"/>
    <s v="07:00"/>
    <d v="2020-10-01T13:10:00"/>
    <d v="2020-10-01T00:00:00"/>
    <d v="1899-12-30T13:10:00"/>
    <n v="6"/>
    <x v="1"/>
    <x v="0"/>
    <x v="1"/>
    <n v="55"/>
    <n v="2.08"/>
    <n v="0.62"/>
    <s v="Alive"/>
    <n v="75"/>
    <n v="177"/>
    <n v="108"/>
    <n v="55"/>
    <s v="Good"/>
    <n v="0"/>
    <n v="2.0799999999999999E-2"/>
    <n v="6.1999999999999998E-3"/>
    <d v="1899-12-30T06:10:00"/>
  </r>
  <r>
    <n v="966"/>
    <d v="2020-10-01T07:00:00"/>
    <d v="2020-10-01T00:00:00"/>
    <s v="07:00"/>
    <d v="2020-10-01T14:47:00"/>
    <d v="2020-10-01T00:00:00"/>
    <d v="1899-12-30T14:47:00"/>
    <n v="5"/>
    <x v="1"/>
    <x v="0"/>
    <x v="7"/>
    <n v="57"/>
    <n v="1.51"/>
    <n v="0.56000000000000005"/>
    <s v="Alive"/>
    <n v="96"/>
    <n v="163"/>
    <n v="67"/>
    <n v="45"/>
    <s v="Moderate"/>
    <n v="0"/>
    <n v="1.5100000000000001E-2"/>
    <n v="5.6000000000000008E-3"/>
    <d v="1899-12-30T07:47:00"/>
  </r>
  <r>
    <n v="967"/>
    <d v="2020-10-01T16:07:00"/>
    <d v="2020-10-01T00:00:00"/>
    <s v="16:07"/>
    <d v="2020-10-02T08:02:00"/>
    <d v="2020-10-02T00:00:00"/>
    <d v="1899-12-30T08:02:00"/>
    <n v="4"/>
    <x v="1"/>
    <x v="2"/>
    <x v="15"/>
    <n v="79"/>
    <n v="6.1"/>
    <n v="3.71"/>
    <s v="Alive"/>
    <n v="152"/>
    <n v="162"/>
    <n v="68"/>
    <n v="49"/>
    <s v="Moderate"/>
    <n v="0"/>
    <n v="6.0999999999999999E-2"/>
    <n v="3.7100000000000001E-2"/>
    <d v="1899-12-30T15:55:00"/>
  </r>
  <r>
    <n v="968"/>
    <d v="2020-09-30T14:37:00"/>
    <d v="2020-09-30T00:00:00"/>
    <s v="14:37"/>
    <d v="2020-10-02T08:06:00"/>
    <d v="2020-10-02T00:00:00"/>
    <d v="1899-12-30T08:06:00"/>
    <n v="2"/>
    <x v="2"/>
    <x v="1"/>
    <x v="11"/>
    <n v="61"/>
    <n v="4.38"/>
    <n v="3.22"/>
    <s v="Alive"/>
    <n v="108"/>
    <n v="173"/>
    <n v="76"/>
    <n v="32"/>
    <s v="Moderate"/>
    <n v="0"/>
    <n v="4.3799999999999999E-2"/>
    <n v="3.2199999999999999E-2"/>
    <d v="1899-12-31T17:29:00"/>
  </r>
  <r>
    <n v="969"/>
    <d v="2020-10-01T16:00:00"/>
    <d v="2020-10-01T00:00:00"/>
    <s v="16:00"/>
    <d v="2020-10-02T08:19:00"/>
    <d v="2020-10-02T00:00:00"/>
    <d v="1899-12-30T08:19:00"/>
    <n v="6"/>
    <x v="1"/>
    <x v="0"/>
    <x v="16"/>
    <n v="51"/>
    <n v="1.51"/>
    <n v="0.56000000000000005"/>
    <s v="Alive"/>
    <n v="69"/>
    <n v="174"/>
    <n v="65"/>
    <n v="60"/>
    <s v="Good"/>
    <n v="0"/>
    <n v="1.5100000000000001E-2"/>
    <n v="5.6000000000000008E-3"/>
    <d v="1899-12-30T16:19:00"/>
  </r>
  <r>
    <n v="970"/>
    <d v="2020-10-02T06:59:00"/>
    <d v="2020-10-02T00:00:00"/>
    <s v="06:59"/>
    <d v="2020-10-02T11:05:00"/>
    <d v="2020-10-02T00:00:00"/>
    <d v="1899-12-30T11:05:00"/>
    <n v="5"/>
    <x v="1"/>
    <x v="4"/>
    <x v="7"/>
    <n v="60"/>
    <n v="4.95"/>
    <n v="1.64"/>
    <s v="Died"/>
    <n v="84"/>
    <n v="167"/>
    <n v="70"/>
    <n v="16"/>
    <s v="Very Poor"/>
    <n v="1"/>
    <n v="4.9500000000000002E-2"/>
    <n v="1.6399999999999998E-2"/>
    <d v="1899-12-30T04:06:00"/>
  </r>
  <r>
    <n v="971"/>
    <d v="2020-10-02T07:00:00"/>
    <d v="2020-10-02T00:00:00"/>
    <s v="07:00"/>
    <d v="2020-10-02T13:34:00"/>
    <d v="2020-10-02T00:00:00"/>
    <d v="1899-12-30T13:34:00"/>
    <n v="2"/>
    <x v="1"/>
    <x v="2"/>
    <x v="11"/>
    <n v="49"/>
    <n v="0.88"/>
    <n v="0.56000000000000005"/>
    <s v="Alive"/>
    <n v="71"/>
    <n v="166"/>
    <n v="77"/>
    <n v="65"/>
    <s v="Good"/>
    <n v="0"/>
    <n v="8.8000000000000005E-3"/>
    <n v="5.6000000000000008E-3"/>
    <d v="1899-12-30T06:34:00"/>
  </r>
  <r>
    <n v="972"/>
    <d v="2020-09-28T17:37:00"/>
    <d v="2020-09-28T00:00:00"/>
    <s v="17:37"/>
    <d v="2020-10-02T14:55:00"/>
    <d v="2020-10-02T00:00:00"/>
    <d v="1899-12-30T14:55:00"/>
    <n v="4"/>
    <x v="2"/>
    <x v="2"/>
    <x v="16"/>
    <n v="78"/>
    <n v="7.64"/>
    <n v="4.2"/>
    <s v="Alive"/>
    <n v="147"/>
    <n v="170"/>
    <n v="74"/>
    <n v="40"/>
    <s v="Moderate"/>
    <n v="0"/>
    <n v="7.6399999999999996E-2"/>
    <n v="4.2000000000000003E-2"/>
    <d v="1900-01-02T21:18:00"/>
  </r>
  <r>
    <n v="973"/>
    <d v="2020-10-02T15:47:00"/>
    <d v="2020-10-02T00:00:00"/>
    <s v="15:47"/>
    <d v="2020-10-03T07:52:00"/>
    <d v="2020-10-03T00:00:00"/>
    <d v="1899-12-30T07:52:00"/>
    <n v="4"/>
    <x v="1"/>
    <x v="0"/>
    <x v="0"/>
    <n v="61"/>
    <n v="4.96"/>
    <n v="2.93"/>
    <s v="Alive"/>
    <n v="141"/>
    <n v="171"/>
    <n v="95"/>
    <n v="65"/>
    <s v="Good"/>
    <n v="0"/>
    <n v="4.9599999999999998E-2"/>
    <n v="2.9300000000000003E-2"/>
    <d v="1899-12-30T16:05:00"/>
  </r>
  <r>
    <n v="974"/>
    <d v="2020-10-03T06:55:00"/>
    <d v="2020-10-03T00:00:00"/>
    <s v="06:55"/>
    <d v="2020-10-03T10:58:00"/>
    <d v="2020-10-03T00:00:00"/>
    <d v="1899-12-30T10:58:00"/>
    <n v="4"/>
    <x v="1"/>
    <x v="0"/>
    <x v="0"/>
    <n v="71"/>
    <n v="3.29"/>
    <n v="1.03"/>
    <s v="Alive"/>
    <n v="66"/>
    <n v="175"/>
    <n v="85"/>
    <n v="31"/>
    <s v="Moderate"/>
    <n v="0"/>
    <n v="3.2899999999999999E-2"/>
    <n v="1.03E-2"/>
    <d v="1899-12-30T04:03:00"/>
  </r>
  <r>
    <n v="975"/>
    <d v="2020-10-03T10:00:00"/>
    <d v="2020-10-03T00:00:00"/>
    <s v="10:00"/>
    <d v="2020-10-05T08:05:00"/>
    <d v="2020-10-05T00:00:00"/>
    <d v="1899-12-30T08:05:00"/>
    <n v="5"/>
    <x v="2"/>
    <x v="2"/>
    <x v="11"/>
    <n v="75"/>
    <n v="13.16"/>
    <n v="3.43"/>
    <s v="Alive"/>
    <n v="67"/>
    <n v="160"/>
    <n v="60"/>
    <n v="54"/>
    <s v="Good"/>
    <n v="0"/>
    <n v="0.13159999999999999"/>
    <n v="3.4300000000000004E-2"/>
    <d v="1899-12-31T22:05:00"/>
  </r>
  <r>
    <n v="976"/>
    <d v="2020-10-04T16:00:00"/>
    <d v="2020-10-04T00:00:00"/>
    <s v="16:00"/>
    <d v="2020-10-05T08:05:00"/>
    <d v="2020-10-05T00:00:00"/>
    <d v="1899-12-30T08:05:00"/>
    <n v="2"/>
    <x v="1"/>
    <x v="0"/>
    <x v="6"/>
    <n v="70"/>
    <n v="8.5299999999999994"/>
    <n v="5.26"/>
    <s v="Alive"/>
    <n v="111"/>
    <n v="177"/>
    <n v="91"/>
    <n v="55"/>
    <s v="Good"/>
    <n v="0"/>
    <n v="8.5299999999999987E-2"/>
    <n v="5.2600000000000001E-2"/>
    <d v="1899-12-30T16:05:00"/>
  </r>
  <r>
    <n v="977"/>
    <d v="2020-10-04T15:23:00"/>
    <d v="2020-10-04T00:00:00"/>
    <s v="15:23"/>
    <d v="2020-10-05T08:13:00"/>
    <d v="2020-10-05T00:00:00"/>
    <d v="1899-12-30T08:13:00"/>
    <n v="4"/>
    <x v="1"/>
    <x v="0"/>
    <x v="8"/>
    <n v="83"/>
    <n v="9.52"/>
    <n v="4.13"/>
    <s v="Alive"/>
    <n v="74"/>
    <n v="147"/>
    <n v="57"/>
    <n v="35"/>
    <s v="Moderate"/>
    <n v="0"/>
    <n v="9.5199999999999993E-2"/>
    <n v="4.1299999999999996E-2"/>
    <d v="1899-12-30T16:50:00"/>
  </r>
  <r>
    <n v="978"/>
    <d v="2020-10-05T07:15:00"/>
    <d v="2020-10-05T00:00:00"/>
    <s v="07:15"/>
    <d v="2020-10-05T12:45:00"/>
    <d v="2020-10-05T00:00:00"/>
    <d v="1899-12-30T12:45:00"/>
    <n v="5"/>
    <x v="1"/>
    <x v="3"/>
    <x v="11"/>
    <n v="73"/>
    <n v="3.74"/>
    <n v="1.38"/>
    <s v="Alive"/>
    <n v="98"/>
    <n v="160"/>
    <n v="71"/>
    <n v="55"/>
    <s v="Good"/>
    <n v="0"/>
    <n v="3.7400000000000003E-2"/>
    <n v="1.38E-2"/>
    <d v="1899-12-30T05:30:00"/>
  </r>
  <r>
    <n v="979"/>
    <d v="2020-10-02T06:59:00"/>
    <d v="2020-10-02T00:00:00"/>
    <s v="06:59"/>
    <d v="2020-10-05T13:17:00"/>
    <d v="2020-10-05T00:00:00"/>
    <d v="1899-12-30T13:17:00"/>
    <n v="4"/>
    <x v="0"/>
    <x v="2"/>
    <x v="7"/>
    <n v="60"/>
    <n v="28.08"/>
    <n v="19.059999999999999"/>
    <s v="Died"/>
    <n v="71"/>
    <n v="166"/>
    <n v="83"/>
    <n v="53"/>
    <s v="Good"/>
    <n v="1"/>
    <n v="0.28079999999999999"/>
    <n v="0.19059999999999999"/>
    <d v="1900-01-02T06:18:00"/>
  </r>
  <r>
    <n v="980"/>
    <d v="2020-10-05T07:00:00"/>
    <d v="2020-10-05T00:00:00"/>
    <s v="07:00"/>
    <d v="2020-10-05T13:34:00"/>
    <d v="2020-10-05T00:00:00"/>
    <d v="1899-12-30T13:34:00"/>
    <n v="2"/>
    <x v="1"/>
    <x v="2"/>
    <x v="6"/>
    <n v="70"/>
    <n v="3.44"/>
    <n v="2.04"/>
    <s v="Alive"/>
    <n v="75"/>
    <n v="167"/>
    <n v="73"/>
    <n v="42"/>
    <s v="Moderate"/>
    <n v="0"/>
    <n v="3.44E-2"/>
    <n v="2.0400000000000001E-2"/>
    <d v="1899-12-30T06:34:00"/>
  </r>
  <r>
    <n v="981"/>
    <d v="2020-10-05T14:17:00"/>
    <d v="2020-10-05T00:00:00"/>
    <s v="14:17"/>
    <d v="2020-10-06T12:30:00"/>
    <d v="2020-10-06T00:00:00"/>
    <d v="1899-12-30T12:30:00"/>
    <n v="1"/>
    <x v="1"/>
    <x v="0"/>
    <x v="2"/>
    <n v="42"/>
    <n v="1.51"/>
    <n v="0.68"/>
    <s v="Alive"/>
    <n v="105"/>
    <n v="170"/>
    <n v="102"/>
    <n v="32"/>
    <s v="Moderate"/>
    <n v="0"/>
    <n v="1.5100000000000001E-2"/>
    <n v="6.8000000000000005E-3"/>
    <d v="1899-12-30T22:13:00"/>
  </r>
  <r>
    <n v="982"/>
    <d v="2020-10-06T07:09:00"/>
    <d v="2020-10-06T00:00:00"/>
    <s v="07:09"/>
    <d v="2020-10-06T12:40:00"/>
    <d v="2020-10-06T00:00:00"/>
    <d v="1899-12-30T12:40:00"/>
    <n v="5"/>
    <x v="1"/>
    <x v="2"/>
    <x v="1"/>
    <n v="64"/>
    <n v="1.85"/>
    <n v="0.85"/>
    <s v="Alive"/>
    <n v="162"/>
    <n v="178"/>
    <n v="91"/>
    <n v="42"/>
    <s v="Moderate"/>
    <n v="0"/>
    <n v="1.8500000000000003E-2"/>
    <n v="8.5000000000000006E-3"/>
    <d v="1899-12-30T05:31:00"/>
  </r>
  <r>
    <n v="983"/>
    <d v="2020-10-06T07:03:00"/>
    <d v="2020-10-06T00:00:00"/>
    <s v="07:03"/>
    <d v="2020-10-06T12:55:00"/>
    <d v="2020-10-06T00:00:00"/>
    <d v="1899-12-30T12:55:00"/>
    <n v="3"/>
    <x v="1"/>
    <x v="0"/>
    <x v="10"/>
    <n v="73"/>
    <n v="3.74"/>
    <n v="1.0900000000000001"/>
    <s v="Alive"/>
    <n v="80"/>
    <n v="160"/>
    <n v="98"/>
    <n v="29"/>
    <s v="Poor"/>
    <n v="0"/>
    <n v="3.7400000000000003E-2"/>
    <n v="1.09E-2"/>
    <d v="1899-12-30T05:52:00"/>
  </r>
  <r>
    <n v="984"/>
    <d v="2020-10-06T07:09:00"/>
    <d v="2020-10-06T00:00:00"/>
    <s v="07:09"/>
    <d v="2020-10-06T13:09:00"/>
    <d v="2020-10-06T00:00:00"/>
    <d v="1899-12-30T13:09:00"/>
    <n v="6"/>
    <x v="1"/>
    <x v="4"/>
    <x v="3"/>
    <n v="73"/>
    <n v="31.97"/>
    <n v="17.489999999999998"/>
    <s v="Alive"/>
    <n v="120"/>
    <n v="178"/>
    <n v="77"/>
    <n v="50"/>
    <s v="Moderate"/>
    <n v="0"/>
    <n v="0.31969999999999998"/>
    <n v="0.17489999999999997"/>
    <d v="1899-12-30T06:00:00"/>
  </r>
  <r>
    <n v="985"/>
    <d v="2020-10-06T07:15:00"/>
    <d v="2020-10-06T00:00:00"/>
    <s v="07:15"/>
    <d v="2020-10-06T16:04:00"/>
    <d v="2020-10-06T00:00:00"/>
    <d v="1899-12-30T16:04:00"/>
    <n v="4"/>
    <x v="1"/>
    <x v="0"/>
    <x v="1"/>
    <n v="68"/>
    <n v="4.3600000000000003"/>
    <n v="0.76"/>
    <s v="Alive"/>
    <n v="79"/>
    <n v="163"/>
    <n v="128"/>
    <n v="62"/>
    <s v="Good"/>
    <n v="0"/>
    <n v="4.36E-2"/>
    <n v="7.6E-3"/>
    <d v="1899-12-30T08:49:00"/>
  </r>
  <r>
    <n v="986"/>
    <d v="2020-09-28T10:39:00"/>
    <d v="2020-09-28T00:00:00"/>
    <s v="10:39"/>
    <d v="2020-10-07T08:07:00"/>
    <d v="2020-10-07T00:00:00"/>
    <d v="1899-12-30T08:07:00"/>
    <n v="4"/>
    <x v="2"/>
    <x v="2"/>
    <x v="15"/>
    <n v="63"/>
    <n v="2.71"/>
    <n v="1.5"/>
    <s v="Alive"/>
    <n v="90"/>
    <n v="166"/>
    <n v="66"/>
    <n v="58"/>
    <s v="Good"/>
    <n v="0"/>
    <n v="2.7099999999999999E-2"/>
    <n v="1.4999999999999999E-2"/>
    <d v="1900-01-07T21:28:00"/>
  </r>
  <r>
    <n v="987"/>
    <d v="2020-10-06T15:57:00"/>
    <d v="2020-10-06T00:00:00"/>
    <s v="15:57"/>
    <d v="2020-10-07T08:11:00"/>
    <d v="2020-10-07T00:00:00"/>
    <d v="1899-12-30T08:11:00"/>
    <n v="5"/>
    <x v="1"/>
    <x v="2"/>
    <x v="11"/>
    <n v="82"/>
    <n v="7.35"/>
    <n v="2.12"/>
    <s v="Alive"/>
    <n v="73"/>
    <n v="154"/>
    <n v="64"/>
    <n v="53"/>
    <s v="Good"/>
    <n v="0"/>
    <n v="7.3499999999999996E-2"/>
    <n v="2.12E-2"/>
    <d v="1899-12-30T16:14:00"/>
  </r>
  <r>
    <n v="988"/>
    <d v="2020-10-06T20:26:00"/>
    <d v="2020-10-06T00:00:00"/>
    <s v="20:26"/>
    <d v="2020-10-07T08:15:00"/>
    <d v="2020-10-07T00:00:00"/>
    <d v="1899-12-30T08:15:00"/>
    <n v="6"/>
    <x v="0"/>
    <x v="4"/>
    <x v="0"/>
    <n v="53"/>
    <n v="23.24"/>
    <n v="5.66"/>
    <s v="Died"/>
    <n v="93"/>
    <n v="180"/>
    <n v="118"/>
    <n v="50"/>
    <s v="Moderate"/>
    <n v="1"/>
    <n v="0.2324"/>
    <n v="5.6600000000000004E-2"/>
    <d v="1899-12-30T11:49:00"/>
  </r>
  <r>
    <n v="989"/>
    <d v="2020-10-04T08:30:00"/>
    <d v="2020-10-04T00:00:00"/>
    <s v="08:30"/>
    <d v="2020-10-07T13:10:00"/>
    <d v="2020-10-07T00:00:00"/>
    <d v="1899-12-30T13:10:00"/>
    <n v="4"/>
    <x v="1"/>
    <x v="3"/>
    <x v="15"/>
    <n v="79"/>
    <n v="8.1"/>
    <n v="2.23"/>
    <s v="Alive"/>
    <n v="66"/>
    <n v="182"/>
    <n v="94"/>
    <n v="60"/>
    <s v="Good"/>
    <n v="0"/>
    <n v="8.1000000000000003E-2"/>
    <n v="2.23E-2"/>
    <d v="1900-01-02T04:40:00"/>
  </r>
  <r>
    <n v="990"/>
    <d v="2020-10-07T15:30:00"/>
    <d v="2020-10-07T00:00:00"/>
    <s v="15:30"/>
    <d v="2020-10-08T08:00:00"/>
    <d v="2020-10-08T00:00:00"/>
    <d v="1899-12-30T08:00:00"/>
    <n v="2"/>
    <x v="1"/>
    <x v="0"/>
    <x v="8"/>
    <n v="83"/>
    <n v="7.03"/>
    <n v="0.96"/>
    <s v="Alive"/>
    <n v="61"/>
    <n v="167"/>
    <n v="76"/>
    <n v="56"/>
    <s v="Good"/>
    <n v="0"/>
    <n v="7.0300000000000001E-2"/>
    <n v="9.5999999999999992E-3"/>
    <d v="1899-12-30T16:30:00"/>
  </r>
  <r>
    <n v="991"/>
    <d v="2020-10-07T14:00:00"/>
    <d v="2020-10-07T00:00:00"/>
    <s v="14:00"/>
    <d v="2020-10-08T08:17:00"/>
    <d v="2020-10-08T00:00:00"/>
    <d v="1899-12-30T08:17:00"/>
    <n v="6"/>
    <x v="1"/>
    <x v="2"/>
    <x v="1"/>
    <n v="75"/>
    <n v="2.52"/>
    <n v="0.77"/>
    <s v="Alive"/>
    <n v="93"/>
    <n v="158"/>
    <n v="77"/>
    <n v="55"/>
    <s v="Good"/>
    <n v="0"/>
    <n v="2.52E-2"/>
    <n v="7.7000000000000002E-3"/>
    <d v="1899-12-30T18:17:00"/>
  </r>
  <r>
    <n v="992"/>
    <d v="2020-10-07T13:48:00"/>
    <d v="2020-10-07T00:00:00"/>
    <s v="13:48"/>
    <d v="2020-10-08T08:19:00"/>
    <d v="2020-10-08T00:00:00"/>
    <d v="1899-12-30T08:19:00"/>
    <n v="3"/>
    <x v="2"/>
    <x v="0"/>
    <x v="6"/>
    <n v="77"/>
    <n v="4.83"/>
    <n v="3.19"/>
    <s v="Alive"/>
    <n v="74"/>
    <n v="175"/>
    <n v="98"/>
    <n v="53"/>
    <s v="Good"/>
    <n v="0"/>
    <n v="4.8300000000000003E-2"/>
    <n v="3.1899999999999998E-2"/>
    <d v="1899-12-30T18:31:00"/>
  </r>
  <r>
    <n v="993"/>
    <d v="2020-10-08T07:00:00"/>
    <d v="2020-10-08T00:00:00"/>
    <s v="07:00"/>
    <d v="2020-10-08T11:29:00"/>
    <d v="2020-10-08T00:00:00"/>
    <d v="1899-12-30T11:29:00"/>
    <n v="3"/>
    <x v="1"/>
    <x v="0"/>
    <x v="6"/>
    <n v="72"/>
    <n v="5.24"/>
    <n v="3.71"/>
    <s v="Alive"/>
    <n v="128"/>
    <n v="150"/>
    <n v="66"/>
    <n v="20"/>
    <s v="Very Poor"/>
    <n v="0"/>
    <n v="5.2400000000000002E-2"/>
    <n v="3.7100000000000001E-2"/>
    <d v="1899-12-30T04:29:00"/>
  </r>
  <r>
    <n v="994"/>
    <d v="2020-10-06T14:26:00"/>
    <d v="2020-10-06T00:00:00"/>
    <s v="14:26"/>
    <d v="2020-10-08T12:07:00"/>
    <d v="2020-10-08T00:00:00"/>
    <d v="1899-12-30T12:07:00"/>
    <n v="6"/>
    <x v="2"/>
    <x v="4"/>
    <x v="1"/>
    <n v="65"/>
    <n v="6.78"/>
    <n v="2.58"/>
    <s v="Alive"/>
    <n v="78"/>
    <n v="163"/>
    <n v="65"/>
    <n v="53"/>
    <s v="Good"/>
    <n v="0"/>
    <n v="6.7799999999999999E-2"/>
    <n v="2.58E-2"/>
    <d v="1899-12-31T21:41:00"/>
  </r>
  <r>
    <n v="995"/>
    <d v="2020-10-08T07:00:00"/>
    <d v="2020-10-08T00:00:00"/>
    <s v="07:00"/>
    <d v="2020-10-08T13:30:00"/>
    <d v="2020-10-08T00:00:00"/>
    <d v="1899-12-30T13:30:00"/>
    <n v="2"/>
    <x v="1"/>
    <x v="0"/>
    <x v="4"/>
    <n v="61"/>
    <n v="1.72"/>
    <n v="0.52"/>
    <s v="Alive"/>
    <n v="79"/>
    <n v="165"/>
    <n v="74"/>
    <n v="30"/>
    <s v="Poor"/>
    <n v="0"/>
    <n v="1.72E-2"/>
    <n v="5.1999999999999998E-3"/>
    <d v="1899-12-30T06:30:00"/>
  </r>
  <r>
    <n v="996"/>
    <d v="2020-10-08T07:18:00"/>
    <d v="2020-10-08T00:00:00"/>
    <s v="07:18"/>
    <d v="2020-10-08T15:08:00"/>
    <d v="2020-10-08T00:00:00"/>
    <d v="1899-12-30T15:08:00"/>
    <n v="3"/>
    <x v="1"/>
    <x v="0"/>
    <x v="6"/>
    <n v="79"/>
    <n v="11.66"/>
    <n v="1.93"/>
    <s v="Alive"/>
    <n v="146"/>
    <n v="161"/>
    <n v="65"/>
    <n v="30"/>
    <s v="Poor"/>
    <n v="0"/>
    <n v="0.1166"/>
    <n v="1.9299999999999998E-2"/>
    <d v="1899-12-30T07:50:00"/>
  </r>
  <r>
    <n v="997"/>
    <d v="2020-10-08T15:57:00"/>
    <d v="2020-10-08T00:00:00"/>
    <s v="15:57"/>
    <d v="2020-10-09T07:50:00"/>
    <d v="2020-10-09T00:00:00"/>
    <d v="1899-12-30T07:50:00"/>
    <n v="2"/>
    <x v="1"/>
    <x v="0"/>
    <x v="8"/>
    <n v="35"/>
    <n v="2.08"/>
    <n v="0.69"/>
    <s v="Alive"/>
    <n v="77"/>
    <n v="188"/>
    <n v="116"/>
    <n v="49"/>
    <s v="Moderate"/>
    <n v="0"/>
    <n v="2.0799999999999999E-2"/>
    <n v="6.8999999999999999E-3"/>
    <d v="1899-12-30T15:53:00"/>
  </r>
  <r>
    <n v="998"/>
    <d v="2020-09-27T10:20:00"/>
    <d v="2020-09-27T00:00:00"/>
    <s v="10:20"/>
    <d v="2020-10-09T08:00:00"/>
    <d v="2020-10-09T00:00:00"/>
    <d v="1899-12-30T08:00:00"/>
    <n v="5"/>
    <x v="2"/>
    <x v="2"/>
    <x v="7"/>
    <n v="73"/>
    <n v="7.62"/>
    <n v="2.61"/>
    <s v="Alive"/>
    <n v="66"/>
    <n v="166"/>
    <n v="81"/>
    <n v="65"/>
    <s v="Good"/>
    <n v="0"/>
    <n v="7.6200000000000004E-2"/>
    <n v="2.6099999999999998E-2"/>
    <d v="1900-01-10T21:40:00"/>
  </r>
  <r>
    <n v="999"/>
    <d v="2020-10-08T11:45:00"/>
    <d v="2020-10-08T00:00:00"/>
    <s v="11:45"/>
    <d v="2020-10-09T08:05:00"/>
    <d v="2020-10-09T00:00:00"/>
    <d v="1899-12-30T08:05:00"/>
    <n v="4"/>
    <x v="1"/>
    <x v="2"/>
    <x v="15"/>
    <n v="59"/>
    <n v="1.43"/>
    <n v="0.81"/>
    <s v="Alive"/>
    <n v="107"/>
    <n v="170"/>
    <n v="70"/>
    <n v="68"/>
    <s v="Good"/>
    <n v="0"/>
    <n v="1.43E-2"/>
    <n v="8.1000000000000013E-3"/>
    <d v="1899-12-30T20:20:00"/>
  </r>
  <r>
    <n v="1000"/>
    <d v="2020-10-08T15:54:00"/>
    <d v="2020-10-08T00:00:00"/>
    <s v="15:54"/>
    <d v="2020-10-09T08:08:00"/>
    <d v="2020-10-09T00:00:00"/>
    <d v="1899-12-30T08:08:00"/>
    <n v="6"/>
    <x v="1"/>
    <x v="3"/>
    <x v="16"/>
    <n v="66"/>
    <n v="13.99"/>
    <n v="8.65"/>
    <s v="Alive"/>
    <n v="68"/>
    <n v="180"/>
    <n v="122"/>
    <n v="45"/>
    <s v="Moderate"/>
    <n v="0"/>
    <n v="0.1399"/>
    <n v="8.6500000000000007E-2"/>
    <d v="1899-12-30T16:14:00"/>
  </r>
  <r>
    <n v="1001"/>
    <d v="2020-10-09T07:22:00"/>
    <d v="2020-10-09T00:00:00"/>
    <s v="07:22"/>
    <d v="2020-10-09T12:00:00"/>
    <d v="2020-10-09T00:00:00"/>
    <d v="1899-12-30T12:00:00"/>
    <n v="2"/>
    <x v="1"/>
    <x v="2"/>
    <x v="8"/>
    <n v="66"/>
    <n v="1.4"/>
    <n v="0.89"/>
    <s v="Alive"/>
    <n v="110"/>
    <n v="175"/>
    <n v="125"/>
    <n v="50"/>
    <s v="Moderate"/>
    <n v="0"/>
    <n v="1.3999999999999999E-2"/>
    <n v="8.8999999999999999E-3"/>
    <d v="1899-12-30T04:38:00"/>
  </r>
  <r>
    <n v="1002"/>
    <d v="2020-10-09T07:19:00"/>
    <d v="2020-10-09T00:00:00"/>
    <s v="07:19"/>
    <d v="2020-10-09T13:30:00"/>
    <d v="2020-10-09T00:00:00"/>
    <d v="1899-12-30T13:30:00"/>
    <n v="5"/>
    <x v="1"/>
    <x v="0"/>
    <x v="7"/>
    <n v="77"/>
    <n v="7.16"/>
    <n v="1.49"/>
    <s v="Alive"/>
    <n v="80"/>
    <n v="153"/>
    <n v="65"/>
    <n v="55"/>
    <s v="Good"/>
    <n v="0"/>
    <n v="7.1599999999999997E-2"/>
    <n v="1.49E-2"/>
    <d v="1899-12-30T06:11:00"/>
  </r>
  <r>
    <n v="1003"/>
    <d v="2020-10-07T10:00:00"/>
    <d v="2020-10-07T00:00:00"/>
    <s v="10:00"/>
    <d v="2020-10-09T13:52:00"/>
    <d v="2020-10-09T00:00:00"/>
    <d v="1899-12-30T13:52:00"/>
    <n v="4"/>
    <x v="2"/>
    <x v="0"/>
    <x v="15"/>
    <n v="68"/>
    <n v="5.09"/>
    <n v="1.96"/>
    <s v="Alive"/>
    <n v="87"/>
    <n v="165"/>
    <n v="70"/>
    <n v="45"/>
    <s v="Moderate"/>
    <n v="0"/>
    <n v="5.0900000000000001E-2"/>
    <n v="1.9599999999999999E-2"/>
    <d v="1900-01-01T03:52:00"/>
  </r>
  <r>
    <n v="1004"/>
    <d v="2020-09-22T12:22:00"/>
    <d v="2020-09-22T00:00:00"/>
    <s v="12:22"/>
    <d v="2020-10-09T14:45:00"/>
    <d v="2020-10-09T00:00:00"/>
    <d v="1899-12-30T14:45:00"/>
    <n v="6"/>
    <x v="2"/>
    <x v="3"/>
    <x v="16"/>
    <n v="74"/>
    <n v="9.83"/>
    <n v="2.77"/>
    <s v="Alive"/>
    <n v="133"/>
    <n v="172"/>
    <n v="101"/>
    <n v="36"/>
    <s v="Moderate"/>
    <n v="0"/>
    <n v="9.8299999999999998E-2"/>
    <n v="2.7699999999999999E-2"/>
    <d v="1900-01-16T02:23:00"/>
  </r>
  <r>
    <n v="1005"/>
    <d v="2020-10-09T16:00:00"/>
    <d v="2020-10-09T00:00:00"/>
    <s v="16:00"/>
    <d v="2020-10-10T07:42:00"/>
    <d v="2020-10-10T00:00:00"/>
    <d v="1899-12-30T07:42:00"/>
    <n v="5"/>
    <x v="1"/>
    <x v="2"/>
    <x v="4"/>
    <n v="64"/>
    <n v="1.23"/>
    <n v="0.56000000000000005"/>
    <s v="Alive"/>
    <n v="71"/>
    <n v="173"/>
    <n v="64"/>
    <n v="57"/>
    <s v="Good"/>
    <n v="0"/>
    <n v="1.23E-2"/>
    <n v="5.6000000000000008E-3"/>
    <d v="1899-12-30T15:42:00"/>
  </r>
  <r>
    <n v="1006"/>
    <d v="2020-10-09T14:08:00"/>
    <d v="2020-10-09T00:00:00"/>
    <s v="14:08"/>
    <d v="2020-10-10T07:50:00"/>
    <d v="2020-10-10T00:00:00"/>
    <d v="1899-12-30T07:50:00"/>
    <n v="4"/>
    <x v="1"/>
    <x v="2"/>
    <x v="3"/>
    <n v="76"/>
    <n v="2.69"/>
    <n v="1.07"/>
    <s v="Alive"/>
    <n v="126"/>
    <n v="160"/>
    <n v="55"/>
    <n v="55"/>
    <s v="Good"/>
    <n v="0"/>
    <n v="2.69E-2"/>
    <n v="1.0700000000000001E-2"/>
    <d v="1899-12-30T17:42:00"/>
  </r>
  <r>
    <n v="1007"/>
    <d v="2020-10-09T11:36:00"/>
    <d v="2020-10-09T00:00:00"/>
    <s v="11:36"/>
    <d v="2020-10-10T12:50:00"/>
    <d v="2020-10-10T00:00:00"/>
    <d v="1899-12-30T12:50:00"/>
    <n v="5"/>
    <x v="1"/>
    <x v="3"/>
    <x v="4"/>
    <n v="78"/>
    <n v="8.15"/>
    <n v="3.27"/>
    <s v="Alive"/>
    <n v="92"/>
    <n v="167"/>
    <n v="109"/>
    <n v="45"/>
    <s v="Moderate"/>
    <n v="0"/>
    <n v="8.1500000000000003E-2"/>
    <n v="3.27E-2"/>
    <d v="1899-12-31T01:14:00"/>
  </r>
  <r>
    <n v="1008"/>
    <d v="2020-10-10T07:12:00"/>
    <d v="2020-10-10T00:00:00"/>
    <s v="07:12"/>
    <d v="2020-10-10T13:30:00"/>
    <d v="2020-10-10T00:00:00"/>
    <d v="1899-12-30T13:30:00"/>
    <n v="4"/>
    <x v="1"/>
    <x v="2"/>
    <x v="3"/>
    <n v="63"/>
    <n v="1.73"/>
    <n v="1"/>
    <s v="Alive"/>
    <n v="119"/>
    <n v="170"/>
    <n v="81"/>
    <n v="65"/>
    <s v="Good"/>
    <n v="0"/>
    <n v="1.7299999999999999E-2"/>
    <n v="0.01"/>
    <d v="1899-12-30T06:18:00"/>
  </r>
  <r>
    <n v="1009"/>
    <d v="2020-10-06T20:26:00"/>
    <d v="2020-10-06T00:00:00"/>
    <s v="20:26"/>
    <d v="2020-10-10T19:58:00"/>
    <d v="2020-10-10T00:00:00"/>
    <d v="1899-12-30T19:58:00"/>
    <n v="4"/>
    <x v="0"/>
    <x v="1"/>
    <x v="0"/>
    <n v="53"/>
    <n v="11.86"/>
    <n v="1.73"/>
    <s v="Died"/>
    <n v="116"/>
    <n v="161"/>
    <n v="92"/>
    <n v="35"/>
    <s v="Moderate"/>
    <n v="1"/>
    <n v="0.1186"/>
    <n v="1.7299999999999999E-2"/>
    <d v="1900-01-02T23:32:00"/>
  </r>
  <r>
    <n v="1010"/>
    <d v="2020-10-11T15:50:00"/>
    <d v="2020-10-11T00:00:00"/>
    <s v="15:50"/>
    <d v="2020-10-12T07:57:00"/>
    <d v="2020-10-12T00:00:00"/>
    <d v="1899-12-30T07:57:00"/>
    <n v="4"/>
    <x v="1"/>
    <x v="2"/>
    <x v="6"/>
    <n v="49"/>
    <n v="4.3899999999999997"/>
    <n v="3.01"/>
    <s v="Alive"/>
    <n v="84"/>
    <n v="172"/>
    <n v="76"/>
    <n v="65"/>
    <s v="Good"/>
    <n v="0"/>
    <n v="4.3899999999999995E-2"/>
    <n v="3.0099999999999998E-2"/>
    <d v="1899-12-30T16:07:00"/>
  </r>
  <r>
    <n v="1011"/>
    <d v="2020-10-11T16:00:00"/>
    <d v="2020-10-11T00:00:00"/>
    <s v="16:00"/>
    <d v="2020-10-12T08:10:00"/>
    <d v="2020-10-12T00:00:00"/>
    <d v="1899-12-30T08:10:00"/>
    <n v="3"/>
    <x v="1"/>
    <x v="2"/>
    <x v="0"/>
    <n v="72"/>
    <n v="4.28"/>
    <n v="1.79"/>
    <s v="Alive"/>
    <n v="72"/>
    <n v="175"/>
    <n v="97"/>
    <n v="42"/>
    <s v="Moderate"/>
    <n v="0"/>
    <n v="4.2800000000000005E-2"/>
    <n v="1.7899999999999999E-2"/>
    <d v="1899-12-30T16:10:00"/>
  </r>
  <r>
    <n v="1012"/>
    <d v="2020-10-11T16:00:00"/>
    <d v="2020-10-11T00:00:00"/>
    <s v="16:00"/>
    <d v="2020-10-12T08:12:00"/>
    <d v="2020-10-12T00:00:00"/>
    <d v="1899-12-30T08:12:00"/>
    <n v="2"/>
    <x v="1"/>
    <x v="0"/>
    <x v="8"/>
    <n v="77"/>
    <n v="6.59"/>
    <n v="1.73"/>
    <s v="Alive"/>
    <n v="65"/>
    <n v="171"/>
    <n v="76"/>
    <n v="53"/>
    <s v="Good"/>
    <n v="0"/>
    <n v="6.59E-2"/>
    <n v="1.7299999999999999E-2"/>
    <d v="1899-12-30T16:12:00"/>
  </r>
  <r>
    <n v="1013"/>
    <d v="2020-10-10T16:00:00"/>
    <d v="2020-10-10T00:00:00"/>
    <s v="16:00"/>
    <d v="2020-10-12T08:12:00"/>
    <d v="2020-10-12T00:00:00"/>
    <d v="1899-12-30T08:12:00"/>
    <n v="6"/>
    <x v="1"/>
    <x v="4"/>
    <x v="1"/>
    <n v="57"/>
    <n v="7.39"/>
    <n v="2.64"/>
    <s v="Alive"/>
    <n v="79"/>
    <n v="60"/>
    <n v="180"/>
    <n v="55"/>
    <s v="Good"/>
    <n v="0"/>
    <n v="7.3899999999999993E-2"/>
    <n v="2.64E-2"/>
    <d v="1899-12-31T16:12:00"/>
  </r>
  <r>
    <n v="1014"/>
    <d v="2020-10-11T16:00:00"/>
    <d v="2020-10-11T00:00:00"/>
    <s v="16:00"/>
    <d v="2020-10-12T08:15:00"/>
    <d v="2020-10-12T00:00:00"/>
    <d v="1899-12-30T08:15:00"/>
    <n v="5"/>
    <x v="1"/>
    <x v="0"/>
    <x v="3"/>
    <n v="82"/>
    <n v="6.61"/>
    <n v="1.4"/>
    <s v="Alive"/>
    <n v="147"/>
    <n v="179"/>
    <n v="77"/>
    <n v="65"/>
    <s v="Good"/>
    <n v="0"/>
    <n v="6.6100000000000006E-2"/>
    <n v="1.3999999999999999E-2"/>
    <d v="1899-12-30T16:15:00"/>
  </r>
  <r>
    <n v="1015"/>
    <d v="2020-10-12T06:57:00"/>
    <d v="2020-10-12T00:00:00"/>
    <s v="06:57"/>
    <d v="2020-10-12T12:45:00"/>
    <d v="2020-10-12T00:00:00"/>
    <d v="1899-12-30T12:45:00"/>
    <n v="4"/>
    <x v="1"/>
    <x v="0"/>
    <x v="6"/>
    <n v="70"/>
    <n v="3.08"/>
    <n v="1.27"/>
    <s v="Alive"/>
    <n v="84"/>
    <n v="160"/>
    <n v="54"/>
    <n v="55"/>
    <s v="Good"/>
    <n v="0"/>
    <n v="3.0800000000000001E-2"/>
    <n v="1.2699999999999999E-2"/>
    <d v="1899-12-30T05:48:00"/>
  </r>
  <r>
    <n v="1016"/>
    <d v="2020-10-09T15:48:00"/>
    <d v="2020-10-09T00:00:00"/>
    <s v="15:48"/>
    <d v="2020-10-12T12:50:00"/>
    <d v="2020-10-12T00:00:00"/>
    <d v="1899-12-30T12:50:00"/>
    <n v="3"/>
    <x v="1"/>
    <x v="3"/>
    <x v="0"/>
    <n v="84"/>
    <n v="7.48"/>
    <n v="4.29"/>
    <s v="Alive"/>
    <n v="196"/>
    <n v="169"/>
    <n v="68"/>
    <n v="66"/>
    <s v="Good"/>
    <n v="0"/>
    <n v="7.4800000000000005E-2"/>
    <n v="4.2900000000000001E-2"/>
    <d v="1900-01-01T21:02:00"/>
  </r>
  <r>
    <n v="1017"/>
    <d v="2020-09-30T15:00:00"/>
    <d v="2020-09-30T00:00:00"/>
    <s v="15:00"/>
    <d v="2020-10-12T13:18:00"/>
    <d v="2020-10-12T00:00:00"/>
    <d v="1899-12-30T13:18:00"/>
    <n v="2"/>
    <x v="2"/>
    <x v="2"/>
    <x v="15"/>
    <n v="71"/>
    <n v="3.3"/>
    <n v="3.17"/>
    <s v="Alive"/>
    <n v="86"/>
    <n v="164"/>
    <n v="57"/>
    <n v="48"/>
    <s v="Moderate"/>
    <n v="0"/>
    <n v="3.3000000000000002E-2"/>
    <n v="3.1699999999999999E-2"/>
    <d v="1900-01-10T22:18:00"/>
  </r>
  <r>
    <n v="1018"/>
    <d v="2020-10-12T07:00:00"/>
    <d v="2020-10-12T00:00:00"/>
    <s v="07:00"/>
    <d v="2020-10-12T13:20:00"/>
    <d v="2020-10-12T00:00:00"/>
    <d v="1899-12-30T13:20:00"/>
    <n v="6"/>
    <x v="1"/>
    <x v="2"/>
    <x v="1"/>
    <n v="81"/>
    <n v="8.07"/>
    <n v="2.04"/>
    <s v="Alive"/>
    <n v="94"/>
    <n v="176"/>
    <n v="94"/>
    <n v="51"/>
    <s v="Good"/>
    <n v="0"/>
    <n v="8.0700000000000008E-2"/>
    <n v="2.0400000000000001E-2"/>
    <d v="1899-12-30T06:20:00"/>
  </r>
  <r>
    <n v="1019"/>
    <d v="2020-10-12T06:53:00"/>
    <d v="2020-10-12T00:00:00"/>
    <s v="06:53"/>
    <d v="2020-10-12T14:15:00"/>
    <d v="2020-10-12T00:00:00"/>
    <d v="1899-12-30T14:15:00"/>
    <n v="5"/>
    <x v="1"/>
    <x v="2"/>
    <x v="3"/>
    <n v="63"/>
    <n v="3.79"/>
    <n v="1.25"/>
    <s v="Alive"/>
    <n v="68"/>
    <n v="158"/>
    <n v="60"/>
    <n v="35"/>
    <s v="Moderate"/>
    <n v="0"/>
    <n v="3.7900000000000003E-2"/>
    <n v="1.2500000000000001E-2"/>
    <d v="1899-12-30T07:22:00"/>
  </r>
  <r>
    <n v="1020"/>
    <d v="2020-10-11T10:00:00"/>
    <d v="2020-10-11T00:00:00"/>
    <s v="10:00"/>
    <d v="2020-10-13T08:04:00"/>
    <d v="2020-10-13T00:00:00"/>
    <d v="1899-12-30T08:04:00"/>
    <n v="4"/>
    <x v="2"/>
    <x v="0"/>
    <x v="8"/>
    <n v="83"/>
    <n v="9.52"/>
    <n v="5.01"/>
    <s v="Alive"/>
    <n v="72"/>
    <n v="162"/>
    <n v="53"/>
    <n v="65"/>
    <s v="Good"/>
    <n v="0"/>
    <n v="9.5199999999999993E-2"/>
    <n v="5.0099999999999999E-2"/>
    <d v="1899-12-31T22:04:00"/>
  </r>
  <r>
    <n v="1021"/>
    <d v="2020-10-11T14:00:00"/>
    <d v="2020-10-11T00:00:00"/>
    <s v="14:00"/>
    <d v="2020-10-13T08:15:00"/>
    <d v="2020-10-13T00:00:00"/>
    <d v="1899-12-30T08:15:00"/>
    <n v="5"/>
    <x v="2"/>
    <x v="2"/>
    <x v="4"/>
    <n v="76"/>
    <n v="12.48"/>
    <n v="3.72"/>
    <s v="Alive"/>
    <n v="83"/>
    <n v="180"/>
    <n v="113"/>
    <n v="15"/>
    <s v="Very Poor"/>
    <n v="0"/>
    <n v="0.12480000000000001"/>
    <n v="3.7200000000000004E-2"/>
    <d v="1899-12-31T18:15:00"/>
  </r>
  <r>
    <n v="1022"/>
    <d v="2020-10-12T16:00:00"/>
    <d v="2020-10-12T00:00:00"/>
    <s v="16:00"/>
    <d v="2020-10-13T08:15:00"/>
    <d v="2020-10-13T00:00:00"/>
    <d v="1899-12-30T08:15:00"/>
    <n v="6"/>
    <x v="1"/>
    <x v="4"/>
    <x v="3"/>
    <n v="73"/>
    <n v="11.02"/>
    <n v="3.56"/>
    <s v="Alive"/>
    <n v="82"/>
    <n v="172"/>
    <n v="81"/>
    <n v="35"/>
    <s v="Moderate"/>
    <n v="0"/>
    <n v="0.11019999999999999"/>
    <n v="3.56E-2"/>
    <d v="1899-12-30T16:15:00"/>
  </r>
  <r>
    <n v="1023"/>
    <d v="2020-10-13T07:01:00"/>
    <d v="2020-10-13T00:00:00"/>
    <s v="07:01"/>
    <d v="2020-10-13T12:10:00"/>
    <d v="2020-10-13T00:00:00"/>
    <d v="1899-12-30T12:10:00"/>
    <n v="2"/>
    <x v="1"/>
    <x v="0"/>
    <x v="2"/>
    <n v="63"/>
    <n v="2.7"/>
    <n v="1.02"/>
    <s v="Alive"/>
    <n v="134"/>
    <n v="178"/>
    <n v="85"/>
    <n v="61"/>
    <s v="Good"/>
    <n v="0"/>
    <n v="2.7000000000000003E-2"/>
    <n v="1.0200000000000001E-2"/>
    <d v="1899-12-30T05:09:00"/>
  </r>
  <r>
    <n v="1024"/>
    <d v="2020-10-13T07:13:00"/>
    <d v="2020-10-13T00:00:00"/>
    <s v="07:13"/>
    <d v="2020-10-13T12:30:00"/>
    <d v="2020-10-13T00:00:00"/>
    <d v="1899-12-30T12:30:00"/>
    <n v="5"/>
    <x v="1"/>
    <x v="2"/>
    <x v="4"/>
    <n v="63"/>
    <n v="2.0099999999999998"/>
    <n v="0.61"/>
    <s v="Alive"/>
    <n v="92"/>
    <n v="154"/>
    <n v="63"/>
    <n v="52"/>
    <s v="Good"/>
    <n v="0"/>
    <n v="2.0099999999999996E-2"/>
    <n v="6.0999999999999995E-3"/>
    <d v="1899-12-30T05:17:00"/>
  </r>
  <r>
    <n v="1025"/>
    <d v="2020-10-13T07:07:00"/>
    <d v="2020-10-13T00:00:00"/>
    <s v="07:07"/>
    <d v="2020-10-13T15:34:00"/>
    <d v="2020-10-13T00:00:00"/>
    <d v="1899-12-30T15:34:00"/>
    <n v="6"/>
    <x v="1"/>
    <x v="0"/>
    <x v="3"/>
    <n v="67"/>
    <n v="2.54"/>
    <n v="0.61"/>
    <s v="Alive"/>
    <n v="75"/>
    <n v="172"/>
    <n v="86"/>
    <n v="41"/>
    <s v="Moderate"/>
    <n v="0"/>
    <n v="2.5399999999999999E-2"/>
    <n v="6.0999999999999995E-3"/>
    <d v="1899-12-30T08:27:00"/>
  </r>
  <r>
    <n v="1026"/>
    <d v="2020-10-13T23:23:27"/>
    <d v="2020-10-13T00:00:00"/>
    <s v="23:23"/>
    <d v="2020-10-13T23:38:00"/>
    <d v="2020-10-13T00:00:00"/>
    <d v="1899-12-30T23:38:00"/>
    <n v="5"/>
    <x v="0"/>
    <x v="0"/>
    <x v="0"/>
    <n v="65"/>
    <n v="50.83"/>
    <n v="27.67"/>
    <s v="Unknown"/>
    <n v="87"/>
    <n v="158"/>
    <n v="77"/>
    <n v="52"/>
    <s v="Good"/>
    <n v="0"/>
    <n v="0.50829999999999997"/>
    <n v="0.2767"/>
    <d v="1899-12-30T00:14:33"/>
  </r>
  <r>
    <n v="1027"/>
    <d v="2020-10-07T10:00:00"/>
    <d v="2020-10-07T00:00:00"/>
    <s v="10:00"/>
    <d v="2020-10-14T08:18:00"/>
    <d v="2020-10-14T00:00:00"/>
    <d v="1899-12-30T08:18:00"/>
    <n v="4"/>
    <x v="2"/>
    <x v="2"/>
    <x v="15"/>
    <n v="73"/>
    <n v="10.26"/>
    <n v="4.47"/>
    <s v="Alive"/>
    <n v="91"/>
    <n v="182"/>
    <n v="78"/>
    <n v="44"/>
    <s v="Moderate"/>
    <n v="0"/>
    <n v="0.1026"/>
    <n v="4.4699999999999997E-2"/>
    <d v="1900-01-05T22:18:00"/>
  </r>
  <r>
    <n v="1028"/>
    <d v="2020-10-07T08:49:00"/>
    <d v="2020-10-07T00:00:00"/>
    <s v="08:49"/>
    <d v="2020-10-14T08:20:00"/>
    <d v="2020-10-14T00:00:00"/>
    <d v="1899-12-30T08:20:00"/>
    <n v="5"/>
    <x v="2"/>
    <x v="2"/>
    <x v="11"/>
    <n v="74"/>
    <n v="4"/>
    <n v="1.32"/>
    <s v="Alive"/>
    <n v="64"/>
    <n v="175"/>
    <n v="91"/>
    <n v="60"/>
    <s v="Good"/>
    <n v="0"/>
    <n v="0.04"/>
    <n v="1.32E-2"/>
    <d v="1900-01-05T23:31:00"/>
  </r>
  <r>
    <n v="1029"/>
    <d v="2020-10-12T10:51:00"/>
    <d v="2020-10-12T00:00:00"/>
    <s v="10:51"/>
    <d v="2020-10-14T08:20:00"/>
    <d v="2020-10-14T00:00:00"/>
    <d v="1899-12-30T08:20:00"/>
    <n v="2"/>
    <x v="2"/>
    <x v="0"/>
    <x v="2"/>
    <n v="61"/>
    <n v="3.83"/>
    <n v="6.59"/>
    <s v="Alive"/>
    <n v="95"/>
    <n v="162"/>
    <n v="116"/>
    <n v="54"/>
    <s v="Good"/>
    <n v="0"/>
    <n v="3.8300000000000001E-2"/>
    <n v="6.59E-2"/>
    <d v="1899-12-31T21:29:00"/>
  </r>
  <r>
    <n v="1030"/>
    <d v="2020-10-14T06:59:00"/>
    <d v="2020-10-14T00:00:00"/>
    <s v="06:59"/>
    <d v="2020-10-14T14:10:00"/>
    <d v="2020-10-14T00:00:00"/>
    <d v="1899-12-30T14:10:00"/>
    <n v="5"/>
    <x v="1"/>
    <x v="2"/>
    <x v="11"/>
    <n v="66"/>
    <n v="1.4"/>
    <n v="0.66"/>
    <s v="Alive"/>
    <n v="63"/>
    <n v="186"/>
    <n v="125"/>
    <n v="70"/>
    <s v="Good"/>
    <n v="0"/>
    <n v="1.3999999999999999E-2"/>
    <n v="6.6E-3"/>
    <d v="1899-12-30T07:11:00"/>
  </r>
  <r>
    <n v="1031"/>
    <d v="2020-10-14T06:57:00"/>
    <d v="2020-10-14T00:00:00"/>
    <s v="06:57"/>
    <d v="2020-10-14T14:20:00"/>
    <d v="2020-10-14T00:00:00"/>
    <d v="1899-12-30T14:20:00"/>
    <n v="2"/>
    <x v="1"/>
    <x v="0"/>
    <x v="2"/>
    <n v="72"/>
    <n v="8.3000000000000007"/>
    <n v="1.29"/>
    <s v="Alive"/>
    <n v="113"/>
    <n v="160"/>
    <n v="78"/>
    <n v="35"/>
    <s v="Moderate"/>
    <n v="0"/>
    <n v="8.3000000000000004E-2"/>
    <n v="1.29E-2"/>
    <d v="1899-12-30T07:23:00"/>
  </r>
  <r>
    <n v="1032"/>
    <d v="2020-10-13T09:27:00"/>
    <d v="2020-10-13T00:00:00"/>
    <s v="09:27"/>
    <d v="2020-10-14T14:47:00"/>
    <d v="2020-10-14T00:00:00"/>
    <d v="1899-12-30T14:47:00"/>
    <n v="4"/>
    <x v="1"/>
    <x v="3"/>
    <x v="15"/>
    <n v="66"/>
    <n v="4.4800000000000004"/>
    <n v="2.3199999999999998"/>
    <s v="Alive"/>
    <n v="92"/>
    <n v="170"/>
    <n v="105"/>
    <n v="61"/>
    <s v="Good"/>
    <n v="0"/>
    <n v="4.4800000000000006E-2"/>
    <n v="2.3199999999999998E-2"/>
    <d v="1899-12-31T05:20:00"/>
  </r>
  <r>
    <n v="1033"/>
    <d v="2020-10-14T16:06:00"/>
    <d v="2020-10-14T00:00:00"/>
    <s v="16:06"/>
    <d v="2020-10-15T07:58:00"/>
    <d v="2020-10-15T00:00:00"/>
    <d v="1899-12-30T07:58:00"/>
    <n v="2"/>
    <x v="1"/>
    <x v="0"/>
    <x v="8"/>
    <n v="60"/>
    <n v="2.42"/>
    <n v="0.92"/>
    <s v="Alive"/>
    <n v="135"/>
    <n v="170"/>
    <n v="71"/>
    <n v="25"/>
    <s v="Poor"/>
    <n v="0"/>
    <n v="2.4199999999999999E-2"/>
    <n v="9.1999999999999998E-3"/>
    <d v="1899-12-30T15:52:00"/>
  </r>
  <r>
    <n v="1034"/>
    <d v="2020-09-30T10:44:00"/>
    <d v="2020-09-30T00:00:00"/>
    <s v="10:44"/>
    <d v="2020-10-15T08:16:00"/>
    <d v="2020-10-15T00:00:00"/>
    <d v="1899-12-30T08:16:00"/>
    <n v="4"/>
    <x v="2"/>
    <x v="3"/>
    <x v="0"/>
    <n v="66"/>
    <n v="33.74"/>
    <n v="19.48"/>
    <s v="Alive"/>
    <n v="92"/>
    <n v="180"/>
    <n v="105"/>
    <n v="60"/>
    <s v="Good"/>
    <n v="0"/>
    <n v="0.33740000000000003"/>
    <n v="0.1948"/>
    <d v="1900-01-13T21:32:00"/>
  </r>
  <r>
    <n v="1035"/>
    <d v="2020-10-13T11:00:00"/>
    <d v="2020-10-13T00:00:00"/>
    <s v="11:00"/>
    <d v="2020-10-15T08:25:00"/>
    <d v="2020-10-15T00:00:00"/>
    <d v="1899-12-30T08:25:00"/>
    <n v="5"/>
    <x v="2"/>
    <x v="2"/>
    <x v="7"/>
    <n v="84"/>
    <n v="29.82"/>
    <n v="10.88"/>
    <s v="Alive"/>
    <n v="72"/>
    <n v="163"/>
    <n v="69"/>
    <n v="66"/>
    <s v="Good"/>
    <n v="0"/>
    <n v="0.29820000000000002"/>
    <n v="0.10880000000000001"/>
    <d v="1899-12-31T21:25:00"/>
  </r>
  <r>
    <n v="1036"/>
    <d v="2020-10-14T15:58:00"/>
    <d v="2020-10-14T00:00:00"/>
    <s v="15:58"/>
    <d v="2020-10-15T10:38:00"/>
    <d v="2020-10-15T00:00:00"/>
    <d v="1899-12-30T10:38:00"/>
    <n v="6"/>
    <x v="1"/>
    <x v="0"/>
    <x v="1"/>
    <n v="75"/>
    <n v="4.25"/>
    <n v="1.39"/>
    <s v="Alive"/>
    <n v="74"/>
    <n v="173"/>
    <n v="104"/>
    <n v="50"/>
    <s v="Moderate"/>
    <n v="0"/>
    <n v="4.2500000000000003E-2"/>
    <n v="1.3899999999999999E-2"/>
    <d v="1899-12-30T18:40:00"/>
  </r>
  <r>
    <n v="1037"/>
    <d v="2020-10-12T12:50:00"/>
    <d v="2020-10-12T00:00:00"/>
    <s v="12:50"/>
    <d v="2020-10-15T12:48:00"/>
    <d v="2020-10-15T00:00:00"/>
    <d v="1899-12-30T12:48:00"/>
    <n v="2"/>
    <x v="2"/>
    <x v="3"/>
    <x v="16"/>
    <n v="78"/>
    <n v="5.14"/>
    <n v="2.92"/>
    <s v="Alive"/>
    <n v="88"/>
    <n v="174"/>
    <n v="68"/>
    <n v="69"/>
    <s v="Good"/>
    <n v="0"/>
    <n v="5.1399999999999994E-2"/>
    <n v="2.92E-2"/>
    <d v="1900-01-01T23:58:00"/>
  </r>
  <r>
    <n v="1038"/>
    <d v="2020-10-15T07:12:00"/>
    <d v="2020-10-15T00:00:00"/>
    <s v="07:12"/>
    <d v="2020-10-15T14:38:00"/>
    <d v="2020-10-15T00:00:00"/>
    <d v="1899-12-30T14:38:00"/>
    <n v="6"/>
    <x v="1"/>
    <x v="0"/>
    <x v="1"/>
    <n v="73"/>
    <n v="3.74"/>
    <n v="2.52"/>
    <s v="Alive"/>
    <n v="70"/>
    <n v="161"/>
    <n v="76"/>
    <n v="42"/>
    <s v="Moderate"/>
    <n v="0"/>
    <n v="3.7400000000000003E-2"/>
    <n v="2.52E-2"/>
    <d v="1899-12-30T07:26:00"/>
  </r>
  <r>
    <n v="1039"/>
    <d v="2020-10-15T07:01:00"/>
    <d v="2020-10-15T00:00:00"/>
    <s v="07:01"/>
    <d v="2020-10-15T16:14:00"/>
    <d v="2020-10-15T00:00:00"/>
    <d v="1899-12-30T16:14:00"/>
    <n v="5"/>
    <x v="1"/>
    <x v="0"/>
    <x v="7"/>
    <n v="44"/>
    <n v="1.33"/>
    <n v="0.76"/>
    <s v="Alive"/>
    <n v="73"/>
    <n v="174"/>
    <n v="81"/>
    <n v="55"/>
    <s v="Good"/>
    <n v="0"/>
    <n v="1.3300000000000001E-2"/>
    <n v="7.6E-3"/>
    <d v="1899-12-30T09:13:00"/>
  </r>
  <r>
    <n v="1040"/>
    <d v="2020-10-09T10:00:00"/>
    <d v="2020-10-09T00:00:00"/>
    <s v="10:00"/>
    <d v="2020-10-16T07:57:00"/>
    <d v="2020-10-16T00:00:00"/>
    <d v="1899-12-30T07:57:00"/>
    <n v="2"/>
    <x v="2"/>
    <x v="2"/>
    <x v="11"/>
    <n v="79"/>
    <n v="8.6999999999999993"/>
    <n v="2.46"/>
    <s v="Alive"/>
    <n v="129"/>
    <n v="161"/>
    <n v="58"/>
    <n v="60"/>
    <s v="Good"/>
    <n v="0"/>
    <n v="8.6999999999999994E-2"/>
    <n v="2.46E-2"/>
    <d v="1900-01-05T21:57:00"/>
  </r>
  <r>
    <n v="1041"/>
    <d v="2020-10-15T13:56:00"/>
    <d v="2020-10-15T00:00:00"/>
    <s v="13:56"/>
    <d v="2020-10-16T08:00:00"/>
    <d v="2020-10-16T00:00:00"/>
    <d v="1899-12-30T08:00:00"/>
    <n v="4"/>
    <x v="1"/>
    <x v="2"/>
    <x v="15"/>
    <n v="72"/>
    <n v="2.0699999999999998"/>
    <n v="0.78"/>
    <s v="Alive"/>
    <n v="67"/>
    <n v="154"/>
    <n v="77"/>
    <n v="20"/>
    <s v="Very Poor"/>
    <n v="0"/>
    <n v="2.07E-2"/>
    <n v="7.8000000000000005E-3"/>
    <d v="1899-12-30T18:04:00"/>
  </r>
  <r>
    <n v="1042"/>
    <d v="2020-10-15T15:54:00"/>
    <d v="2020-10-15T00:00:00"/>
    <s v="15:54"/>
    <d v="2020-10-16T08:04:00"/>
    <d v="2020-10-16T00:00:00"/>
    <d v="1899-12-30T08:04:00"/>
    <n v="5"/>
    <x v="1"/>
    <x v="3"/>
    <x v="7"/>
    <n v="75"/>
    <n v="16.02"/>
    <n v="10.4"/>
    <s v="Alive"/>
    <n v="95"/>
    <n v="162"/>
    <n v="126"/>
    <n v="45"/>
    <s v="Moderate"/>
    <n v="0"/>
    <n v="0.16020000000000001"/>
    <n v="0.10400000000000001"/>
    <d v="1899-12-30T16:10:00"/>
  </r>
  <r>
    <n v="1043"/>
    <d v="2020-10-14T10:51:00"/>
    <d v="2020-10-14T00:00:00"/>
    <s v="10:51"/>
    <d v="2020-10-16T08:05:00"/>
    <d v="2020-10-16T00:00:00"/>
    <d v="1899-12-30T08:05:00"/>
    <n v="6"/>
    <x v="2"/>
    <x v="2"/>
    <x v="16"/>
    <n v="72"/>
    <n v="3.52"/>
    <n v="1.1200000000000001"/>
    <s v="Alive"/>
    <n v="146"/>
    <n v="181"/>
    <n v="88"/>
    <n v="50"/>
    <s v="Moderate"/>
    <n v="0"/>
    <n v="3.5200000000000002E-2"/>
    <n v="1.1200000000000002E-2"/>
    <d v="1899-12-31T21:14:00"/>
  </r>
  <r>
    <n v="1044"/>
    <d v="2020-10-16T07:21:00"/>
    <d v="2020-10-16T00:00:00"/>
    <s v="07:21"/>
    <d v="2020-10-16T12:08:00"/>
    <d v="2020-10-16T00:00:00"/>
    <d v="1899-12-30T12:08:00"/>
    <n v="2"/>
    <x v="1"/>
    <x v="2"/>
    <x v="11"/>
    <n v="75"/>
    <n v="3.47"/>
    <n v="1.28"/>
    <s v="Alive"/>
    <n v="74"/>
    <n v="164"/>
    <n v="66"/>
    <n v="40"/>
    <s v="Moderate"/>
    <n v="0"/>
    <n v="3.4700000000000002E-2"/>
    <n v="1.2800000000000001E-2"/>
    <d v="1899-12-30T04:47:00"/>
  </r>
  <r>
    <n v="1045"/>
    <d v="2020-10-16T07:18:00"/>
    <d v="2020-10-16T00:00:00"/>
    <s v="07:18"/>
    <d v="2020-10-16T13:35:00"/>
    <d v="2020-10-16T00:00:00"/>
    <d v="1899-12-30T13:35:00"/>
    <n v="4"/>
    <x v="1"/>
    <x v="2"/>
    <x v="15"/>
    <n v="73"/>
    <n v="3.32"/>
    <n v="6.08"/>
    <s v="Alive"/>
    <n v="84"/>
    <n v="184"/>
    <n v="90"/>
    <n v="55"/>
    <s v="Good"/>
    <n v="0"/>
    <n v="3.32E-2"/>
    <n v="6.08E-2"/>
    <d v="1899-12-30T06:17:00"/>
  </r>
  <r>
    <n v="1046"/>
    <d v="2020-10-15T06:58:00"/>
    <d v="2020-10-15T00:00:00"/>
    <s v="06:58"/>
    <d v="2020-10-16T14:58:00"/>
    <d v="2020-10-16T00:00:00"/>
    <d v="1899-12-30T14:58:00"/>
    <n v="6"/>
    <x v="1"/>
    <x v="3"/>
    <x v="0"/>
    <n v="73"/>
    <n v="3.74"/>
    <n v="1.67"/>
    <s v="Alive"/>
    <n v="108"/>
    <n v="154"/>
    <n v="85"/>
    <n v="60"/>
    <s v="Good"/>
    <n v="0"/>
    <n v="3.7400000000000003E-2"/>
    <n v="1.67E-2"/>
    <d v="1899-12-31T08:00:00"/>
  </r>
  <r>
    <n v="1047"/>
    <d v="2020-10-16T14:06:00"/>
    <d v="2020-10-16T00:00:00"/>
    <s v="14:06"/>
    <d v="2020-10-17T08:10:00"/>
    <d v="2020-10-17T00:00:00"/>
    <d v="1899-12-30T08:10:00"/>
    <n v="5"/>
    <x v="1"/>
    <x v="0"/>
    <x v="1"/>
    <n v="72"/>
    <n v="4.8099999999999996"/>
    <n v="0.88"/>
    <s v="Alive"/>
    <n v="105"/>
    <n v="175"/>
    <n v="94"/>
    <n v="50"/>
    <s v="Moderate"/>
    <n v="0"/>
    <n v="4.8099999999999997E-2"/>
    <n v="8.8000000000000005E-3"/>
    <d v="1899-12-30T18:04:00"/>
  </r>
  <r>
    <n v="1048"/>
    <d v="2020-10-16T16:00:00"/>
    <d v="2020-10-16T00:00:00"/>
    <s v="16:00"/>
    <d v="2020-10-17T08:10:00"/>
    <d v="2020-10-17T00:00:00"/>
    <d v="1899-12-30T08:10:00"/>
    <n v="4"/>
    <x v="1"/>
    <x v="0"/>
    <x v="0"/>
    <n v="74"/>
    <n v="5.46"/>
    <n v="1.25"/>
    <s v="Alive"/>
    <n v="77"/>
    <n v="169"/>
    <n v="59"/>
    <n v="28"/>
    <s v="Poor"/>
    <n v="0"/>
    <n v="5.4600000000000003E-2"/>
    <n v="1.2500000000000001E-2"/>
    <d v="1899-12-30T16:10:00"/>
  </r>
  <r>
    <n v="1049"/>
    <d v="2020-10-16T10:00:00"/>
    <d v="2020-10-16T00:00:00"/>
    <s v="10:00"/>
    <d v="2020-10-17T11:25:00"/>
    <d v="2020-10-17T00:00:00"/>
    <d v="1899-12-30T11:25:00"/>
    <n v="4"/>
    <x v="1"/>
    <x v="2"/>
    <x v="0"/>
    <n v="83"/>
    <n v="6.27"/>
    <n v="4.3099999999999996"/>
    <s v="Alive"/>
    <n v="93"/>
    <n v="164"/>
    <n v="70"/>
    <n v="11"/>
    <s v="Very Poor"/>
    <n v="0"/>
    <n v="6.2699999999999992E-2"/>
    <n v="4.3099999999999999E-2"/>
    <d v="1899-12-31T01:25:00"/>
  </r>
  <r>
    <n v="1050"/>
    <d v="2020-10-16T13:56:00"/>
    <d v="2020-10-16T00:00:00"/>
    <s v="13:56"/>
    <d v="2020-10-17T11:50:00"/>
    <d v="2020-10-17T00:00:00"/>
    <d v="1899-12-30T11:50:00"/>
    <n v="5"/>
    <x v="1"/>
    <x v="2"/>
    <x v="1"/>
    <n v="62"/>
    <n v="2.0499999999999998"/>
    <n v="1.43"/>
    <s v="Alive"/>
    <n v="79"/>
    <n v="181"/>
    <n v="85"/>
    <n v="40"/>
    <s v="Moderate"/>
    <n v="0"/>
    <n v="2.0499999999999997E-2"/>
    <n v="1.43E-2"/>
    <d v="1899-12-30T21:54:00"/>
  </r>
  <r>
    <n v="1051"/>
    <d v="2020-10-18T22:42:00"/>
    <d v="2020-10-18T00:00:00"/>
    <s v="22:42"/>
    <d v="2020-10-19T00:31:00"/>
    <d v="2020-10-19T00:00:00"/>
    <d v="1899-12-30T00:31:00"/>
    <n v="2"/>
    <x v="0"/>
    <x v="4"/>
    <x v="1"/>
    <n v="78"/>
    <n v="32.92"/>
    <n v="9.67"/>
    <s v="Died"/>
    <n v="87"/>
    <n v="165"/>
    <n v="80"/>
    <n v="58"/>
    <s v="Good"/>
    <n v="1"/>
    <n v="0.32919999999999999"/>
    <n v="9.6699999999999994E-2"/>
    <d v="1899-12-30T01:49:00"/>
  </r>
  <r>
    <n v="1052"/>
    <d v="2020-10-18T15:51:00"/>
    <d v="2020-10-18T00:00:00"/>
    <s v="15:51"/>
    <d v="2020-10-19T08:12:00"/>
    <d v="2020-10-19T00:00:00"/>
    <d v="1899-12-30T08:12:00"/>
    <n v="4"/>
    <x v="1"/>
    <x v="0"/>
    <x v="3"/>
    <n v="78"/>
    <n v="12.87"/>
    <n v="3.35"/>
    <s v="Alive"/>
    <n v="76"/>
    <n v="155"/>
    <n v="62"/>
    <n v="42"/>
    <s v="Moderate"/>
    <n v="0"/>
    <n v="0.12869999999999998"/>
    <n v="3.3500000000000002E-2"/>
    <d v="1899-12-30T16:21:00"/>
  </r>
  <r>
    <n v="1053"/>
    <d v="2020-10-18T11:00:00"/>
    <d v="2020-10-18T00:00:00"/>
    <s v="11:00"/>
    <d v="2020-10-19T08:14:00"/>
    <d v="2020-10-19T00:00:00"/>
    <d v="1899-12-30T08:14:00"/>
    <n v="5"/>
    <x v="1"/>
    <x v="0"/>
    <x v="11"/>
    <n v="65"/>
    <n v="4.21"/>
    <n v="1.32"/>
    <s v="Alive"/>
    <n v="122"/>
    <n v="181"/>
    <n v="106"/>
    <n v="62"/>
    <s v="Good"/>
    <n v="0"/>
    <n v="4.2099999999999999E-2"/>
    <n v="1.32E-2"/>
    <d v="1899-12-30T21:14:00"/>
  </r>
  <r>
    <n v="1054"/>
    <d v="2020-10-09T14:14:00"/>
    <d v="2020-10-09T00:00:00"/>
    <s v="14:14"/>
    <d v="2020-10-19T08:20:00"/>
    <d v="2020-10-19T00:00:00"/>
    <d v="1899-12-30T08:20:00"/>
    <n v="6"/>
    <x v="2"/>
    <x v="2"/>
    <x v="15"/>
    <n v="83"/>
    <n v="51.96"/>
    <n v="50.06"/>
    <s v="Alive"/>
    <n v="79"/>
    <n v="173"/>
    <n v="66"/>
    <n v="66"/>
    <s v="Good"/>
    <n v="0"/>
    <n v="0.51960000000000006"/>
    <n v="0.50060000000000004"/>
    <d v="1900-01-08T18:06:00"/>
  </r>
  <r>
    <n v="1055"/>
    <d v="2020-10-19T10:15:00"/>
    <d v="2020-10-19T00:00:00"/>
    <s v="10:15"/>
    <d v="2020-10-19T12:24:00"/>
    <d v="2020-10-19T00:00:00"/>
    <d v="1899-12-30T12:24:00"/>
    <n v="2"/>
    <x v="0"/>
    <x v="4"/>
    <x v="11"/>
    <n v="51"/>
    <n v="9.0399999999999991"/>
    <n v="4.05"/>
    <s v="Alive"/>
    <n v="89"/>
    <n v="177"/>
    <n v="120"/>
    <n v="55"/>
    <s v="Good"/>
    <n v="0"/>
    <n v="9.0399999999999994E-2"/>
    <n v="4.0500000000000001E-2"/>
    <d v="1899-12-30T02:09:00"/>
  </r>
  <r>
    <n v="1056"/>
    <d v="2020-10-19T07:00:00"/>
    <d v="2020-10-19T00:00:00"/>
    <s v="07:00"/>
    <d v="2020-10-19T15:33:00"/>
    <d v="2020-10-19T00:00:00"/>
    <d v="1899-12-30T15:33:00"/>
    <n v="4"/>
    <x v="1"/>
    <x v="0"/>
    <x v="3"/>
    <n v="37"/>
    <n v="2.27"/>
    <n v="0.76"/>
    <s v="Alive"/>
    <n v="87"/>
    <n v="162"/>
    <n v="70"/>
    <n v="45"/>
    <s v="Moderate"/>
    <n v="0"/>
    <n v="2.2700000000000001E-2"/>
    <n v="7.6E-3"/>
    <d v="1899-12-30T08:33:00"/>
  </r>
  <r>
    <n v="1057"/>
    <d v="2020-10-19T15:52:00"/>
    <d v="2020-10-19T00:00:00"/>
    <s v="15:52"/>
    <d v="2020-10-20T08:00:00"/>
    <d v="2020-10-20T00:00:00"/>
    <d v="1899-12-30T08:00:00"/>
    <n v="5"/>
    <x v="1"/>
    <x v="0"/>
    <x v="4"/>
    <n v="70"/>
    <n v="3.08"/>
    <n v="2.31"/>
    <s v="Alive"/>
    <n v="61"/>
    <n v="167"/>
    <n v="75"/>
    <n v="50"/>
    <s v="Moderate"/>
    <n v="0"/>
    <n v="3.0800000000000001E-2"/>
    <n v="2.3099999999999999E-2"/>
    <d v="1899-12-30T16:08:00"/>
  </r>
  <r>
    <n v="1058"/>
    <d v="2020-10-19T00:27:00"/>
    <d v="2020-10-19T00:00:00"/>
    <s v="00:27"/>
    <d v="2020-10-20T08:08:00"/>
    <d v="2020-10-20T00:00:00"/>
    <d v="1899-12-30T08:08:00"/>
    <n v="4"/>
    <x v="2"/>
    <x v="3"/>
    <x v="8"/>
    <n v="61"/>
    <n v="1.72"/>
    <n v="1.22"/>
    <s v="Alive"/>
    <n v="73"/>
    <n v="172"/>
    <n v="87"/>
    <n v="25"/>
    <s v="Poor"/>
    <n v="0"/>
    <n v="1.72E-2"/>
    <n v="1.2199999999999999E-2"/>
    <d v="1899-12-31T07:41:00"/>
  </r>
  <r>
    <n v="1059"/>
    <d v="2020-10-19T16:00:00"/>
    <d v="2020-10-19T00:00:00"/>
    <s v="16:00"/>
    <d v="2020-10-20T08:15:00"/>
    <d v="2020-10-20T00:00:00"/>
    <d v="1899-12-30T08:15:00"/>
    <n v="2"/>
    <x v="1"/>
    <x v="0"/>
    <x v="2"/>
    <n v="75"/>
    <n v="12.28"/>
    <n v="4.46"/>
    <s v="Alive"/>
    <n v="140"/>
    <n v="161"/>
    <n v="102"/>
    <n v="45"/>
    <s v="Moderate"/>
    <n v="0"/>
    <n v="0.12279999999999999"/>
    <n v="4.4600000000000001E-2"/>
    <d v="1899-12-30T16:15:00"/>
  </r>
  <r>
    <n v="1060"/>
    <d v="2020-10-11T12:00:00"/>
    <d v="2020-10-11T00:00:00"/>
    <s v="12:00"/>
    <d v="2020-10-20T08:15:00"/>
    <d v="2020-10-20T00:00:00"/>
    <d v="1899-12-30T08:15:00"/>
    <n v="6"/>
    <x v="2"/>
    <x v="3"/>
    <x v="3"/>
    <n v="58"/>
    <n v="2.08"/>
    <n v="2.46"/>
    <s v="Alive"/>
    <n v="78"/>
    <n v="155"/>
    <n v="84"/>
    <n v="61"/>
    <s v="Good"/>
    <n v="0"/>
    <n v="2.0799999999999999E-2"/>
    <n v="2.46E-2"/>
    <d v="1900-01-07T20:15:00"/>
  </r>
  <r>
    <n v="1061"/>
    <d v="2020-10-19T07:00:00"/>
    <d v="2020-10-19T00:00:00"/>
    <s v="07:00"/>
    <d v="2020-10-20T12:12:00"/>
    <d v="2020-10-20T00:00:00"/>
    <d v="1899-12-30T12:12:00"/>
    <n v="5"/>
    <x v="1"/>
    <x v="3"/>
    <x v="4"/>
    <n v="66"/>
    <n v="2.38"/>
    <n v="2.0699999999999998"/>
    <s v="Alive"/>
    <n v="67"/>
    <n v="172"/>
    <n v="123"/>
    <n v="43"/>
    <s v="Moderate"/>
    <n v="0"/>
    <n v="2.3799999999999998E-2"/>
    <n v="2.07E-2"/>
    <d v="1899-12-31T05:12:00"/>
  </r>
  <r>
    <n v="1062"/>
    <d v="2020-10-20T07:00:00"/>
    <d v="2020-10-20T00:00:00"/>
    <s v="07:00"/>
    <d v="2020-10-20T15:00:00"/>
    <d v="2020-10-20T00:00:00"/>
    <d v="1899-12-30T15:00:00"/>
    <n v="2"/>
    <x v="1"/>
    <x v="4"/>
    <x v="2"/>
    <n v="69"/>
    <n v="16.73"/>
    <n v="7.02"/>
    <s v="Alive"/>
    <n v="73"/>
    <n v="165"/>
    <n v="68"/>
    <n v="55"/>
    <s v="Good"/>
    <n v="0"/>
    <n v="0.1673"/>
    <n v="7.0199999999999999E-2"/>
    <d v="1899-12-30T08:00:00"/>
  </r>
  <r>
    <n v="1063"/>
    <d v="2020-10-19T15:56:00"/>
    <d v="2020-10-19T00:00:00"/>
    <s v="15:56"/>
    <d v="2020-10-20T16:30:00"/>
    <d v="2020-10-20T00:00:00"/>
    <d v="1899-12-30T16:30:00"/>
    <n v="4"/>
    <x v="1"/>
    <x v="0"/>
    <x v="8"/>
    <n v="51"/>
    <n v="1.51"/>
    <n v="0.67"/>
    <s v="Alive"/>
    <n v="61"/>
    <n v="170"/>
    <n v="101"/>
    <n v="66"/>
    <s v="Good"/>
    <n v="0"/>
    <n v="1.5100000000000001E-2"/>
    <n v="6.7000000000000002E-3"/>
    <d v="1899-12-31T00:34:00"/>
  </r>
  <r>
    <n v="1064"/>
    <d v="2020-10-12T10:00:00"/>
    <d v="2020-10-12T00:00:00"/>
    <s v="10:00"/>
    <d v="2020-10-21T08:13:00"/>
    <d v="2020-10-21T00:00:00"/>
    <d v="1899-12-30T08:13:00"/>
    <n v="5"/>
    <x v="2"/>
    <x v="2"/>
    <x v="11"/>
    <n v="71"/>
    <n v="4.54"/>
    <n v="1.82"/>
    <s v="Alive"/>
    <n v="66"/>
    <n v="169"/>
    <n v="82"/>
    <n v="55"/>
    <s v="Good"/>
    <n v="0"/>
    <n v="4.5400000000000003E-2"/>
    <n v="1.8200000000000001E-2"/>
    <d v="1900-01-07T22:13:00"/>
  </r>
  <r>
    <n v="1065"/>
    <d v="2020-10-08T14:30:00"/>
    <d v="2020-10-08T00:00:00"/>
    <s v="14:30"/>
    <d v="2020-10-21T08:13:00"/>
    <d v="2020-10-21T00:00:00"/>
    <d v="1899-12-30T08:13:00"/>
    <n v="4"/>
    <x v="2"/>
    <x v="3"/>
    <x v="15"/>
    <n v="75"/>
    <n v="10.44"/>
    <n v="3.79"/>
    <s v="Alive"/>
    <n v="103"/>
    <n v="174"/>
    <n v="74"/>
    <n v="52"/>
    <s v="Good"/>
    <n v="0"/>
    <n v="0.10439999999999999"/>
    <n v="3.7900000000000003E-2"/>
    <d v="1900-01-11T17:43:00"/>
  </r>
  <r>
    <n v="1066"/>
    <d v="2020-10-21T06:53:00"/>
    <d v="2020-10-21T00:00:00"/>
    <s v="06:53"/>
    <d v="2020-10-21T10:09:00"/>
    <d v="2020-10-21T00:00:00"/>
    <d v="1899-12-30T10:09:00"/>
    <n v="2"/>
    <x v="0"/>
    <x v="2"/>
    <x v="2"/>
    <n v="74"/>
    <n v="38.6"/>
    <n v="12.83"/>
    <s v="Alive"/>
    <n v="110"/>
    <n v="172"/>
    <n v="127"/>
    <n v="58"/>
    <s v="Good"/>
    <n v="0"/>
    <n v="0.38600000000000001"/>
    <n v="0.1283"/>
    <d v="1899-12-30T03:16:00"/>
  </r>
  <r>
    <n v="1067"/>
    <d v="2020-10-14T11:30:00"/>
    <d v="2020-10-14T00:00:00"/>
    <s v="11:30"/>
    <d v="2020-10-21T11:21:00"/>
    <d v="2020-10-21T00:00:00"/>
    <d v="1899-12-30T11:21:00"/>
    <n v="6"/>
    <x v="2"/>
    <x v="2"/>
    <x v="0"/>
    <n v="74"/>
    <n v="6.69"/>
    <n v="4.08"/>
    <s v="Alive"/>
    <n v="86"/>
    <n v="180"/>
    <n v="100"/>
    <n v="60"/>
    <s v="Good"/>
    <n v="0"/>
    <n v="6.6900000000000001E-2"/>
    <n v="4.0800000000000003E-2"/>
    <d v="1900-01-05T23:51:00"/>
  </r>
  <r>
    <n v="1068"/>
    <d v="2020-10-21T09:22:00"/>
    <d v="2020-10-21T00:00:00"/>
    <s v="09:22"/>
    <d v="2020-10-21T12:12:00"/>
    <d v="2020-10-21T00:00:00"/>
    <d v="1899-12-30T12:12:00"/>
    <n v="1"/>
    <x v="0"/>
    <x v="2"/>
    <x v="7"/>
    <n v="72"/>
    <n v="33.07"/>
    <n v="10.5"/>
    <s v="Died"/>
    <n v="121"/>
    <n v="170"/>
    <n v="68"/>
    <n v="58"/>
    <s v="Good"/>
    <n v="1"/>
    <n v="0.33069999999999999"/>
    <n v="0.105"/>
    <d v="1899-12-30T02:50:00"/>
  </r>
  <r>
    <n v="1069"/>
    <d v="2020-10-21T07:00:00"/>
    <d v="2020-10-21T00:00:00"/>
    <s v="07:00"/>
    <d v="2020-10-21T13:45:00"/>
    <d v="2020-10-21T00:00:00"/>
    <d v="1899-12-30T13:45:00"/>
    <n v="5"/>
    <x v="1"/>
    <x v="2"/>
    <x v="11"/>
    <n v="56"/>
    <n v="1.33"/>
    <n v="0.76"/>
    <s v="Alive"/>
    <n v="78"/>
    <n v="166"/>
    <n v="97"/>
    <n v="45"/>
    <s v="Moderate"/>
    <n v="0"/>
    <n v="1.3300000000000001E-2"/>
    <n v="7.6E-3"/>
    <d v="1899-12-30T06:45:00"/>
  </r>
  <r>
    <n v="1070"/>
    <d v="2020-10-20T14:57:00"/>
    <d v="2020-10-20T00:00:00"/>
    <s v="14:57"/>
    <d v="2020-10-21T15:31:00"/>
    <d v="2020-10-21T00:00:00"/>
    <d v="1899-12-30T15:31:00"/>
    <n v="4"/>
    <x v="1"/>
    <x v="2"/>
    <x v="15"/>
    <n v="71"/>
    <n v="1.94"/>
    <n v="1.03"/>
    <s v="Alive"/>
    <n v="90"/>
    <n v="174"/>
    <n v="73"/>
    <n v="60"/>
    <s v="Good"/>
    <n v="0"/>
    <n v="1.9400000000000001E-2"/>
    <n v="1.03E-2"/>
    <d v="1899-12-31T00:34:00"/>
  </r>
  <r>
    <n v="1071"/>
    <d v="2020-10-16T12:00:00"/>
    <d v="2020-10-16T00:00:00"/>
    <s v="12:00"/>
    <d v="2020-10-22T08:09:00"/>
    <d v="2020-10-22T00:00:00"/>
    <d v="1899-12-30T08:09:00"/>
    <n v="3"/>
    <x v="2"/>
    <x v="0"/>
    <x v="6"/>
    <n v="74"/>
    <n v="16.559999999999999"/>
    <n v="6.02"/>
    <s v="Alive"/>
    <n v="132"/>
    <n v="168"/>
    <n v="109"/>
    <n v="60"/>
    <s v="Good"/>
    <n v="0"/>
    <n v="0.1656"/>
    <n v="6.0199999999999997E-2"/>
    <d v="1900-01-04T20:09:00"/>
  </r>
  <r>
    <n v="1072"/>
    <d v="2020-10-18T16:06:00"/>
    <d v="2020-10-18T00:00:00"/>
    <s v="16:06"/>
    <d v="2020-10-22T08:10:00"/>
    <d v="2020-10-22T00:00:00"/>
    <d v="1899-12-30T08:10:00"/>
    <n v="6"/>
    <x v="1"/>
    <x v="4"/>
    <x v="1"/>
    <n v="71"/>
    <n v="31.01"/>
    <n v="8.76"/>
    <s v="Alive"/>
    <n v="93"/>
    <n v="163"/>
    <n v="73"/>
    <n v="45"/>
    <s v="Moderate"/>
    <n v="0"/>
    <n v="0.31010000000000004"/>
    <n v="8.7599999999999997E-2"/>
    <d v="1900-01-02T16:04:00"/>
  </r>
  <r>
    <n v="1073"/>
    <d v="2020-10-20T12:58:00"/>
    <d v="2020-10-20T00:00:00"/>
    <s v="12:58"/>
    <d v="2020-10-22T08:20:00"/>
    <d v="2020-10-22T00:00:00"/>
    <d v="1899-12-30T08:20:00"/>
    <n v="2"/>
    <x v="2"/>
    <x v="2"/>
    <x v="11"/>
    <n v="74"/>
    <n v="4"/>
    <n v="1.32"/>
    <s v="Alive"/>
    <n v="90"/>
    <n v="186"/>
    <n v="100"/>
    <n v="29"/>
    <s v="Poor"/>
    <n v="0"/>
    <n v="0.04"/>
    <n v="1.32E-2"/>
    <d v="1899-12-31T19:22:00"/>
  </r>
  <r>
    <n v="1074"/>
    <d v="2020-10-21T16:08:00"/>
    <d v="2020-10-21T00:00:00"/>
    <s v="16:08"/>
    <d v="2020-10-22T08:20:00"/>
    <d v="2020-10-22T00:00:00"/>
    <d v="1899-12-30T08:20:00"/>
    <n v="4"/>
    <x v="1"/>
    <x v="3"/>
    <x v="10"/>
    <n v="80"/>
    <n v="7.94"/>
    <n v="1.88"/>
    <s v="Alive"/>
    <n v="118"/>
    <n v="180"/>
    <n v="74"/>
    <n v="34"/>
    <s v="Moderate"/>
    <n v="0"/>
    <n v="7.9399999999999998E-2"/>
    <n v="1.8799999999999997E-2"/>
    <d v="1899-12-30T16:12:00"/>
  </r>
  <r>
    <n v="1075"/>
    <d v="2020-10-21T16:13:00"/>
    <d v="2020-10-21T00:00:00"/>
    <s v="16:13"/>
    <d v="2020-10-22T08:22:00"/>
    <d v="2020-10-22T00:00:00"/>
    <d v="1899-12-30T08:22:00"/>
    <n v="5"/>
    <x v="1"/>
    <x v="2"/>
    <x v="7"/>
    <n v="69"/>
    <n v="2.35"/>
    <n v="1.45"/>
    <s v="Alive"/>
    <n v="70"/>
    <n v="180"/>
    <n v="100"/>
    <n v="55"/>
    <s v="Good"/>
    <n v="0"/>
    <n v="2.35E-2"/>
    <n v="1.4499999999999999E-2"/>
    <d v="1899-12-30T16:09:00"/>
  </r>
  <r>
    <n v="1076"/>
    <d v="2020-10-22T06:55:00"/>
    <d v="2020-10-22T00:00:00"/>
    <s v="06:55"/>
    <d v="2020-10-22T15:59:00"/>
    <d v="2020-10-22T00:00:00"/>
    <d v="1899-12-30T15:59:00"/>
    <n v="2"/>
    <x v="1"/>
    <x v="0"/>
    <x v="10"/>
    <n v="76"/>
    <n v="6.19"/>
    <n v="0.98"/>
    <s v="Alive"/>
    <n v="61"/>
    <n v="151"/>
    <n v="68"/>
    <n v="40"/>
    <s v="Moderate"/>
    <n v="0"/>
    <n v="6.1900000000000004E-2"/>
    <n v="9.7999999999999997E-3"/>
    <d v="1899-12-30T09:04:00"/>
  </r>
  <r>
    <n v="1077"/>
    <d v="2020-10-14T12:00:00"/>
    <d v="2020-10-14T00:00:00"/>
    <s v="12:00"/>
    <d v="2020-10-23T08:00:00"/>
    <d v="2020-10-23T00:00:00"/>
    <d v="1899-12-30T08:00:00"/>
    <n v="5"/>
    <x v="2"/>
    <x v="2"/>
    <x v="11"/>
    <n v="84"/>
    <n v="17.88"/>
    <n v="2.86"/>
    <s v="Alive"/>
    <n v="154"/>
    <n v="188"/>
    <n v="100"/>
    <n v="28"/>
    <s v="Poor"/>
    <n v="0"/>
    <n v="0.17879999999999999"/>
    <n v="2.86E-2"/>
    <d v="1900-01-07T20:00:00"/>
  </r>
  <r>
    <n v="1078"/>
    <d v="2020-10-17T09:29:00"/>
    <d v="2020-10-17T00:00:00"/>
    <s v="09:29"/>
    <d v="2020-10-23T08:15:00"/>
    <d v="2020-10-23T00:00:00"/>
    <d v="1899-12-30T08:15:00"/>
    <n v="2"/>
    <x v="1"/>
    <x v="0"/>
    <x v="8"/>
    <n v="82"/>
    <n v="24"/>
    <n v="9.9700000000000006"/>
    <s v="Alive"/>
    <n v="65"/>
    <n v="178"/>
    <n v="75"/>
    <n v="45"/>
    <s v="Moderate"/>
    <n v="0"/>
    <n v="0.24"/>
    <n v="9.9700000000000011E-2"/>
    <d v="1900-01-04T22:46:00"/>
  </r>
  <r>
    <n v="1079"/>
    <d v="2020-10-22T16:59:00"/>
    <d v="2020-10-22T00:00:00"/>
    <s v="16:59"/>
    <d v="2020-10-23T08:15:00"/>
    <d v="2020-10-23T00:00:00"/>
    <d v="1899-12-30T08:15:00"/>
    <n v="4"/>
    <x v="1"/>
    <x v="0"/>
    <x v="15"/>
    <n v="54"/>
    <n v="1.51"/>
    <n v="1.64"/>
    <s v="Alive"/>
    <n v="115"/>
    <n v="173"/>
    <n v="118"/>
    <n v="60"/>
    <s v="Good"/>
    <n v="0"/>
    <n v="1.5100000000000001E-2"/>
    <n v="1.6399999999999998E-2"/>
    <d v="1899-12-30T15:16:00"/>
  </r>
  <r>
    <n v="1080"/>
    <d v="2020-10-20T11:33:00"/>
    <d v="2020-10-20T00:00:00"/>
    <s v="11:33"/>
    <d v="2020-10-23T08:15:00"/>
    <d v="2020-10-23T00:00:00"/>
    <d v="1899-12-30T08:15:00"/>
    <n v="6"/>
    <x v="2"/>
    <x v="2"/>
    <x v="16"/>
    <n v="83"/>
    <n v="9.56"/>
    <n v="4.84"/>
    <s v="Alive"/>
    <n v="92"/>
    <n v="163"/>
    <n v="79"/>
    <n v="52"/>
    <s v="Good"/>
    <n v="0"/>
    <n v="9.5600000000000004E-2"/>
    <n v="4.8399999999999999E-2"/>
    <d v="1900-01-01T20:42:00"/>
  </r>
  <r>
    <n v="1081"/>
    <d v="2020-10-21T19:27:00"/>
    <d v="2020-10-21T00:00:00"/>
    <s v="19:27"/>
    <d v="2020-10-23T12:51:00"/>
    <d v="2020-10-23T00:00:00"/>
    <d v="1899-12-30T12:51:00"/>
    <n v="5"/>
    <x v="0"/>
    <x v="0"/>
    <x v="11"/>
    <n v="66"/>
    <n v="52.49"/>
    <n v="56.65"/>
    <s v="Alive"/>
    <n v="94"/>
    <n v="172"/>
    <n v="92"/>
    <n v="61"/>
    <s v="Good"/>
    <n v="0"/>
    <n v="0.52490000000000003"/>
    <n v="0.5665"/>
    <d v="1899-12-31T17:24:00"/>
  </r>
  <r>
    <n v="1082"/>
    <d v="2020-10-22T16:00:00"/>
    <d v="2020-10-22T00:00:00"/>
    <s v="16:00"/>
    <d v="2020-10-23T14:40:00"/>
    <d v="2020-10-23T00:00:00"/>
    <d v="1899-12-30T14:40:00"/>
    <n v="4"/>
    <x v="1"/>
    <x v="2"/>
    <x v="16"/>
    <n v="77"/>
    <n v="2.87"/>
    <n v="1.1000000000000001"/>
    <s v="Alive"/>
    <n v="91"/>
    <n v="183"/>
    <n v="119"/>
    <n v="66"/>
    <s v="Good"/>
    <n v="0"/>
    <n v="2.87E-2"/>
    <n v="1.1000000000000001E-2"/>
    <d v="1899-12-30T22:40:00"/>
  </r>
  <r>
    <n v="1083"/>
    <d v="2020-10-22T17:23:00"/>
    <d v="2020-10-22T00:00:00"/>
    <s v="17:23"/>
    <d v="2020-10-23T17:20:00"/>
    <d v="2020-10-23T00:00:00"/>
    <d v="1899-12-30T17:20:00"/>
    <n v="2"/>
    <x v="0"/>
    <x v="2"/>
    <x v="15"/>
    <n v="69"/>
    <n v="27.02"/>
    <n v="13.62"/>
    <s v="Alive"/>
    <n v="71"/>
    <n v="165"/>
    <n v="77"/>
    <n v="61"/>
    <s v="Good"/>
    <n v="0"/>
    <n v="0.2702"/>
    <n v="0.13619999999999999"/>
    <d v="1899-12-30T23:57:00"/>
  </r>
  <r>
    <n v="1084"/>
    <d v="2020-10-22T10:00:00"/>
    <d v="2020-10-22T00:00:00"/>
    <s v="10:00"/>
    <d v="2020-10-24T08:00:00"/>
    <d v="2020-10-24T00:00:00"/>
    <d v="1899-12-30T08:00:00"/>
    <n v="4"/>
    <x v="1"/>
    <x v="0"/>
    <x v="0"/>
    <n v="48"/>
    <n v="2.27"/>
    <n v="1.58"/>
    <s v="Alive"/>
    <n v="70"/>
    <n v="178"/>
    <n v="150"/>
    <n v="25"/>
    <s v="Poor"/>
    <n v="0"/>
    <n v="2.2700000000000001E-2"/>
    <n v="1.5800000000000002E-2"/>
    <d v="1899-12-31T22:00:00"/>
  </r>
  <r>
    <n v="1085"/>
    <d v="2020-10-23T20:10:00"/>
    <d v="2020-10-23T00:00:00"/>
    <s v="20:10"/>
    <d v="2020-10-24T08:06:00"/>
    <d v="2020-10-24T00:00:00"/>
    <d v="1899-12-30T08:06:00"/>
    <n v="5"/>
    <x v="0"/>
    <x v="4"/>
    <x v="11"/>
    <n v="33"/>
    <n v="9.0399999999999991"/>
    <n v="3.27"/>
    <s v="Alive"/>
    <n v="84"/>
    <n v="172"/>
    <n v="68"/>
    <n v="55"/>
    <s v="Good"/>
    <n v="0"/>
    <n v="9.0399999999999994E-2"/>
    <n v="3.27E-2"/>
    <d v="1899-12-30T11:56:00"/>
  </r>
  <r>
    <n v="1086"/>
    <d v="2020-10-23T14:00:00"/>
    <d v="2020-10-23T00:00:00"/>
    <s v="14:00"/>
    <d v="2020-10-26T08:11:00"/>
    <d v="2020-10-26T00:00:00"/>
    <d v="1899-12-30T08:11:00"/>
    <n v="2"/>
    <x v="2"/>
    <x v="0"/>
    <x v="8"/>
    <n v="75"/>
    <n v="5.82"/>
    <n v="1.76"/>
    <s v="Alive"/>
    <n v="100"/>
    <n v="185"/>
    <n v="107"/>
    <n v="43"/>
    <s v="Moderate"/>
    <n v="0"/>
    <n v="5.8200000000000002E-2"/>
    <n v="1.7600000000000001E-2"/>
    <d v="1900-01-01T18:11:00"/>
  </r>
  <r>
    <n v="1087"/>
    <d v="2020-10-24T11:00:00"/>
    <d v="2020-10-24T00:00:00"/>
    <s v="11:00"/>
    <d v="2020-10-26T08:14:00"/>
    <d v="2020-10-26T00:00:00"/>
    <d v="1899-12-30T08:14:00"/>
    <n v="6"/>
    <x v="2"/>
    <x v="2"/>
    <x v="15"/>
    <n v="74"/>
    <n v="4"/>
    <n v="1.98"/>
    <s v="Alive"/>
    <n v="62"/>
    <n v="157"/>
    <n v="80"/>
    <n v="40"/>
    <s v="Moderate"/>
    <n v="0"/>
    <n v="0.04"/>
    <n v="1.9799999999999998E-2"/>
    <d v="1899-12-31T21:14:00"/>
  </r>
  <r>
    <n v="1088"/>
    <d v="2020-10-25T16:00:00"/>
    <d v="2020-10-25T00:00:00"/>
    <s v="16:00"/>
    <d v="2020-10-26T08:22:00"/>
    <d v="2020-10-26T00:00:00"/>
    <d v="1899-12-30T08:22:00"/>
    <n v="5"/>
    <x v="1"/>
    <x v="3"/>
    <x v="3"/>
    <n v="40"/>
    <n v="5.48"/>
    <n v="4.2699999999999996"/>
    <s v="Alive"/>
    <n v="159"/>
    <n v="150"/>
    <n v="111"/>
    <n v="55"/>
    <s v="Good"/>
    <n v="0"/>
    <n v="5.4800000000000001E-2"/>
    <n v="4.2699999999999995E-2"/>
    <d v="1899-12-30T16:22:00"/>
  </r>
  <r>
    <n v="1089"/>
    <d v="2020-10-24T07:00:00"/>
    <d v="2020-10-24T00:00:00"/>
    <s v="07:00"/>
    <d v="2020-10-26T08:23:00"/>
    <d v="2020-10-26T00:00:00"/>
    <d v="1899-12-30T08:23:00"/>
    <n v="3"/>
    <x v="1"/>
    <x v="2"/>
    <x v="0"/>
    <n v="73"/>
    <n v="2.21"/>
    <n v="0.73"/>
    <s v="Alive"/>
    <n v="74"/>
    <n v="149"/>
    <n v="48"/>
    <n v="55"/>
    <s v="Good"/>
    <n v="0"/>
    <n v="2.2099999999999998E-2"/>
    <n v="7.3000000000000001E-3"/>
    <d v="1900-01-01T01:23:00"/>
  </r>
  <r>
    <n v="1090"/>
    <d v="2020-10-14T14:00:00"/>
    <d v="2020-10-14T00:00:00"/>
    <s v="14:00"/>
    <d v="2020-10-26T08:26:00"/>
    <d v="2020-10-26T00:00:00"/>
    <d v="1899-12-30T08:26:00"/>
    <n v="4"/>
    <x v="2"/>
    <x v="2"/>
    <x v="11"/>
    <n v="70"/>
    <n v="4.97"/>
    <n v="1.28"/>
    <s v="Alive"/>
    <n v="71"/>
    <n v="176"/>
    <n v="85"/>
    <n v="42"/>
    <s v="Moderate"/>
    <n v="0"/>
    <n v="4.9699999999999994E-2"/>
    <n v="1.2800000000000001E-2"/>
    <d v="1900-01-10T18:26:00"/>
  </r>
  <r>
    <n v="1091"/>
    <d v="2020-10-25T15:50:00"/>
    <d v="2020-10-25T00:00:00"/>
    <s v="15:50"/>
    <d v="2020-10-26T13:14:00"/>
    <d v="2020-10-26T00:00:00"/>
    <d v="1899-12-30T13:14:00"/>
    <n v="3"/>
    <x v="1"/>
    <x v="2"/>
    <x v="0"/>
    <n v="79"/>
    <n v="3.26"/>
    <n v="2.0099999999999998"/>
    <s v="Alive"/>
    <n v="97"/>
    <n v="164"/>
    <n v="68"/>
    <n v="30"/>
    <s v="Poor"/>
    <n v="0"/>
    <n v="3.2599999999999997E-2"/>
    <n v="2.0099999999999996E-2"/>
    <d v="1899-12-30T21:24:00"/>
  </r>
  <r>
    <n v="1092"/>
    <d v="2020-10-26T11:31:00"/>
    <d v="2020-10-26T00:00:00"/>
    <s v="11:31"/>
    <d v="2020-10-26T14:25:00"/>
    <d v="2020-10-26T00:00:00"/>
    <d v="1899-12-30T14:25:00"/>
    <n v="4"/>
    <x v="0"/>
    <x v="2"/>
    <x v="11"/>
    <n v="50"/>
    <n v="10.53"/>
    <n v="9.5399999999999991"/>
    <s v="Alive"/>
    <n v="81"/>
    <n v="155"/>
    <n v="65"/>
    <n v="45"/>
    <s v="Moderate"/>
    <n v="0"/>
    <n v="0.10529999999999999"/>
    <n v="9.5399999999999985E-2"/>
    <d v="1899-12-30T02:54:00"/>
  </r>
  <r>
    <n v="1093"/>
    <d v="2020-10-26T14:00:00"/>
    <d v="2020-10-26T00:00:00"/>
    <s v="14:00"/>
    <d v="2020-10-27T08:13:00"/>
    <d v="2020-10-27T00:00:00"/>
    <d v="1899-12-30T08:13:00"/>
    <n v="2"/>
    <x v="1"/>
    <x v="2"/>
    <x v="16"/>
    <n v="66"/>
    <n v="2.11"/>
    <n v="1.0900000000000001"/>
    <s v="Alive"/>
    <n v="88"/>
    <n v="176"/>
    <n v="75"/>
    <n v="45"/>
    <s v="Moderate"/>
    <n v="0"/>
    <n v="2.1099999999999997E-2"/>
    <n v="1.09E-2"/>
    <d v="1899-12-30T18:13:00"/>
  </r>
  <r>
    <n v="1094"/>
    <d v="2020-10-26T16:00:00"/>
    <d v="2020-10-26T00:00:00"/>
    <s v="16:00"/>
    <d v="2020-10-27T08:15:00"/>
    <d v="2020-10-27T00:00:00"/>
    <d v="1899-12-30T08:15:00"/>
    <n v="6"/>
    <x v="1"/>
    <x v="3"/>
    <x v="3"/>
    <n v="83"/>
    <n v="16.86"/>
    <n v="13.31"/>
    <s v="Alive"/>
    <n v="74"/>
    <n v="177"/>
    <n v="83"/>
    <n v="55"/>
    <s v="Good"/>
    <n v="0"/>
    <n v="0.1686"/>
    <n v="0.1331"/>
    <d v="1899-12-30T16:15:00"/>
  </r>
  <r>
    <n v="1095"/>
    <d v="2020-10-21T13:10:00"/>
    <d v="2020-10-21T00:00:00"/>
    <s v="13:10"/>
    <d v="2020-10-27T08:20:00"/>
    <d v="2020-10-27T00:00:00"/>
    <d v="1899-12-30T08:20:00"/>
    <n v="4"/>
    <x v="2"/>
    <x v="0"/>
    <x v="8"/>
    <n v="64"/>
    <n v="4.32"/>
    <n v="1.96"/>
    <s v="Alive"/>
    <n v="131"/>
    <n v="180"/>
    <n v="91"/>
    <n v="55"/>
    <s v="Good"/>
    <n v="0"/>
    <n v="4.3200000000000002E-2"/>
    <n v="1.9599999999999999E-2"/>
    <d v="1900-01-04T19:10:00"/>
  </r>
  <r>
    <n v="1096"/>
    <d v="2020-10-26T16:00:00"/>
    <d v="2020-10-26T00:00:00"/>
    <s v="16:00"/>
    <d v="2020-10-27T08:40:00"/>
    <d v="2020-10-27T00:00:00"/>
    <d v="1899-12-30T08:40:00"/>
    <n v="5"/>
    <x v="1"/>
    <x v="0"/>
    <x v="4"/>
    <n v="83"/>
    <n v="7.03"/>
    <n v="10.39"/>
    <s v="Died"/>
    <n v="88"/>
    <n v="162"/>
    <n v="70"/>
    <n v="61"/>
    <s v="Good"/>
    <n v="1"/>
    <n v="7.0300000000000001E-2"/>
    <n v="0.10390000000000001"/>
    <d v="1899-12-30T16:40:00"/>
  </r>
  <r>
    <n v="1097"/>
    <d v="2020-10-27T07:00:00"/>
    <d v="2020-10-27T00:00:00"/>
    <s v="07:00"/>
    <d v="2020-10-27T13:00:00"/>
    <d v="2020-10-27T00:00:00"/>
    <d v="1899-12-30T13:00:00"/>
    <n v="4"/>
    <x v="1"/>
    <x v="3"/>
    <x v="8"/>
    <n v="80"/>
    <n v="5.83"/>
    <n v="1.68"/>
    <s v="Alive"/>
    <n v="85"/>
    <n v="172"/>
    <n v="88"/>
    <n v="60"/>
    <s v="Good"/>
    <n v="0"/>
    <n v="5.8299999999999998E-2"/>
    <n v="1.6799999999999999E-2"/>
    <d v="1899-12-30T06:00:00"/>
  </r>
  <r>
    <n v="1098"/>
    <d v="2020-10-24T13:50:00"/>
    <d v="2020-10-24T00:00:00"/>
    <s v="13:50"/>
    <d v="2020-10-27T14:25:00"/>
    <d v="2020-10-27T00:00:00"/>
    <d v="1899-12-30T14:25:00"/>
    <n v="2"/>
    <x v="2"/>
    <x v="2"/>
    <x v="16"/>
    <n v="72"/>
    <n v="3.52"/>
    <n v="1.68"/>
    <s v="Alive"/>
    <n v="73"/>
    <n v="177"/>
    <n v="112"/>
    <n v="55"/>
    <s v="Good"/>
    <n v="0"/>
    <n v="3.5200000000000002E-2"/>
    <n v="1.6799999999999999E-2"/>
    <d v="1900-01-02T00:35:00"/>
  </r>
  <r>
    <n v="1099"/>
    <d v="2020-10-26T11:00:00"/>
    <d v="2020-10-26T00:00:00"/>
    <s v="11:00"/>
    <d v="2020-10-27T15:40:00"/>
    <d v="2020-10-27T00:00:00"/>
    <d v="1899-12-30T15:40:00"/>
    <n v="6"/>
    <x v="1"/>
    <x v="4"/>
    <x v="3"/>
    <n v="38"/>
    <n v="7.39"/>
    <n v="1.29"/>
    <s v="Alive"/>
    <n v="101"/>
    <n v="165"/>
    <n v="62"/>
    <n v="50"/>
    <s v="Moderate"/>
    <n v="0"/>
    <n v="7.3899999999999993E-2"/>
    <n v="1.29E-2"/>
    <d v="1899-12-31T04:40:00"/>
  </r>
  <r>
    <n v="1100"/>
    <d v="2020-10-27T16:10:00"/>
    <d v="2020-10-27T00:00:00"/>
    <s v="16:10"/>
    <d v="2020-10-28T08:05:00"/>
    <d v="2020-10-28T00:00:00"/>
    <d v="1899-12-30T08:05:00"/>
    <n v="6"/>
    <x v="1"/>
    <x v="0"/>
    <x v="7"/>
    <n v="71"/>
    <n v="3.29"/>
    <n v="1.03"/>
    <s v="Alive"/>
    <n v="124"/>
    <n v="154"/>
    <n v="85"/>
    <n v="55"/>
    <s v="Good"/>
    <n v="0"/>
    <n v="3.2899999999999999E-2"/>
    <n v="1.03E-2"/>
    <d v="1899-12-30T15:55:00"/>
  </r>
  <r>
    <n v="1101"/>
    <d v="2020-10-27T15:52:00"/>
    <d v="2020-10-27T00:00:00"/>
    <s v="15:52"/>
    <d v="2020-10-28T08:09:00"/>
    <d v="2020-10-28T00:00:00"/>
    <d v="1899-12-30T08:09:00"/>
    <n v="5"/>
    <x v="1"/>
    <x v="2"/>
    <x v="4"/>
    <n v="74"/>
    <n v="2.36"/>
    <n v="1.1200000000000001"/>
    <s v="Alive"/>
    <n v="109"/>
    <n v="170"/>
    <n v="87"/>
    <n v="64"/>
    <s v="Good"/>
    <n v="0"/>
    <n v="2.3599999999999999E-2"/>
    <n v="1.1200000000000002E-2"/>
    <d v="1899-12-30T16:17:00"/>
  </r>
  <r>
    <n v="1102"/>
    <d v="2020-10-26T10:37:00"/>
    <d v="2020-10-26T00:00:00"/>
    <s v="10:37"/>
    <d v="2020-10-28T08:15:00"/>
    <d v="2020-10-28T00:00:00"/>
    <d v="1899-12-30T08:15:00"/>
    <n v="4"/>
    <x v="2"/>
    <x v="2"/>
    <x v="15"/>
    <n v="63"/>
    <n v="1.59"/>
    <n v="1.25"/>
    <s v="Alive"/>
    <n v="71"/>
    <n v="180"/>
    <n v="120"/>
    <n v="40"/>
    <s v="Moderate"/>
    <n v="0"/>
    <n v="1.5900000000000001E-2"/>
    <n v="1.2500000000000001E-2"/>
    <d v="1899-12-31T21:38:00"/>
  </r>
  <r>
    <n v="1103"/>
    <d v="2020-10-16T17:05:00"/>
    <d v="2020-10-16T00:00:00"/>
    <s v="17:05"/>
    <d v="2020-10-28T08:25:00"/>
    <d v="2020-10-28T00:00:00"/>
    <d v="1899-12-30T08:25:00"/>
    <n v="2"/>
    <x v="2"/>
    <x v="3"/>
    <x v="2"/>
    <n v="74"/>
    <n v="5.46"/>
    <n v="8.16"/>
    <s v="Alive"/>
    <n v="89"/>
    <n v="162"/>
    <n v="91"/>
    <n v="51"/>
    <s v="Good"/>
    <n v="0"/>
    <n v="5.4600000000000003E-2"/>
    <n v="8.1600000000000006E-2"/>
    <d v="1900-01-10T15:20:00"/>
  </r>
  <r>
    <n v="1104"/>
    <d v="2020-10-28T12:03:00"/>
    <d v="2020-10-28T00:00:00"/>
    <s v="12:03"/>
    <d v="2020-10-29T08:10:00"/>
    <d v="2020-10-29T00:00:00"/>
    <d v="1899-12-30T08:10:00"/>
    <n v="2"/>
    <x v="0"/>
    <x v="4"/>
    <x v="11"/>
    <n v="30"/>
    <n v="32.299999999999997"/>
    <n v="8.73"/>
    <s v="Alive"/>
    <n v="81"/>
    <n v="150"/>
    <n v="69"/>
    <n v="45"/>
    <s v="Moderate"/>
    <n v="0"/>
    <n v="0.32299999999999995"/>
    <n v="8.7300000000000003E-2"/>
    <d v="1899-12-30T20:07:00"/>
  </r>
  <r>
    <n v="1105"/>
    <d v="2020-10-28T13:30:00"/>
    <d v="2020-10-28T00:00:00"/>
    <s v="13:30"/>
    <d v="2020-10-29T08:12:00"/>
    <d v="2020-10-29T00:00:00"/>
    <d v="1899-12-30T08:12:00"/>
    <n v="5"/>
    <x v="1"/>
    <x v="2"/>
    <x v="7"/>
    <n v="78"/>
    <n v="3.06"/>
    <n v="1.1200000000000001"/>
    <s v="Alive"/>
    <n v="138"/>
    <n v="176"/>
    <n v="85"/>
    <n v="55"/>
    <s v="Good"/>
    <n v="0"/>
    <n v="3.0600000000000002E-2"/>
    <n v="1.1200000000000002E-2"/>
    <d v="1899-12-30T18:42:00"/>
  </r>
  <r>
    <n v="1106"/>
    <d v="2020-10-27T18:44:00"/>
    <d v="2020-10-27T00:00:00"/>
    <s v="18:44"/>
    <d v="2020-10-29T08:20:00"/>
    <d v="2020-10-29T00:00:00"/>
    <d v="1899-12-30T08:20:00"/>
    <n v="4"/>
    <x v="2"/>
    <x v="2"/>
    <x v="16"/>
    <n v="59"/>
    <n v="1.51"/>
    <n v="0.89"/>
    <s v="Alive"/>
    <n v="67"/>
    <n v="158"/>
    <n v="77"/>
    <n v="60"/>
    <s v="Good"/>
    <n v="0"/>
    <n v="1.5100000000000001E-2"/>
    <n v="8.8999999999999999E-3"/>
    <d v="1899-12-31T13:36:00"/>
  </r>
  <r>
    <n v="1107"/>
    <d v="2020-10-28T10:32:00"/>
    <d v="2020-10-28T00:00:00"/>
    <s v="10:32"/>
    <d v="2020-10-29T09:36:00"/>
    <d v="2020-10-29T00:00:00"/>
    <d v="1899-12-30T09:36:00"/>
    <n v="3"/>
    <x v="1"/>
    <x v="3"/>
    <x v="15"/>
    <n v="76"/>
    <n v="6.19"/>
    <n v="3.02"/>
    <s v="Alive"/>
    <n v="83"/>
    <n v="169"/>
    <n v="75"/>
    <n v="61"/>
    <s v="Good"/>
    <n v="0"/>
    <n v="6.1900000000000004E-2"/>
    <n v="3.0200000000000001E-2"/>
    <d v="1899-12-30T23:04:00"/>
  </r>
  <r>
    <n v="1108"/>
    <d v="2020-10-29T07:11:00"/>
    <d v="2020-10-29T00:00:00"/>
    <s v="07:11"/>
    <d v="2020-10-29T14:06:00"/>
    <d v="2020-10-29T00:00:00"/>
    <d v="1899-12-30T14:06:00"/>
    <n v="5"/>
    <x v="1"/>
    <x v="3"/>
    <x v="11"/>
    <n v="72"/>
    <n v="5.24"/>
    <n v="1.84"/>
    <s v="Alive"/>
    <n v="113"/>
    <n v="172"/>
    <n v="75"/>
    <n v="55"/>
    <s v="Good"/>
    <n v="0"/>
    <n v="5.2400000000000002E-2"/>
    <n v="1.84E-2"/>
    <d v="1899-12-30T06:55:00"/>
  </r>
  <r>
    <n v="1109"/>
    <d v="2020-10-25T09:00:00"/>
    <d v="2020-10-25T00:00:00"/>
    <s v="09:00"/>
    <d v="2020-10-30T08:00:00"/>
    <d v="2020-10-30T00:00:00"/>
    <d v="1899-12-30T08:00:00"/>
    <n v="5"/>
    <x v="2"/>
    <x v="2"/>
    <x v="16"/>
    <n v="80"/>
    <n v="5.57"/>
    <n v="2.1800000000000002"/>
    <s v="Alive"/>
    <n v="77"/>
    <n v="179"/>
    <n v="85"/>
    <n v="55"/>
    <s v="Good"/>
    <n v="0"/>
    <n v="5.57E-2"/>
    <n v="2.18E-2"/>
    <d v="1900-01-03T23:00:00"/>
  </r>
  <r>
    <n v="1110"/>
    <d v="2020-10-29T15:59:00"/>
    <d v="2020-10-29T00:00:00"/>
    <s v="15:59"/>
    <d v="2020-10-30T08:11:00"/>
    <d v="2020-10-30T00:00:00"/>
    <d v="1899-12-30T08:11:00"/>
    <n v="4"/>
    <x v="1"/>
    <x v="0"/>
    <x v="15"/>
    <n v="78"/>
    <n v="7.01"/>
    <n v="1.56"/>
    <s v="Alive"/>
    <n v="105"/>
    <n v="161"/>
    <n v="54"/>
    <n v="60"/>
    <s v="Good"/>
    <n v="0"/>
    <n v="7.0099999999999996E-2"/>
    <n v="1.5600000000000001E-2"/>
    <d v="1899-12-30T16:12:00"/>
  </r>
  <r>
    <n v="1111"/>
    <d v="2020-10-28T18:33:00"/>
    <d v="2020-10-28T00:00:00"/>
    <s v="18:33"/>
    <d v="2020-10-30T08:20:00"/>
    <d v="2020-10-30T00:00:00"/>
    <d v="1899-12-30T08:20:00"/>
    <n v="3"/>
    <x v="2"/>
    <x v="0"/>
    <x v="0"/>
    <n v="30"/>
    <n v="16"/>
    <n v="6.76"/>
    <s v="Alive"/>
    <n v="132"/>
    <n v="175"/>
    <n v="86"/>
    <n v="48"/>
    <s v="Moderate"/>
    <n v="0"/>
    <n v="0.16"/>
    <n v="6.7599999999999993E-2"/>
    <d v="1899-12-31T13:47:00"/>
  </r>
  <r>
    <n v="1112"/>
    <d v="2020-10-20T10:43:00"/>
    <d v="2020-10-20T00:00:00"/>
    <s v="10:43"/>
    <d v="2020-10-30T08:20:00"/>
    <d v="2020-10-30T00:00:00"/>
    <d v="1899-12-30T08:20:00"/>
    <n v="2"/>
    <x v="2"/>
    <x v="2"/>
    <x v="11"/>
    <n v="64"/>
    <n v="13.66"/>
    <n v="7.06"/>
    <s v="Alive"/>
    <n v="118"/>
    <n v="170"/>
    <n v="103"/>
    <n v="39"/>
    <s v="Moderate"/>
    <n v="0"/>
    <n v="0.1366"/>
    <n v="7.0599999999999996E-2"/>
    <d v="1900-01-08T21:37:00"/>
  </r>
  <r>
    <n v="1113"/>
    <d v="2020-10-30T07:00:00"/>
    <d v="2020-10-30T00:00:00"/>
    <s v="07:00"/>
    <d v="2020-10-30T13:25:00"/>
    <d v="2020-10-30T00:00:00"/>
    <d v="1899-12-30T13:25:00"/>
    <n v="5"/>
    <x v="1"/>
    <x v="2"/>
    <x v="7"/>
    <n v="79"/>
    <n v="4.87"/>
    <n v="1.76"/>
    <s v="Alive"/>
    <n v="138"/>
    <n v="168"/>
    <n v="68"/>
    <n v="60"/>
    <s v="Good"/>
    <n v="0"/>
    <n v="4.87E-2"/>
    <n v="1.7600000000000001E-2"/>
    <d v="1899-12-30T06:25:00"/>
  </r>
  <r>
    <n v="1114"/>
    <d v="2020-10-29T15:53:00"/>
    <d v="2020-10-29T00:00:00"/>
    <s v="15:53"/>
    <d v="2020-10-30T13:53:00"/>
    <d v="2020-10-30T00:00:00"/>
    <d v="1899-12-30T13:53:00"/>
    <n v="2"/>
    <x v="1"/>
    <x v="2"/>
    <x v="11"/>
    <n v="61"/>
    <n v="1.01"/>
    <n v="0.52"/>
    <s v="Alive"/>
    <n v="83"/>
    <n v="182"/>
    <n v="75"/>
    <n v="26"/>
    <s v="Poor"/>
    <n v="0"/>
    <n v="1.01E-2"/>
    <n v="5.1999999999999998E-3"/>
    <d v="1899-12-30T22:00:00"/>
  </r>
  <r>
    <n v="1115"/>
    <d v="2020-10-30T19:28:00"/>
    <d v="2020-10-30T00:00:00"/>
    <s v="19:28"/>
    <d v="2020-10-30T20:40:00"/>
    <d v="2020-10-30T00:00:00"/>
    <d v="1899-12-30T20:40:00"/>
    <n v="4"/>
    <x v="0"/>
    <x v="4"/>
    <x v="11"/>
    <n v="44"/>
    <n v="9.0399999999999991"/>
    <n v="2.65"/>
    <s v="Alive"/>
    <n v="100"/>
    <n v="175"/>
    <n v="87"/>
    <n v="55"/>
    <s v="Good"/>
    <n v="0"/>
    <n v="9.0399999999999994E-2"/>
    <n v="2.6499999999999999E-2"/>
    <d v="1899-12-30T01:12:00"/>
  </r>
  <r>
    <n v="1116"/>
    <d v="2020-10-30T14:52:00"/>
    <d v="2020-10-30T00:00:00"/>
    <s v="14:52"/>
    <d v="2020-10-31T08:11:00"/>
    <d v="2020-10-31T00:00:00"/>
    <d v="1899-12-30T08:11:00"/>
    <n v="4"/>
    <x v="1"/>
    <x v="2"/>
    <x v="6"/>
    <n v="56"/>
    <n v="1.33"/>
    <n v="1.08"/>
    <s v="Alive"/>
    <n v="81"/>
    <n v="175"/>
    <n v="57"/>
    <n v="55"/>
    <s v="Good"/>
    <n v="0"/>
    <n v="1.3300000000000001E-2"/>
    <n v="1.0800000000000001E-2"/>
    <d v="1899-12-30T17:19:00"/>
  </r>
  <r>
    <n v="1117"/>
    <d v="2020-10-30T16:08:00"/>
    <d v="2020-10-30T00:00:00"/>
    <s v="16:08"/>
    <d v="2020-10-31T08:21:00"/>
    <d v="2020-10-31T00:00:00"/>
    <d v="1899-12-30T08:21:00"/>
    <n v="5"/>
    <x v="1"/>
    <x v="0"/>
    <x v="8"/>
    <n v="49"/>
    <n v="1.51"/>
    <n v="0.5"/>
    <s v="Alive"/>
    <n v="98"/>
    <n v="167"/>
    <n v="74"/>
    <n v="50"/>
    <s v="Moderate"/>
    <n v="0"/>
    <n v="1.5100000000000001E-2"/>
    <n v="5.0000000000000001E-3"/>
    <d v="1899-12-30T16:13:00"/>
  </r>
  <r>
    <n v="1118"/>
    <d v="2020-10-30T14:36:00"/>
    <d v="2020-10-30T00:00:00"/>
    <s v="14:36"/>
    <d v="2020-10-31T12:28:00"/>
    <d v="2020-10-31T00:00:00"/>
    <d v="1899-12-30T12:28:00"/>
    <n v="5"/>
    <x v="1"/>
    <x v="2"/>
    <x v="8"/>
    <n v="61"/>
    <n v="1.01"/>
    <n v="0.56999999999999995"/>
    <s v="Alive"/>
    <n v="96"/>
    <n v="168"/>
    <n v="62"/>
    <n v="45"/>
    <s v="Moderate"/>
    <n v="0"/>
    <n v="1.01E-2"/>
    <n v="5.6999999999999993E-3"/>
    <d v="1899-12-30T21:52:00"/>
  </r>
  <r>
    <n v="1119"/>
    <d v="2020-10-30T13:44:00"/>
    <d v="2020-10-30T00:00:00"/>
    <s v="13:44"/>
    <d v="2020-10-31T13:45:00"/>
    <d v="2020-10-31T00:00:00"/>
    <d v="1899-12-30T13:45:00"/>
    <n v="4"/>
    <x v="1"/>
    <x v="2"/>
    <x v="6"/>
    <n v="76"/>
    <n v="2.69"/>
    <n v="1.19"/>
    <s v="Alive"/>
    <n v="84"/>
    <n v="168"/>
    <n v="68"/>
    <n v="44"/>
    <s v="Moderate"/>
    <n v="0"/>
    <n v="2.69E-2"/>
    <n v="1.1899999999999999E-2"/>
    <d v="1899-12-31T00:01:00"/>
  </r>
  <r>
    <n v="1120"/>
    <d v="2020-10-29T12:00:00"/>
    <d v="2020-10-29T00:00:00"/>
    <s v="12:00"/>
    <d v="2020-11-01T13:52:00"/>
    <d v="2020-11-01T00:00:00"/>
    <d v="1899-12-30T13:52:00"/>
    <n v="4"/>
    <x v="0"/>
    <x v="3"/>
    <x v="15"/>
    <n v="83"/>
    <n v="34.5"/>
    <n v="21.12"/>
    <s v="Alive"/>
    <n v="71"/>
    <n v="168"/>
    <n v="77"/>
    <n v="50"/>
    <s v="Moderate"/>
    <n v="0"/>
    <n v="0.34499999999999997"/>
    <n v="0.2112"/>
    <d v="1900-01-02T01:52:00"/>
  </r>
  <r>
    <n v="1121"/>
    <d v="2020-11-02T01:36:00"/>
    <d v="2020-11-02T00:00:00"/>
    <s v="01:36"/>
    <d v="2020-11-02T02:50:00"/>
    <d v="2020-11-02T00:00:00"/>
    <d v="1899-12-30T02:50:00"/>
    <n v="1"/>
    <x v="0"/>
    <x v="4"/>
    <x v="15"/>
    <n v="72"/>
    <n v="24.76"/>
    <n v="6.19"/>
    <s v="Alive"/>
    <n v="82"/>
    <n v="172"/>
    <n v="96"/>
    <n v="53"/>
    <s v="Good"/>
    <n v="0"/>
    <n v="0.24760000000000001"/>
    <n v="6.1900000000000004E-2"/>
    <d v="1899-12-30T01:14:00"/>
  </r>
  <r>
    <n v="1122"/>
    <d v="2020-11-01T16:00:00"/>
    <d v="2020-11-01T00:00:00"/>
    <s v="16:00"/>
    <d v="2020-11-02T08:39:00"/>
    <d v="2020-11-02T00:00:00"/>
    <d v="1899-12-30T08:39:00"/>
    <n v="5"/>
    <x v="1"/>
    <x v="3"/>
    <x v="11"/>
    <n v="65"/>
    <n v="3.6"/>
    <n v="1.33"/>
    <s v="Alive"/>
    <n v="86"/>
    <n v="180"/>
    <n v="91"/>
    <n v="52"/>
    <s v="Good"/>
    <n v="0"/>
    <n v="3.6000000000000004E-2"/>
    <n v="1.3300000000000001E-2"/>
    <d v="1899-12-30T16:39:00"/>
  </r>
  <r>
    <n v="1123"/>
    <d v="2020-11-01T16:00:00"/>
    <d v="2020-11-01T00:00:00"/>
    <s v="16:00"/>
    <d v="2020-11-02T08:48:00"/>
    <d v="2020-11-02T00:00:00"/>
    <d v="1899-12-30T08:48:00"/>
    <n v="4"/>
    <x v="1"/>
    <x v="2"/>
    <x v="3"/>
    <n v="72"/>
    <n v="3.35"/>
    <n v="1.41"/>
    <s v="Alive"/>
    <n v="92"/>
    <n v="176"/>
    <n v="86"/>
    <n v="58"/>
    <s v="Good"/>
    <n v="0"/>
    <n v="3.3500000000000002E-2"/>
    <n v="1.41E-2"/>
    <d v="1899-12-30T16:48:00"/>
  </r>
  <r>
    <n v="1124"/>
    <d v="2020-11-02T12:13:00"/>
    <d v="2020-11-02T00:00:00"/>
    <s v="12:13"/>
    <d v="2020-11-02T14:34:00"/>
    <d v="2020-11-02T00:00:00"/>
    <d v="1899-12-30T14:34:00"/>
    <n v="6"/>
    <x v="0"/>
    <x v="2"/>
    <x v="1"/>
    <n v="57"/>
    <n v="5.23"/>
    <n v="1.3"/>
    <s v="Alive"/>
    <n v="82"/>
    <n v="187"/>
    <n v="116"/>
    <n v="65"/>
    <s v="Good"/>
    <n v="0"/>
    <n v="5.2300000000000006E-2"/>
    <n v="1.3000000000000001E-2"/>
    <d v="1899-12-30T02:21:00"/>
  </r>
  <r>
    <n v="1125"/>
    <d v="2020-10-31T20:22:00"/>
    <d v="2020-10-31T00:00:00"/>
    <s v="20:22"/>
    <d v="2020-11-03T08:39:00"/>
    <d v="2020-11-03T00:00:00"/>
    <d v="1899-12-30T08:39:00"/>
    <n v="4"/>
    <x v="2"/>
    <x v="3"/>
    <x v="4"/>
    <n v="79"/>
    <n v="13.2"/>
    <n v="5.94"/>
    <s v="Alive"/>
    <n v="116"/>
    <n v="182"/>
    <n v="100"/>
    <n v="40"/>
    <s v="Moderate"/>
    <n v="0"/>
    <n v="0.13200000000000001"/>
    <n v="5.9400000000000001E-2"/>
    <d v="1900-01-01T12:17:00"/>
  </r>
  <r>
    <n v="1126"/>
    <d v="2020-11-01T14:00:00"/>
    <d v="2020-11-01T00:00:00"/>
    <s v="14:00"/>
    <d v="2020-11-03T09:00:00"/>
    <d v="2020-11-03T00:00:00"/>
    <d v="1899-12-30T09:00:00"/>
    <n v="1"/>
    <x v="2"/>
    <x v="3"/>
    <x v="8"/>
    <n v="66"/>
    <n v="12.38"/>
    <n v="9.89"/>
    <s v="Alive"/>
    <n v="108"/>
    <n v="176"/>
    <n v="82"/>
    <n v="58"/>
    <s v="Good"/>
    <n v="0"/>
    <n v="0.12380000000000001"/>
    <n v="9.8900000000000002E-2"/>
    <d v="1899-12-31T19:00:00"/>
  </r>
  <r>
    <n v="1127"/>
    <d v="2020-11-02T16:00:00"/>
    <d v="2020-11-02T00:00:00"/>
    <s v="16:00"/>
    <d v="2020-11-03T09:02:00"/>
    <d v="2020-11-03T00:00:00"/>
    <d v="1899-12-30T09:02:00"/>
    <n v="6"/>
    <x v="1"/>
    <x v="4"/>
    <x v="3"/>
    <n v="32"/>
    <n v="4.6500000000000004"/>
    <n v="1.64"/>
    <s v="Alive"/>
    <n v="124"/>
    <n v="172"/>
    <n v="84"/>
    <n v="60"/>
    <s v="Good"/>
    <n v="0"/>
    <n v="4.6500000000000007E-2"/>
    <n v="1.6399999999999998E-2"/>
    <d v="1899-12-30T17:02:00"/>
  </r>
  <r>
    <n v="1128"/>
    <d v="2020-11-03T12:44:00"/>
    <d v="2020-11-03T00:00:00"/>
    <s v="12:44"/>
    <d v="2020-11-03T16:00:00"/>
    <d v="2020-11-03T00:00:00"/>
    <d v="1899-12-30T16:00:00"/>
    <n v="5"/>
    <x v="0"/>
    <x v="4"/>
    <x v="0"/>
    <n v="79"/>
    <n v="42.07"/>
    <n v="9.9499999999999993"/>
    <s v="Alive"/>
    <n v="74"/>
    <n v="168"/>
    <n v="63"/>
    <n v="60"/>
    <s v="Good"/>
    <n v="0"/>
    <n v="0.42070000000000002"/>
    <n v="9.9499999999999991E-2"/>
    <d v="1899-12-30T03:16:00"/>
  </r>
  <r>
    <n v="1129"/>
    <d v="2020-10-27T20:59:00"/>
    <d v="2020-10-27T00:00:00"/>
    <s v="20:59"/>
    <d v="2020-11-04T09:00:00"/>
    <d v="2020-11-04T00:00:00"/>
    <d v="1899-12-30T09:00:00"/>
    <n v="6"/>
    <x v="2"/>
    <x v="2"/>
    <x v="15"/>
    <n v="55"/>
    <n v="5.46"/>
    <n v="3.93"/>
    <s v="Alive"/>
    <n v="87"/>
    <n v="178"/>
    <n v="63"/>
    <n v="28"/>
    <s v="Poor"/>
    <n v="0"/>
    <n v="5.4600000000000003E-2"/>
    <n v="3.9300000000000002E-2"/>
    <d v="1900-01-06T12:01:00"/>
  </r>
  <r>
    <n v="1130"/>
    <d v="2020-11-02T13:40:00"/>
    <d v="2020-11-02T00:00:00"/>
    <s v="13:40"/>
    <d v="2020-11-04T13:00:00"/>
    <d v="2020-11-04T00:00:00"/>
    <d v="1899-12-30T13:00:00"/>
    <n v="1"/>
    <x v="2"/>
    <x v="2"/>
    <x v="0"/>
    <n v="77"/>
    <n v="4.8499999999999996"/>
    <n v="1.44"/>
    <s v="Alive"/>
    <n v="96"/>
    <n v="154"/>
    <n v="66"/>
    <n v="59"/>
    <s v="Good"/>
    <n v="0"/>
    <n v="4.8499999999999995E-2"/>
    <n v="1.44E-2"/>
    <d v="1899-12-31T23:20:00"/>
  </r>
  <r>
    <n v="1131"/>
    <d v="2020-11-03T16:28:00"/>
    <d v="2020-11-03T00:00:00"/>
    <s v="16:28"/>
    <d v="2020-11-04T16:57:00"/>
    <d v="2020-11-04T00:00:00"/>
    <d v="1899-12-30T16:57:00"/>
    <n v="5"/>
    <x v="0"/>
    <x v="2"/>
    <x v="2"/>
    <n v="43"/>
    <n v="10.74"/>
    <n v="4.41"/>
    <s v="Alive"/>
    <n v="107"/>
    <n v="180"/>
    <n v="83"/>
    <n v="51"/>
    <s v="Good"/>
    <n v="0"/>
    <n v="0.1074"/>
    <n v="4.41E-2"/>
    <d v="1899-12-31T00:29:00"/>
  </r>
  <r>
    <n v="1132"/>
    <d v="2020-10-30T17:00:00"/>
    <d v="2020-10-30T00:00:00"/>
    <s v="17:00"/>
    <d v="2020-11-05T07:47:00"/>
    <d v="2020-11-05T00:00:00"/>
    <d v="1899-12-30T07:47:00"/>
    <n v="3"/>
    <x v="2"/>
    <x v="0"/>
    <x v="8"/>
    <n v="76"/>
    <n v="16.12"/>
    <n v="14.72"/>
    <s v="Died"/>
    <n v="92"/>
    <n v="180"/>
    <n v="90"/>
    <n v="15"/>
    <s v="Very Poor"/>
    <n v="1"/>
    <n v="0.16120000000000001"/>
    <n v="0.1472"/>
    <d v="1900-01-04T14:47:00"/>
  </r>
  <r>
    <n v="1133"/>
    <d v="2020-11-04T16:00:00"/>
    <d v="2020-11-04T00:00:00"/>
    <s v="16:00"/>
    <d v="2020-11-05T07:55:00"/>
    <d v="2020-11-05T00:00:00"/>
    <d v="1899-12-30T07:55:00"/>
    <n v="6"/>
    <x v="1"/>
    <x v="3"/>
    <x v="1"/>
    <n v="77"/>
    <n v="4.83"/>
    <n v="2.5099999999999998"/>
    <s v="Alive"/>
    <n v="106"/>
    <n v="185"/>
    <n v="89"/>
    <n v="40"/>
    <s v="Moderate"/>
    <n v="0"/>
    <n v="4.8300000000000003E-2"/>
    <n v="2.5099999999999997E-2"/>
    <d v="1899-12-30T15:55:00"/>
  </r>
  <r>
    <n v="1134"/>
    <d v="2020-11-04T16:00:00"/>
    <d v="2020-11-04T00:00:00"/>
    <s v="16:00"/>
    <d v="2020-11-05T08:00:00"/>
    <d v="2020-11-05T00:00:00"/>
    <d v="1899-12-30T08:00:00"/>
    <n v="1"/>
    <x v="1"/>
    <x v="2"/>
    <x v="10"/>
    <n v="72"/>
    <n v="2.86"/>
    <n v="1.18"/>
    <s v="Alive"/>
    <n v="68"/>
    <n v="182"/>
    <n v="106"/>
    <n v="50"/>
    <s v="Moderate"/>
    <n v="0"/>
    <n v="2.86E-2"/>
    <n v="1.18E-2"/>
    <d v="1899-12-30T16:00:00"/>
  </r>
  <r>
    <n v="1135"/>
    <d v="2020-11-02T09:54:00"/>
    <d v="2020-11-02T00:00:00"/>
    <s v="09:54"/>
    <d v="2020-11-05T08:10:00"/>
    <d v="2020-11-05T00:00:00"/>
    <d v="1899-12-30T08:10:00"/>
    <n v="5"/>
    <x v="2"/>
    <x v="2"/>
    <x v="11"/>
    <n v="78"/>
    <n v="8.18"/>
    <n v="2.4"/>
    <s v="Alive"/>
    <n v="120"/>
    <n v="174"/>
    <n v="93"/>
    <n v="55"/>
    <s v="Good"/>
    <n v="0"/>
    <n v="8.1799999999999998E-2"/>
    <n v="2.4E-2"/>
    <d v="1900-01-01T22:16:00"/>
  </r>
  <r>
    <n v="1136"/>
    <d v="2020-11-03T14:00:00"/>
    <d v="2020-11-03T00:00:00"/>
    <s v="14:00"/>
    <d v="2020-11-05T08:17:00"/>
    <d v="2020-11-05T00:00:00"/>
    <d v="1899-12-30T08:17:00"/>
    <n v="4"/>
    <x v="2"/>
    <x v="2"/>
    <x v="7"/>
    <n v="76"/>
    <n v="4.55"/>
    <n v="2.27"/>
    <s v="Alive"/>
    <n v="76"/>
    <n v="173"/>
    <n v="90"/>
    <n v="64"/>
    <s v="Good"/>
    <n v="0"/>
    <n v="4.5499999999999999E-2"/>
    <n v="2.2700000000000001E-2"/>
    <d v="1899-12-31T18:17:00"/>
  </r>
  <r>
    <n v="1137"/>
    <d v="2020-11-03T14:00:00"/>
    <d v="2020-11-03T00:00:00"/>
    <s v="14:00"/>
    <d v="2020-11-05T15:15:00"/>
    <d v="2020-11-05T00:00:00"/>
    <d v="1899-12-30T15:15:00"/>
    <n v="6"/>
    <x v="0"/>
    <x v="2"/>
    <x v="1"/>
    <n v="74"/>
    <n v="7.84"/>
    <n v="1.74"/>
    <s v="Alive"/>
    <n v="105"/>
    <n v="177"/>
    <n v="77"/>
    <n v="59"/>
    <s v="Good"/>
    <n v="0"/>
    <n v="7.8399999999999997E-2"/>
    <n v="1.7399999999999999E-2"/>
    <d v="1900-01-01T01:15:00"/>
  </r>
  <r>
    <n v="1138"/>
    <d v="2020-11-05T16:00:00"/>
    <d v="2020-11-05T00:00:00"/>
    <s v="16:00"/>
    <d v="2020-11-06T07:58:00"/>
    <d v="2020-11-06T00:00:00"/>
    <d v="1899-12-30T07:58:00"/>
    <n v="1"/>
    <x v="1"/>
    <x v="0"/>
    <x v="4"/>
    <n v="51"/>
    <n v="1.51"/>
    <n v="1.45"/>
    <s v="Alive"/>
    <n v="62"/>
    <n v="154"/>
    <n v="75"/>
    <n v="45"/>
    <s v="Moderate"/>
    <n v="0"/>
    <n v="1.5100000000000001E-2"/>
    <n v="1.4499999999999999E-2"/>
    <d v="1899-12-30T15:58:00"/>
  </r>
  <r>
    <n v="1139"/>
    <d v="2020-10-31T13:13:00"/>
    <d v="2020-10-31T00:00:00"/>
    <s v="13:13"/>
    <d v="2020-11-06T08:06:00"/>
    <d v="2020-11-06T00:00:00"/>
    <d v="1899-12-30T08:06:00"/>
    <n v="5"/>
    <x v="2"/>
    <x v="2"/>
    <x v="0"/>
    <n v="57"/>
    <n v="6.28"/>
    <n v="4.0199999999999996"/>
    <s v="Alive"/>
    <n v="79"/>
    <n v="159"/>
    <n v="58"/>
    <n v="76"/>
    <s v="Good"/>
    <n v="0"/>
    <n v="6.2800000000000009E-2"/>
    <n v="4.0199999999999993E-2"/>
    <d v="1900-01-04T18:53:00"/>
  </r>
  <r>
    <n v="1140"/>
    <d v="2020-11-02T13:50:00"/>
    <d v="2020-11-02T00:00:00"/>
    <s v="13:50"/>
    <d v="2020-11-06T08:10:00"/>
    <d v="2020-11-06T00:00:00"/>
    <d v="1899-12-30T08:10:00"/>
    <n v="6"/>
    <x v="2"/>
    <x v="2"/>
    <x v="15"/>
    <n v="77"/>
    <n v="7.33"/>
    <n v="5.87"/>
    <s v="Died"/>
    <n v="66"/>
    <n v="151"/>
    <n v="86"/>
    <n v="55"/>
    <s v="Good"/>
    <n v="1"/>
    <n v="7.3300000000000004E-2"/>
    <n v="5.8700000000000002E-2"/>
    <d v="1900-01-02T18:20:00"/>
  </r>
  <r>
    <n v="1141"/>
    <d v="2020-11-05T17:00:00"/>
    <d v="2020-11-05T00:00:00"/>
    <s v="17:00"/>
    <d v="2020-11-06T09:33:00"/>
    <d v="2020-11-06T00:00:00"/>
    <d v="1899-12-30T09:33:00"/>
    <n v="4"/>
    <x v="1"/>
    <x v="2"/>
    <x v="7"/>
    <n v="63"/>
    <n v="1.1499999999999999"/>
    <n v="0.82"/>
    <s v="Alive"/>
    <n v="136"/>
    <n v="158"/>
    <n v="57"/>
    <n v="55"/>
    <s v="Good"/>
    <n v="0"/>
    <n v="1.15E-2"/>
    <n v="8.199999999999999E-3"/>
    <d v="1899-12-30T16:33:00"/>
  </r>
  <r>
    <n v="1142"/>
    <d v="2020-11-05T07:00:00"/>
    <d v="2020-11-05T00:00:00"/>
    <s v="07:00"/>
    <d v="2020-11-06T12:35:00"/>
    <d v="2020-11-06T00:00:00"/>
    <d v="1899-12-30T12:35:00"/>
    <n v="5"/>
    <x v="1"/>
    <x v="2"/>
    <x v="11"/>
    <n v="73"/>
    <n v="2.21"/>
    <n v="0.81"/>
    <s v="Alive"/>
    <n v="65"/>
    <n v="164"/>
    <n v="61"/>
    <n v="45"/>
    <s v="Moderate"/>
    <n v="0"/>
    <n v="2.2099999999999998E-2"/>
    <n v="8.1000000000000013E-3"/>
    <d v="1899-12-31T05:35:00"/>
  </r>
  <r>
    <n v="1143"/>
    <d v="2020-11-06T14:00:00"/>
    <d v="2020-11-06T00:00:00"/>
    <s v="14:00"/>
    <d v="2020-11-07T08:03:00"/>
    <d v="2020-11-07T00:00:00"/>
    <d v="1899-12-30T08:03:00"/>
    <n v="5"/>
    <x v="1"/>
    <x v="0"/>
    <x v="1"/>
    <n v="62"/>
    <n v="2.5299999999999998"/>
    <n v="0.66"/>
    <s v="Alive"/>
    <n v="83"/>
    <n v="161"/>
    <n v="92"/>
    <n v="55"/>
    <s v="Good"/>
    <n v="0"/>
    <n v="2.53E-2"/>
    <n v="6.6E-3"/>
    <d v="1899-12-30T18:03:00"/>
  </r>
  <r>
    <n v="1144"/>
    <d v="2020-11-07T07:00:00"/>
    <d v="2020-11-07T00:00:00"/>
    <s v="07:00"/>
    <d v="2020-11-07T11:10:00"/>
    <d v="2020-11-07T00:00:00"/>
    <d v="1899-12-30T11:10:00"/>
    <n v="4"/>
    <x v="1"/>
    <x v="0"/>
    <x v="1"/>
    <n v="70"/>
    <n v="6.31"/>
    <n v="1.7"/>
    <s v="Alive"/>
    <n v="74"/>
    <n v="151"/>
    <n v="54"/>
    <n v="35"/>
    <s v="Moderate"/>
    <n v="0"/>
    <n v="6.3099999999999989E-2"/>
    <n v="1.7000000000000001E-2"/>
    <d v="1899-12-30T04:10:00"/>
  </r>
  <r>
    <n v="1145"/>
    <d v="2020-11-08T16:00:00"/>
    <d v="2020-11-08T00:00:00"/>
    <s v="16:00"/>
    <d v="2020-11-09T08:05:00"/>
    <d v="2020-11-09T00:00:00"/>
    <d v="1899-12-30T08:05:00"/>
    <n v="6"/>
    <x v="1"/>
    <x v="4"/>
    <x v="1"/>
    <n v="56"/>
    <n v="11.73"/>
    <n v="4.87"/>
    <s v="Alive"/>
    <n v="95"/>
    <n v="178"/>
    <n v="103"/>
    <n v="66"/>
    <s v="Good"/>
    <n v="0"/>
    <n v="0.1173"/>
    <n v="4.87E-2"/>
    <d v="1899-12-30T16:05:00"/>
  </r>
  <r>
    <n v="1146"/>
    <d v="2020-11-08T14:00:00"/>
    <d v="2020-11-08T00:00:00"/>
    <s v="14:00"/>
    <d v="2020-11-09T08:20:00"/>
    <d v="2020-11-09T00:00:00"/>
    <d v="1899-12-30T08:20:00"/>
    <n v="3"/>
    <x v="1"/>
    <x v="0"/>
    <x v="0"/>
    <n v="39"/>
    <n v="2.27"/>
    <n v="0.76"/>
    <s v="Alive"/>
    <n v="159"/>
    <n v="176"/>
    <n v="96"/>
    <n v="35"/>
    <s v="Moderate"/>
    <n v="0"/>
    <n v="2.2700000000000001E-2"/>
    <n v="7.6E-3"/>
    <d v="1899-12-30T18:20:00"/>
  </r>
  <r>
    <n v="1147"/>
    <d v="2020-11-08T16:00:00"/>
    <d v="2020-11-08T00:00:00"/>
    <s v="16:00"/>
    <d v="2020-11-09T08:20:00"/>
    <d v="2020-11-09T00:00:00"/>
    <d v="1899-12-30T08:20:00"/>
    <n v="1"/>
    <x v="1"/>
    <x v="0"/>
    <x v="6"/>
    <n v="30"/>
    <n v="1.51"/>
    <n v="1.75"/>
    <s v="Alive"/>
    <n v="83"/>
    <n v="168"/>
    <n v="82"/>
    <n v="60"/>
    <s v="Good"/>
    <n v="0"/>
    <n v="1.5100000000000001E-2"/>
    <n v="1.7500000000000002E-2"/>
    <d v="1899-12-30T16:20:00"/>
  </r>
  <r>
    <n v="1148"/>
    <d v="2020-11-01T10:10:00"/>
    <d v="2020-11-01T00:00:00"/>
    <s v="10:10"/>
    <d v="2020-11-09T08:52:00"/>
    <d v="2020-11-09T00:00:00"/>
    <d v="1899-12-30T08:52:00"/>
    <n v="4"/>
    <x v="2"/>
    <x v="2"/>
    <x v="8"/>
    <n v="67"/>
    <n v="5.24"/>
    <n v="4.16"/>
    <s v="Alive"/>
    <n v="83"/>
    <n v="164"/>
    <n v="72"/>
    <n v="29"/>
    <s v="Poor"/>
    <n v="0"/>
    <n v="5.2400000000000002E-2"/>
    <n v="4.1599999999999998E-2"/>
    <d v="1900-01-06T22:42:00"/>
  </r>
  <r>
    <n v="1149"/>
    <d v="2020-11-01T12:00:00"/>
    <d v="2020-11-01T00:00:00"/>
    <s v="12:00"/>
    <d v="2020-11-09T15:30:00"/>
    <d v="2020-11-09T00:00:00"/>
    <d v="1899-12-30T15:30:00"/>
    <n v="5"/>
    <x v="2"/>
    <x v="2"/>
    <x v="11"/>
    <n v="76"/>
    <n v="25.86"/>
    <n v="4.8"/>
    <s v="Alive"/>
    <n v="99"/>
    <n v="155"/>
    <n v="81"/>
    <n v="45"/>
    <s v="Moderate"/>
    <n v="0"/>
    <n v="0.2586"/>
    <n v="4.8000000000000001E-2"/>
    <d v="1900-01-07T03:30:00"/>
  </r>
  <r>
    <n v="1150"/>
    <d v="2020-11-07T10:30:00"/>
    <d v="2020-11-07T00:00:00"/>
    <s v="10:30"/>
    <d v="2020-11-09T16:20:00"/>
    <d v="2020-11-09T00:00:00"/>
    <d v="1899-12-30T16:20:00"/>
    <n v="3"/>
    <x v="0"/>
    <x v="6"/>
    <x v="1"/>
    <n v="37"/>
    <n v="1.78"/>
    <n v="1.01"/>
    <s v="Alive"/>
    <n v="68"/>
    <n v="171"/>
    <n v="87"/>
    <n v="26"/>
    <s v="Poor"/>
    <n v="0"/>
    <n v="1.78E-2"/>
    <n v="1.01E-2"/>
    <d v="1900-01-01T05:50:00"/>
  </r>
  <r>
    <n v="1151"/>
    <d v="2020-11-09T16:15:00"/>
    <d v="2020-11-09T00:00:00"/>
    <s v="16:15"/>
    <d v="2020-11-10T08:35:00"/>
    <d v="2020-11-10T00:00:00"/>
    <d v="1899-12-30T08:35:00"/>
    <n v="6"/>
    <x v="1"/>
    <x v="0"/>
    <x v="3"/>
    <n v="75"/>
    <n v="19.239999999999998"/>
    <n v="7.54"/>
    <s v="Alive"/>
    <n v="80"/>
    <n v="151"/>
    <n v="87"/>
    <n v="45"/>
    <s v="Moderate"/>
    <n v="0"/>
    <n v="0.19239999999999999"/>
    <n v="7.5399999999999995E-2"/>
    <d v="1899-12-30T16:20:00"/>
  </r>
  <r>
    <n v="1152"/>
    <d v="2020-10-26T11:00:00"/>
    <d v="2020-10-26T00:00:00"/>
    <s v="11:00"/>
    <d v="2020-11-11T08:20:00"/>
    <d v="2020-11-11T00:00:00"/>
    <d v="1899-12-30T08:20:00"/>
    <n v="6"/>
    <x v="2"/>
    <x v="2"/>
    <x v="15"/>
    <n v="66"/>
    <n v="3.85"/>
    <n v="2.4700000000000002"/>
    <s v="Alive"/>
    <n v="68"/>
    <n v="166"/>
    <n v="81"/>
    <n v="36"/>
    <s v="Moderate"/>
    <n v="0"/>
    <n v="3.85E-2"/>
    <n v="2.4700000000000003E-2"/>
    <d v="1900-01-14T21:20:00"/>
  </r>
  <r>
    <n v="1153"/>
    <d v="2020-10-25T15:53:00"/>
    <d v="2020-10-25T00:00:00"/>
    <s v="15:53"/>
    <d v="2020-11-11T08:20:00"/>
    <d v="2020-11-11T00:00:00"/>
    <d v="1899-12-30T08:20:00"/>
    <n v="1"/>
    <x v="2"/>
    <x v="0"/>
    <x v="16"/>
    <n v="63"/>
    <n v="11.38"/>
    <n v="6.12"/>
    <s v="Alive"/>
    <n v="96"/>
    <n v="164"/>
    <n v="72"/>
    <n v="60"/>
    <s v="Good"/>
    <n v="0"/>
    <n v="0.11380000000000001"/>
    <n v="6.1200000000000004E-2"/>
    <d v="1900-01-15T16:27:00"/>
  </r>
  <r>
    <n v="1154"/>
    <d v="2020-11-11T15:43:00"/>
    <d v="2020-11-11T00:00:00"/>
    <s v="15:43"/>
    <d v="2020-11-12T07:59:00"/>
    <d v="2020-11-12T00:00:00"/>
    <d v="1899-12-30T07:59:00"/>
    <n v="5"/>
    <x v="1"/>
    <x v="2"/>
    <x v="11"/>
    <n v="66"/>
    <n v="2.11"/>
    <n v="3.58"/>
    <s v="Alive"/>
    <n v="104"/>
    <n v="170"/>
    <n v="67"/>
    <n v="55"/>
    <s v="Good"/>
    <n v="0"/>
    <n v="2.1099999999999997E-2"/>
    <n v="3.5799999999999998E-2"/>
    <d v="1899-12-30T16:16:00"/>
  </r>
  <r>
    <n v="1155"/>
    <d v="2020-11-11T16:09:00"/>
    <d v="2020-11-11T00:00:00"/>
    <s v="16:09"/>
    <d v="2020-11-12T08:00:00"/>
    <d v="2020-11-12T00:00:00"/>
    <d v="1899-12-30T08:00:00"/>
    <n v="6"/>
    <x v="1"/>
    <x v="4"/>
    <x v="1"/>
    <n v="78"/>
    <n v="19.39"/>
    <n v="1.98"/>
    <s v="Alive"/>
    <n v="79"/>
    <n v="170"/>
    <n v="102"/>
    <n v="38"/>
    <s v="Moderate"/>
    <n v="0"/>
    <n v="0.19390000000000002"/>
    <n v="1.9799999999999998E-2"/>
    <d v="1899-12-30T15:51:00"/>
  </r>
  <r>
    <n v="1156"/>
    <d v="2020-11-09T11:08:00"/>
    <d v="2020-11-09T00:00:00"/>
    <s v="11:08"/>
    <d v="2020-11-12T08:09:00"/>
    <d v="2020-11-12T00:00:00"/>
    <d v="1899-12-30T08:09:00"/>
    <n v="4"/>
    <x v="2"/>
    <x v="2"/>
    <x v="7"/>
    <n v="67"/>
    <n v="1.49"/>
    <n v="0.84"/>
    <s v="Alive"/>
    <n v="97"/>
    <n v="185"/>
    <n v="101"/>
    <n v="55"/>
    <s v="Good"/>
    <n v="0"/>
    <n v="1.49E-2"/>
    <n v="8.3999999999999995E-3"/>
    <d v="1900-01-01T21:01:00"/>
  </r>
  <r>
    <n v="1157"/>
    <d v="2020-11-11T15:17:00"/>
    <d v="2020-11-11T00:00:00"/>
    <s v="15:17"/>
    <d v="2020-11-12T08:15:00"/>
    <d v="2020-11-12T00:00:00"/>
    <d v="1899-12-30T08:15:00"/>
    <n v="1"/>
    <x v="1"/>
    <x v="0"/>
    <x v="10"/>
    <n v="77"/>
    <n v="4.83"/>
    <n v="1.22"/>
    <s v="Alive"/>
    <n v="69"/>
    <n v="160"/>
    <n v="72"/>
    <n v="58"/>
    <s v="Good"/>
    <n v="0"/>
    <n v="4.8300000000000003E-2"/>
    <n v="1.2199999999999999E-2"/>
    <d v="1899-12-30T16:58:00"/>
  </r>
  <r>
    <n v="1158"/>
    <d v="2020-10-18T00:17:00"/>
    <d v="2020-10-18T00:00:00"/>
    <s v="00:17"/>
    <d v="2020-11-12T08:15:00"/>
    <d v="2020-11-12T00:00:00"/>
    <d v="1899-12-30T08:15:00"/>
    <n v="3"/>
    <x v="2"/>
    <x v="3"/>
    <x v="0"/>
    <n v="70"/>
    <n v="1.82"/>
    <n v="0.91"/>
    <s v="Alive"/>
    <n v="64"/>
    <n v="180"/>
    <n v="95"/>
    <n v="50"/>
    <s v="Moderate"/>
    <n v="0"/>
    <n v="1.8200000000000001E-2"/>
    <n v="9.1000000000000004E-3"/>
    <d v="1900-01-24T07:58:00"/>
  </r>
  <r>
    <n v="1159"/>
    <d v="2020-11-12T06:45:00"/>
    <d v="2020-11-12T00:00:00"/>
    <s v="06:45"/>
    <d v="2020-11-12T14:15:00"/>
    <d v="2020-11-12T00:00:00"/>
    <d v="1899-12-30T14:15:00"/>
    <n v="4"/>
    <x v="1"/>
    <x v="2"/>
    <x v="7"/>
    <n v="73"/>
    <n v="2.21"/>
    <n v="0.72"/>
    <s v="Alive"/>
    <n v="62"/>
    <n v="188"/>
    <n v="102"/>
    <n v="45"/>
    <s v="Moderate"/>
    <n v="0"/>
    <n v="2.2099999999999998E-2"/>
    <n v="7.1999999999999998E-3"/>
    <d v="1899-12-30T07:30:00"/>
  </r>
  <r>
    <n v="1160"/>
    <d v="2020-11-12T16:29:00"/>
    <d v="2020-11-12T00:00:00"/>
    <s v="16:29"/>
    <d v="2020-11-12T16:55:00"/>
    <d v="2020-11-12T00:00:00"/>
    <d v="1899-12-30T16:55:00"/>
    <n v="1"/>
    <x v="0"/>
    <x v="4"/>
    <x v="15"/>
    <n v="53"/>
    <n v="9.0399999999999991"/>
    <n v="1.92"/>
    <s v="Alive"/>
    <n v="84"/>
    <n v="172"/>
    <n v="92"/>
    <n v="50"/>
    <s v="Moderate"/>
    <n v="0"/>
    <n v="9.0399999999999994E-2"/>
    <n v="1.9199999999999998E-2"/>
    <d v="1899-12-30T00:26:00"/>
  </r>
  <r>
    <n v="1161"/>
    <d v="2020-11-12T16:00:00"/>
    <d v="2020-11-12T00:00:00"/>
    <s v="16:00"/>
    <d v="2020-11-13T08:07:00"/>
    <d v="2020-11-13T00:00:00"/>
    <d v="1899-12-30T08:07:00"/>
    <n v="4"/>
    <x v="1"/>
    <x v="0"/>
    <x v="7"/>
    <n v="81"/>
    <n v="6.21"/>
    <n v="2.36"/>
    <s v="Alive"/>
    <n v="144"/>
    <n v="166"/>
    <n v="57"/>
    <n v="55"/>
    <s v="Good"/>
    <n v="0"/>
    <n v="6.2100000000000002E-2"/>
    <n v="2.3599999999999999E-2"/>
    <d v="1899-12-30T16:07:00"/>
  </r>
  <r>
    <n v="1162"/>
    <d v="2020-11-09T11:23:00"/>
    <d v="2020-11-09T00:00:00"/>
    <s v="11:23"/>
    <d v="2020-11-13T08:15:00"/>
    <d v="2020-11-13T00:00:00"/>
    <d v="1899-12-30T08:15:00"/>
    <n v="5"/>
    <x v="2"/>
    <x v="3"/>
    <x v="13"/>
    <n v="68"/>
    <n v="10.69"/>
    <n v="5.01"/>
    <s v="Alive"/>
    <n v="80"/>
    <n v="166"/>
    <n v="85"/>
    <n v="28"/>
    <s v="Poor"/>
    <n v="0"/>
    <n v="0.1069"/>
    <n v="5.0099999999999999E-2"/>
    <d v="1900-01-02T20:52:00"/>
  </r>
  <r>
    <n v="1163"/>
    <d v="2020-11-07T10:20:00"/>
    <d v="2020-11-07T00:00:00"/>
    <s v="10:20"/>
    <d v="2020-11-13T08:15:00"/>
    <d v="2020-11-13T00:00:00"/>
    <d v="1899-12-30T08:15:00"/>
    <n v="1"/>
    <x v="2"/>
    <x v="0"/>
    <x v="8"/>
    <n v="54"/>
    <n v="10.91"/>
    <n v="5.48"/>
    <s v="Alive"/>
    <n v="97"/>
    <n v="162"/>
    <n v="78"/>
    <n v="55"/>
    <s v="Good"/>
    <n v="0"/>
    <n v="0.1091"/>
    <n v="5.4800000000000001E-2"/>
    <d v="1900-01-04T21:55:00"/>
  </r>
  <r>
    <n v="1164"/>
    <d v="2020-11-11T13:31:00"/>
    <d v="2020-11-11T00:00:00"/>
    <s v="13:31"/>
    <d v="2020-11-13T10:36:00"/>
    <d v="2020-11-13T00:00:00"/>
    <d v="1899-12-30T10:36:00"/>
    <n v="6"/>
    <x v="2"/>
    <x v="2"/>
    <x v="15"/>
    <n v="82"/>
    <n v="9.75"/>
    <n v="3.03"/>
    <s v="Alive"/>
    <n v="129"/>
    <n v="171"/>
    <n v="79"/>
    <n v="55"/>
    <s v="Good"/>
    <n v="0"/>
    <n v="9.7500000000000003E-2"/>
    <n v="3.0299999999999997E-2"/>
    <d v="1899-12-31T21:05:00"/>
  </r>
  <r>
    <n v="1165"/>
    <d v="2020-11-13T06:40:00"/>
    <d v="2020-11-13T00:00:00"/>
    <s v="06:40"/>
    <d v="2020-11-13T13:34:00"/>
    <d v="2020-11-13T00:00:00"/>
    <d v="1899-12-30T13:34:00"/>
    <n v="5"/>
    <x v="1"/>
    <x v="2"/>
    <x v="13"/>
    <n v="63"/>
    <n v="1.1499999999999999"/>
    <n v="0.61"/>
    <s v="Alive"/>
    <n v="181"/>
    <n v="168"/>
    <n v="91"/>
    <n v="70"/>
    <s v="Good"/>
    <n v="0"/>
    <n v="1.15E-2"/>
    <n v="6.0999999999999995E-3"/>
    <d v="1899-12-30T06:54:00"/>
  </r>
  <r>
    <n v="1166"/>
    <d v="2020-11-13T16:01:00"/>
    <d v="2020-11-13T00:00:00"/>
    <s v="16:01"/>
    <d v="2020-11-14T08:00:00"/>
    <d v="2020-11-14T00:00:00"/>
    <d v="1899-12-30T08:00:00"/>
    <n v="5"/>
    <x v="1"/>
    <x v="2"/>
    <x v="0"/>
    <n v="58"/>
    <n v="1.33"/>
    <n v="0.92"/>
    <s v="Alive"/>
    <n v="73"/>
    <n v="156"/>
    <n v="67"/>
    <n v="55"/>
    <s v="Good"/>
    <n v="0"/>
    <n v="1.3300000000000001E-2"/>
    <n v="9.1999999999999998E-3"/>
    <d v="1899-12-30T15:59:00"/>
  </r>
  <r>
    <n v="1167"/>
    <d v="2020-11-14T07:00:00"/>
    <d v="2020-11-14T00:00:00"/>
    <s v="07:00"/>
    <d v="2020-11-14T11:45:00"/>
    <d v="2020-11-14T00:00:00"/>
    <d v="1899-12-30T11:45:00"/>
    <n v="4"/>
    <x v="1"/>
    <x v="2"/>
    <x v="0"/>
    <n v="60"/>
    <n v="1.53"/>
    <n v="0.67"/>
    <s v="Alive"/>
    <n v="91"/>
    <n v="170"/>
    <n v="75"/>
    <n v="55"/>
    <s v="Good"/>
    <n v="0"/>
    <n v="1.5300000000000001E-2"/>
    <n v="6.7000000000000002E-3"/>
    <d v="1899-12-30T04:45:00"/>
  </r>
  <r>
    <n v="1168"/>
    <d v="2020-11-15T16:00:00"/>
    <d v="2020-11-15T00:00:00"/>
    <s v="16:00"/>
    <d v="2020-11-16T08:00:00"/>
    <d v="2020-11-16T00:00:00"/>
    <d v="1899-12-30T08:00:00"/>
    <n v="6"/>
    <x v="1"/>
    <x v="3"/>
    <x v="1"/>
    <n v="74"/>
    <n v="3.99"/>
    <n v="1.71"/>
    <s v="Alive"/>
    <n v="166"/>
    <n v="162"/>
    <n v="72"/>
    <n v="55"/>
    <s v="Good"/>
    <n v="0"/>
    <n v="3.9900000000000005E-2"/>
    <n v="1.7100000000000001E-2"/>
    <d v="1899-12-30T16:00:00"/>
  </r>
  <r>
    <n v="1169"/>
    <d v="2020-11-15T16:00:00"/>
    <d v="2020-11-15T00:00:00"/>
    <s v="16:00"/>
    <d v="2020-11-16T08:09:00"/>
    <d v="2020-11-16T00:00:00"/>
    <d v="1899-12-30T08:09:00"/>
    <n v="1"/>
    <x v="1"/>
    <x v="2"/>
    <x v="6"/>
    <n v="76"/>
    <n v="2.69"/>
    <n v="1.84"/>
    <s v="Alive"/>
    <n v="81"/>
    <n v="172"/>
    <n v="78"/>
    <n v="56"/>
    <s v="Good"/>
    <n v="0"/>
    <n v="2.69E-2"/>
    <n v="1.84E-2"/>
    <d v="1899-12-30T16:09:00"/>
  </r>
  <r>
    <n v="1170"/>
    <d v="2020-11-12T16:00:00"/>
    <d v="2020-11-12T00:00:00"/>
    <s v="16:00"/>
    <d v="2020-11-16T08:20:00"/>
    <d v="2020-11-16T00:00:00"/>
    <d v="1899-12-30T08:20:00"/>
    <n v="5"/>
    <x v="2"/>
    <x v="0"/>
    <x v="11"/>
    <n v="76"/>
    <n v="12.49"/>
    <n v="2.66"/>
    <s v="Alive"/>
    <n v="84"/>
    <n v="173"/>
    <n v="80"/>
    <n v="60"/>
    <s v="Good"/>
    <n v="0"/>
    <n v="0.1249"/>
    <n v="2.6600000000000002E-2"/>
    <d v="1900-01-02T16:20:00"/>
  </r>
  <r>
    <n v="1171"/>
    <d v="2020-11-15T16:00:00"/>
    <d v="2020-11-15T00:00:00"/>
    <s v="16:00"/>
    <d v="2020-11-16T08:25:00"/>
    <d v="2020-11-16T00:00:00"/>
    <d v="1899-12-30T08:25:00"/>
    <n v="4"/>
    <x v="1"/>
    <x v="3"/>
    <x v="8"/>
    <n v="69"/>
    <n v="2.89"/>
    <n v="1.67"/>
    <s v="Alive"/>
    <n v="74"/>
    <n v="181"/>
    <n v="75"/>
    <n v="88"/>
    <s v="Good"/>
    <n v="0"/>
    <n v="2.8900000000000002E-2"/>
    <n v="1.67E-2"/>
    <d v="1899-12-30T16:25:00"/>
  </r>
  <r>
    <n v="1172"/>
    <d v="2020-11-16T08:23:00"/>
    <d v="2020-11-16T00:00:00"/>
    <s v="08:23"/>
    <d v="2020-11-16T13:05:00"/>
    <d v="2020-11-16T00:00:00"/>
    <d v="1899-12-30T13:05:00"/>
    <n v="1"/>
    <x v="1"/>
    <x v="3"/>
    <x v="6"/>
    <n v="80"/>
    <n v="5.83"/>
    <n v="3.89"/>
    <s v="Alive"/>
    <n v="75"/>
    <n v="176"/>
    <n v="73"/>
    <n v="45"/>
    <s v="Moderate"/>
    <n v="0"/>
    <n v="5.8299999999999998E-2"/>
    <n v="3.8900000000000004E-2"/>
    <d v="1899-12-30T04:42:00"/>
  </r>
  <r>
    <n v="1173"/>
    <d v="2020-10-28T10:00:00"/>
    <d v="2020-10-28T00:00:00"/>
    <s v="10:00"/>
    <d v="2020-11-16T13:30:00"/>
    <d v="2020-11-16T00:00:00"/>
    <d v="1899-12-30T13:30:00"/>
    <n v="5"/>
    <x v="2"/>
    <x v="2"/>
    <x v="15"/>
    <n v="59"/>
    <n v="2.09"/>
    <n v="2.72"/>
    <s v="Alive"/>
    <n v="65"/>
    <n v="175"/>
    <n v="74"/>
    <n v="45"/>
    <s v="Moderate"/>
    <n v="0"/>
    <n v="2.0899999999999998E-2"/>
    <n v="2.7200000000000002E-2"/>
    <d v="1900-01-18T03:30:00"/>
  </r>
  <r>
    <n v="1174"/>
    <d v="2020-11-15T14:00:00"/>
    <d v="2020-11-15T00:00:00"/>
    <s v="14:00"/>
    <d v="2020-11-16T15:40:00"/>
    <d v="2020-11-16T00:00:00"/>
    <d v="1899-12-30T15:40:00"/>
    <n v="4"/>
    <x v="1"/>
    <x v="2"/>
    <x v="16"/>
    <n v="68"/>
    <n v="1.59"/>
    <n v="0.63"/>
    <s v="Alive"/>
    <n v="74"/>
    <n v="150"/>
    <n v="108"/>
    <n v="55"/>
    <s v="Good"/>
    <n v="0"/>
    <n v="1.5900000000000001E-2"/>
    <n v="6.3E-3"/>
    <d v="1899-12-31T01:40:00"/>
  </r>
  <r>
    <n v="1175"/>
    <d v="2020-11-16T14:09:00"/>
    <d v="2020-11-16T00:00:00"/>
    <s v="14:09"/>
    <d v="2020-11-17T07:48:00"/>
    <d v="2020-11-17T00:00:00"/>
    <d v="1899-12-30T07:48:00"/>
    <n v="3"/>
    <x v="1"/>
    <x v="4"/>
    <x v="10"/>
    <n v="54"/>
    <n v="11.73"/>
    <n v="4.87"/>
    <s v="Alive"/>
    <n v="99"/>
    <n v="160"/>
    <n v="82"/>
    <n v="50"/>
    <s v="Moderate"/>
    <n v="0"/>
    <n v="0.1173"/>
    <n v="4.87E-2"/>
    <d v="1899-12-30T17:39:00"/>
  </r>
  <r>
    <n v="1176"/>
    <d v="2020-11-16T16:00:00"/>
    <d v="2020-11-16T00:00:00"/>
    <s v="16:00"/>
    <d v="2020-11-17T08:10:00"/>
    <d v="2020-11-17T00:00:00"/>
    <d v="1899-12-30T08:10:00"/>
    <n v="1"/>
    <x v="1"/>
    <x v="0"/>
    <x v="8"/>
    <n v="73"/>
    <n v="14.78"/>
    <n v="4.12"/>
    <s v="Alive"/>
    <n v="132"/>
    <n v="176"/>
    <n v="65"/>
    <n v="60"/>
    <s v="Good"/>
    <n v="0"/>
    <n v="0.14779999999999999"/>
    <n v="4.1200000000000001E-2"/>
    <d v="1899-12-30T16:10:00"/>
  </r>
  <r>
    <n v="1177"/>
    <d v="2020-11-16T16:00:00"/>
    <d v="2020-11-16T00:00:00"/>
    <s v="16:00"/>
    <d v="2020-11-17T08:15:00"/>
    <d v="2020-11-17T00:00:00"/>
    <d v="1899-12-30T08:15:00"/>
    <n v="5"/>
    <x v="1"/>
    <x v="0"/>
    <x v="2"/>
    <n v="79"/>
    <n v="8.1"/>
    <n v="3"/>
    <s v="Alive"/>
    <n v="72"/>
    <n v="161"/>
    <n v="65"/>
    <n v="60"/>
    <s v="Good"/>
    <n v="0"/>
    <n v="8.1000000000000003E-2"/>
    <n v="0.03"/>
    <d v="1899-12-30T16:15:00"/>
  </r>
  <r>
    <n v="1178"/>
    <d v="2020-11-16T16:00:00"/>
    <d v="2020-11-16T00:00:00"/>
    <s v="16:00"/>
    <d v="2020-11-17T08:15:00"/>
    <d v="2020-11-17T00:00:00"/>
    <d v="1899-12-30T08:15:00"/>
    <n v="6"/>
    <x v="1"/>
    <x v="3"/>
    <x v="3"/>
    <n v="80"/>
    <n v="5.83"/>
    <n v="2.04"/>
    <s v="Alive"/>
    <n v="90"/>
    <n v="154"/>
    <n v="60"/>
    <n v="55"/>
    <s v="Good"/>
    <n v="0"/>
    <n v="5.8299999999999998E-2"/>
    <n v="2.0400000000000001E-2"/>
    <d v="1899-12-30T16:15:00"/>
  </r>
  <r>
    <n v="1179"/>
    <d v="2020-11-16T16:00:00"/>
    <d v="2020-11-16T00:00:00"/>
    <s v="16:00"/>
    <d v="2020-11-17T08:20:00"/>
    <d v="2020-11-17T00:00:00"/>
    <d v="1899-12-30T08:20:00"/>
    <n v="4"/>
    <x v="1"/>
    <x v="0"/>
    <x v="4"/>
    <n v="72"/>
    <n v="5.24"/>
    <n v="1.07"/>
    <s v="Alive"/>
    <n v="79"/>
    <n v="157"/>
    <n v="77"/>
    <n v="60"/>
    <s v="Good"/>
    <n v="0"/>
    <n v="5.2400000000000002E-2"/>
    <n v="1.0700000000000001E-2"/>
    <d v="1899-12-30T16:20:00"/>
  </r>
  <r>
    <n v="1180"/>
    <d v="2020-11-16T16:00:00"/>
    <d v="2020-11-16T00:00:00"/>
    <s v="16:00"/>
    <d v="2020-11-17T12:50:00"/>
    <d v="2020-11-17T00:00:00"/>
    <d v="1899-12-30T12:50:00"/>
    <n v="5"/>
    <x v="1"/>
    <x v="0"/>
    <x v="2"/>
    <n v="52"/>
    <n v="1.51"/>
    <n v="0.56000000000000005"/>
    <s v="Alive"/>
    <n v="91"/>
    <n v="175"/>
    <n v="89"/>
    <n v="55"/>
    <s v="Good"/>
    <n v="0"/>
    <n v="1.5100000000000001E-2"/>
    <n v="5.6000000000000008E-3"/>
    <d v="1899-12-30T20:50:00"/>
  </r>
  <r>
    <n v="1181"/>
    <d v="2020-11-06T10:00:00"/>
    <d v="2020-11-06T00:00:00"/>
    <s v="10:00"/>
    <d v="2020-11-17T13:23:00"/>
    <d v="2020-11-17T00:00:00"/>
    <d v="1899-12-30T13:23:00"/>
    <n v="4"/>
    <x v="2"/>
    <x v="2"/>
    <x v="4"/>
    <n v="59"/>
    <n v="1.51"/>
    <n v="0.8"/>
    <s v="Alive"/>
    <n v="97"/>
    <n v="176"/>
    <n v="88"/>
    <n v="55"/>
    <s v="Good"/>
    <n v="0"/>
    <n v="1.5100000000000001E-2"/>
    <n v="8.0000000000000002E-3"/>
    <d v="1900-01-10T03:23:00"/>
  </r>
  <r>
    <n v="1182"/>
    <d v="2020-11-17T07:00:00"/>
    <d v="2020-11-17T00:00:00"/>
    <s v="07:00"/>
    <d v="2020-11-17T14:05:00"/>
    <d v="2020-11-17T00:00:00"/>
    <d v="1899-12-30T14:05:00"/>
    <n v="6"/>
    <x v="1"/>
    <x v="4"/>
    <x v="3"/>
    <n v="47"/>
    <n v="4.6500000000000004"/>
    <n v="2.84"/>
    <s v="Alive"/>
    <n v="96"/>
    <n v="166"/>
    <n v="106"/>
    <n v="30"/>
    <s v="Poor"/>
    <n v="0"/>
    <n v="4.6500000000000007E-2"/>
    <n v="2.8399999999999998E-2"/>
    <d v="1899-12-30T07:05:00"/>
  </r>
  <r>
    <n v="1183"/>
    <d v="2020-11-17T16:00:00"/>
    <d v="2020-11-17T00:00:00"/>
    <s v="16:00"/>
    <d v="2020-11-18T08:00:00"/>
    <d v="2020-11-18T00:00:00"/>
    <d v="1899-12-30T08:00:00"/>
    <n v="1"/>
    <x v="1"/>
    <x v="0"/>
    <x v="0"/>
    <n v="61"/>
    <n v="1.72"/>
    <n v="0.69"/>
    <s v="Alive"/>
    <n v="106"/>
    <n v="168"/>
    <n v="92"/>
    <n v="48"/>
    <s v="Moderate"/>
    <n v="0"/>
    <n v="1.72E-2"/>
    <n v="6.8999999999999999E-3"/>
    <d v="1899-12-30T16:00:00"/>
  </r>
  <r>
    <n v="1184"/>
    <d v="2020-11-17T16:00:00"/>
    <d v="2020-11-17T00:00:00"/>
    <s v="16:00"/>
    <d v="2020-11-18T08:05:00"/>
    <d v="2020-11-18T00:00:00"/>
    <d v="1899-12-30T08:05:00"/>
    <n v="6"/>
    <x v="1"/>
    <x v="0"/>
    <x v="15"/>
    <n v="64"/>
    <n v="2.09"/>
    <n v="0.76"/>
    <s v="Alive"/>
    <n v="84"/>
    <n v="166"/>
    <n v="89"/>
    <n v="30"/>
    <s v="Poor"/>
    <n v="0"/>
    <n v="2.0899999999999998E-2"/>
    <n v="7.6E-3"/>
    <d v="1899-12-30T16:05:00"/>
  </r>
  <r>
    <n v="1185"/>
    <d v="2020-11-17T15:00:00"/>
    <d v="2020-11-17T00:00:00"/>
    <s v="15:00"/>
    <d v="2020-11-18T08:20:00"/>
    <d v="2020-11-18T00:00:00"/>
    <d v="1899-12-30T08:20:00"/>
    <n v="4"/>
    <x v="1"/>
    <x v="3"/>
    <x v="1"/>
    <n v="87"/>
    <n v="8.99"/>
    <n v="1.85"/>
    <s v="Alive"/>
    <n v="124"/>
    <n v="170"/>
    <n v="67"/>
    <n v="29"/>
    <s v="Poor"/>
    <n v="0"/>
    <n v="8.9900000000000008E-2"/>
    <n v="1.8500000000000003E-2"/>
    <d v="1899-12-30T17:20:00"/>
  </r>
  <r>
    <n v="1186"/>
    <d v="2020-11-17T16:00:00"/>
    <d v="2020-11-17T00:00:00"/>
    <s v="16:00"/>
    <d v="2020-11-18T08:29:00"/>
    <d v="2020-11-18T00:00:00"/>
    <d v="1899-12-30T08:29:00"/>
    <n v="5"/>
    <x v="1"/>
    <x v="3"/>
    <x v="2"/>
    <n v="82"/>
    <n v="8.9700000000000006"/>
    <n v="7.45"/>
    <s v="Alive"/>
    <n v="65"/>
    <n v="165"/>
    <n v="106"/>
    <n v="50"/>
    <s v="Moderate"/>
    <n v="0"/>
    <n v="8.9700000000000002E-2"/>
    <n v="7.4499999999999997E-2"/>
    <d v="1899-12-30T16:29:00"/>
  </r>
  <r>
    <n v="1187"/>
    <d v="2020-11-04T11:22:00"/>
    <d v="2020-11-04T00:00:00"/>
    <s v="11:22"/>
    <d v="2020-11-18T12:16:00"/>
    <d v="2020-11-18T00:00:00"/>
    <d v="1899-12-30T12:16:00"/>
    <n v="1"/>
    <x v="2"/>
    <x v="0"/>
    <x v="0"/>
    <n v="67"/>
    <n v="11.84"/>
    <n v="2.89"/>
    <s v="Alive"/>
    <n v="87"/>
    <n v="171"/>
    <n v="87"/>
    <n v="68"/>
    <s v="Good"/>
    <n v="0"/>
    <n v="0.11840000000000001"/>
    <n v="2.8900000000000002E-2"/>
    <d v="1900-01-13T00:54:00"/>
  </r>
  <r>
    <n v="1188"/>
    <d v="2020-11-18T08:35:00"/>
    <d v="2020-11-18T00:00:00"/>
    <s v="08:35"/>
    <d v="2020-11-18T13:15:00"/>
    <d v="2020-11-18T00:00:00"/>
    <d v="1899-12-30T13:15:00"/>
    <n v="4"/>
    <x v="1"/>
    <x v="0"/>
    <x v="1"/>
    <n v="49"/>
    <n v="1.51"/>
    <n v="0.5"/>
    <s v="Alive"/>
    <n v="76"/>
    <n v="177"/>
    <n v="107"/>
    <n v="50"/>
    <s v="Moderate"/>
    <n v="0"/>
    <n v="1.5100000000000001E-2"/>
    <n v="5.0000000000000001E-3"/>
    <d v="1899-12-30T04:40:00"/>
  </r>
  <r>
    <n v="1189"/>
    <d v="2020-11-05T14:36:00"/>
    <d v="2020-11-05T00:00:00"/>
    <s v="14:36"/>
    <d v="2020-11-18T13:27:00"/>
    <d v="2020-11-18T00:00:00"/>
    <d v="1899-12-30T13:27:00"/>
    <n v="6"/>
    <x v="2"/>
    <x v="2"/>
    <x v="15"/>
    <n v="66"/>
    <n v="2.39"/>
    <n v="1.42"/>
    <s v="Alive"/>
    <n v="95"/>
    <n v="179"/>
    <n v="78"/>
    <n v="29"/>
    <s v="Poor"/>
    <n v="0"/>
    <n v="2.3900000000000001E-2"/>
    <n v="1.4199999999999999E-2"/>
    <d v="1900-01-11T22:51:00"/>
  </r>
  <r>
    <n v="1190"/>
    <d v="2020-11-18T16:00:00"/>
    <d v="2020-11-18T00:00:00"/>
    <s v="16:00"/>
    <d v="2020-11-19T08:04:00"/>
    <d v="2020-11-19T00:00:00"/>
    <d v="1899-12-30T08:04:00"/>
    <n v="3"/>
    <x v="1"/>
    <x v="2"/>
    <x v="6"/>
    <n v="65"/>
    <n v="1.31"/>
    <n v="0.78"/>
    <s v="Alive"/>
    <n v="82"/>
    <n v="179"/>
    <n v="96"/>
    <n v="57"/>
    <s v="Good"/>
    <n v="0"/>
    <n v="1.3100000000000001E-2"/>
    <n v="7.8000000000000005E-3"/>
    <d v="1899-12-30T16:04:00"/>
  </r>
  <r>
    <n v="1191"/>
    <d v="2020-11-18T14:18:00"/>
    <d v="2020-11-18T00:00:00"/>
    <s v="14:18"/>
    <d v="2020-11-19T08:05:00"/>
    <d v="2020-11-19T00:00:00"/>
    <d v="1899-12-30T08:05:00"/>
    <n v="6"/>
    <x v="1"/>
    <x v="2"/>
    <x v="1"/>
    <n v="70"/>
    <n v="4.7300000000000004"/>
    <n v="2.21"/>
    <s v="Alive"/>
    <n v="96"/>
    <n v="178"/>
    <n v="89"/>
    <n v="55"/>
    <s v="Good"/>
    <n v="0"/>
    <n v="4.7300000000000002E-2"/>
    <n v="2.2099999999999998E-2"/>
    <d v="1899-12-30T17:47:00"/>
  </r>
  <r>
    <n v="1192"/>
    <d v="2020-11-17T14:34:00"/>
    <d v="2020-11-17T00:00:00"/>
    <s v="14:34"/>
    <d v="2020-11-19T08:11:00"/>
    <d v="2020-11-19T00:00:00"/>
    <d v="1899-12-30T08:11:00"/>
    <n v="1"/>
    <x v="2"/>
    <x v="2"/>
    <x v="15"/>
    <n v="71"/>
    <n v="3.67"/>
    <n v="2.38"/>
    <s v="Alive"/>
    <n v="69"/>
    <n v="179"/>
    <n v="93"/>
    <n v="50"/>
    <s v="Moderate"/>
    <n v="0"/>
    <n v="3.6699999999999997E-2"/>
    <n v="2.3799999999999998E-2"/>
    <d v="1899-12-31T17:37:00"/>
  </r>
  <r>
    <n v="1193"/>
    <d v="2020-11-17T13:25:00"/>
    <d v="2020-11-17T00:00:00"/>
    <s v="13:25"/>
    <d v="2020-11-19T08:25:00"/>
    <d v="2020-11-19T00:00:00"/>
    <d v="1899-12-30T08:25:00"/>
    <n v="5"/>
    <x v="2"/>
    <x v="2"/>
    <x v="11"/>
    <n v="71"/>
    <n v="1.94"/>
    <n v="1.04"/>
    <s v="Alive"/>
    <n v="121"/>
    <n v="166"/>
    <n v="68"/>
    <n v="67"/>
    <s v="Good"/>
    <n v="0"/>
    <n v="1.9400000000000001E-2"/>
    <n v="1.04E-2"/>
    <d v="1899-12-31T19:00:00"/>
  </r>
  <r>
    <n v="1194"/>
    <d v="2020-11-18T16:00:00"/>
    <d v="2020-11-18T00:00:00"/>
    <s v="16:00"/>
    <d v="2020-11-19T08:28:00"/>
    <d v="2020-11-19T00:00:00"/>
    <d v="1899-12-30T08:28:00"/>
    <n v="4"/>
    <x v="1"/>
    <x v="0"/>
    <x v="7"/>
    <n v="55"/>
    <n v="3.13"/>
    <n v="1.96"/>
    <s v="Alive"/>
    <n v="128"/>
    <n v="163"/>
    <n v="71"/>
    <n v="64"/>
    <s v="Good"/>
    <n v="0"/>
    <n v="3.1300000000000001E-2"/>
    <n v="1.9599999999999999E-2"/>
    <d v="1899-12-30T16:28:00"/>
  </r>
  <r>
    <n v="1195"/>
    <d v="2020-11-19T07:11:00"/>
    <d v="2020-11-19T00:00:00"/>
    <s v="07:11"/>
    <d v="2020-11-19T12:20:00"/>
    <d v="2020-11-19T00:00:00"/>
    <d v="1899-12-30T12:20:00"/>
    <n v="3"/>
    <x v="1"/>
    <x v="3"/>
    <x v="6"/>
    <n v="66"/>
    <n v="2.38"/>
    <n v="3.92"/>
    <s v="Alive"/>
    <n v="187"/>
    <n v="165"/>
    <n v="70"/>
    <n v="40"/>
    <s v="Moderate"/>
    <n v="0"/>
    <n v="2.3799999999999998E-2"/>
    <n v="3.9199999999999999E-2"/>
    <d v="1899-12-30T05:09:00"/>
  </r>
  <r>
    <n v="1196"/>
    <d v="2020-11-19T07:07:00"/>
    <d v="2020-11-19T00:00:00"/>
    <s v="07:07"/>
    <d v="2020-11-19T13:20:00"/>
    <d v="2020-11-19T00:00:00"/>
    <d v="1899-12-30T13:20:00"/>
    <n v="6"/>
    <x v="1"/>
    <x v="4"/>
    <x v="1"/>
    <n v="69"/>
    <n v="11.67"/>
    <n v="3.49"/>
    <s v="Alive"/>
    <n v="145"/>
    <n v="179"/>
    <n v="92"/>
    <n v="55"/>
    <s v="Good"/>
    <n v="0"/>
    <n v="0.1167"/>
    <n v="3.49E-2"/>
    <d v="1899-12-30T06:13:00"/>
  </r>
  <r>
    <n v="1197"/>
    <d v="2020-11-19T07:03:00"/>
    <d v="2020-11-19T00:00:00"/>
    <s v="07:03"/>
    <d v="2020-11-19T15:21:00"/>
    <d v="2020-11-19T00:00:00"/>
    <d v="1899-12-30T15:21:00"/>
    <n v="5"/>
    <x v="1"/>
    <x v="2"/>
    <x v="11"/>
    <n v="72"/>
    <n v="2.86"/>
    <n v="0.97"/>
    <s v="Alive"/>
    <n v="68"/>
    <n v="171"/>
    <n v="67"/>
    <n v="60"/>
    <s v="Good"/>
    <n v="0"/>
    <n v="2.86E-2"/>
    <n v="9.7000000000000003E-3"/>
    <d v="1899-12-30T08:18:00"/>
  </r>
  <r>
    <n v="1198"/>
    <d v="2020-11-20T02:09:00"/>
    <d v="2020-11-20T00:00:00"/>
    <s v="02:09"/>
    <d v="2020-11-20T03:30:00"/>
    <d v="2020-11-20T00:00:00"/>
    <d v="1899-12-30T03:30:00"/>
    <n v="1"/>
    <x v="0"/>
    <x v="4"/>
    <x v="11"/>
    <n v="70"/>
    <n v="32.04"/>
    <n v="5"/>
    <s v="Alive"/>
    <n v="84"/>
    <n v="149"/>
    <n v="43"/>
    <n v="65"/>
    <s v="Good"/>
    <n v="0"/>
    <n v="0.32040000000000002"/>
    <n v="0.05"/>
    <d v="1899-12-30T01:21:00"/>
  </r>
  <r>
    <n v="1199"/>
    <d v="2020-11-19T16:00:00"/>
    <d v="2020-11-19T00:00:00"/>
    <s v="16:00"/>
    <d v="2020-11-20T08:00:00"/>
    <d v="2020-11-20T00:00:00"/>
    <d v="1899-12-30T08:00:00"/>
    <n v="5"/>
    <x v="1"/>
    <x v="3"/>
    <x v="0"/>
    <n v="65"/>
    <n v="3.35"/>
    <n v="1.82"/>
    <s v="Alive"/>
    <n v="112"/>
    <n v="164"/>
    <n v="64"/>
    <n v="48"/>
    <s v="Moderate"/>
    <n v="0"/>
    <n v="3.3500000000000002E-2"/>
    <n v="1.8200000000000001E-2"/>
    <d v="1899-12-30T16:00:00"/>
  </r>
  <r>
    <n v="1200"/>
    <d v="2020-11-15T11:29:00"/>
    <d v="2020-11-15T00:00:00"/>
    <s v="11:29"/>
    <d v="2020-11-20T08:10:00"/>
    <d v="2020-11-20T00:00:00"/>
    <d v="1899-12-30T08:10:00"/>
    <n v="4"/>
    <x v="2"/>
    <x v="4"/>
    <x v="7"/>
    <n v="56"/>
    <n v="0.88"/>
    <n v="0.69"/>
    <s v="Alive"/>
    <n v="100"/>
    <n v="177"/>
    <n v="90"/>
    <n v="40"/>
    <s v="Moderate"/>
    <n v="0"/>
    <n v="8.8000000000000005E-3"/>
    <n v="6.8999999999999999E-3"/>
    <d v="1900-01-03T20:41:00"/>
  </r>
  <r>
    <n v="1201"/>
    <d v="2020-11-18T11:00:00"/>
    <d v="2020-11-18T00:00:00"/>
    <s v="11:00"/>
    <d v="2020-11-20T08:14:00"/>
    <d v="2020-11-20T00:00:00"/>
    <d v="1899-12-30T08:14:00"/>
    <n v="6"/>
    <x v="2"/>
    <x v="2"/>
    <x v="15"/>
    <n v="63"/>
    <n v="1.73"/>
    <n v="1.37"/>
    <s v="Alive"/>
    <n v="104"/>
    <n v="177"/>
    <n v="123"/>
    <n v="40"/>
    <s v="Moderate"/>
    <n v="0"/>
    <n v="1.7299999999999999E-2"/>
    <n v="1.37E-2"/>
    <d v="1899-12-31T21:14:00"/>
  </r>
  <r>
    <n v="1202"/>
    <d v="2020-11-19T16:00:00"/>
    <d v="2020-11-19T00:00:00"/>
    <s v="16:00"/>
    <d v="2020-11-20T13:24:00"/>
    <d v="2020-11-20T00:00:00"/>
    <d v="1899-12-30T13:24:00"/>
    <n v="1"/>
    <x v="1"/>
    <x v="4"/>
    <x v="16"/>
    <n v="80"/>
    <n v="36.659999999999997"/>
    <n v="13.72"/>
    <s v="Alive"/>
    <n v="83"/>
    <n v="165"/>
    <n v="95"/>
    <n v="33"/>
    <s v="Moderate"/>
    <n v="0"/>
    <n v="0.36659999999999998"/>
    <n v="0.13720000000000002"/>
    <d v="1899-12-30T21:24:00"/>
  </r>
  <r>
    <n v="1203"/>
    <d v="2020-11-20T07:04:00"/>
    <d v="2020-11-20T00:00:00"/>
    <s v="07:04"/>
    <d v="2020-11-20T13:30:00"/>
    <d v="2020-11-20T00:00:00"/>
    <d v="1899-12-30T13:30:00"/>
    <n v="5"/>
    <x v="1"/>
    <x v="2"/>
    <x v="0"/>
    <n v="76"/>
    <n v="2.69"/>
    <n v="1.06"/>
    <s v="Alive"/>
    <n v="68"/>
    <n v="179"/>
    <n v="74"/>
    <n v="55"/>
    <s v="Good"/>
    <n v="0"/>
    <n v="2.69E-2"/>
    <n v="1.06E-2"/>
    <d v="1899-12-30T06:26:00"/>
  </r>
  <r>
    <n v="1204"/>
    <d v="2020-11-20T14:24:00"/>
    <d v="2020-11-20T00:00:00"/>
    <s v="14:24"/>
    <d v="2020-11-21T08:05:00"/>
    <d v="2020-11-21T00:00:00"/>
    <d v="1899-12-30T08:05:00"/>
    <n v="4"/>
    <x v="1"/>
    <x v="0"/>
    <x v="6"/>
    <n v="81"/>
    <n v="8.44"/>
    <n v="1.43"/>
    <s v="Alive"/>
    <n v="80"/>
    <n v="156"/>
    <n v="61"/>
    <n v="35"/>
    <s v="Moderate"/>
    <n v="0"/>
    <n v="8.4399999999999989E-2"/>
    <n v="1.43E-2"/>
    <d v="1899-12-30T17:41:00"/>
  </r>
  <r>
    <n v="1205"/>
    <d v="2020-11-20T14:04:00"/>
    <d v="2020-11-20T00:00:00"/>
    <s v="14:04"/>
    <d v="2020-11-21T10:41:00"/>
    <d v="2020-11-21T00:00:00"/>
    <d v="1899-12-30T10:41:00"/>
    <n v="5"/>
    <x v="1"/>
    <x v="0"/>
    <x v="6"/>
    <n v="77"/>
    <n v="4.83"/>
    <n v="1.22"/>
    <s v="Alive"/>
    <n v="89"/>
    <n v="173"/>
    <n v="94"/>
    <n v="54"/>
    <s v="Good"/>
    <n v="0"/>
    <n v="4.8300000000000003E-2"/>
    <n v="1.2199999999999999E-2"/>
    <d v="1899-12-30T20:37:00"/>
  </r>
  <r>
    <n v="1206"/>
    <d v="2020-11-07T11:00:00"/>
    <d v="2020-11-07T00:00:00"/>
    <s v="11:00"/>
    <d v="2020-11-22T08:31:00"/>
    <d v="2020-11-22T00:00:00"/>
    <d v="1899-12-30T08:31:00"/>
    <n v="1"/>
    <x v="0"/>
    <x v="0"/>
    <x v="3"/>
    <n v="69"/>
    <n v="43.08"/>
    <n v="24.58"/>
    <s v="Died"/>
    <n v="71"/>
    <n v="162"/>
    <n v="65"/>
    <n v="51"/>
    <s v="Good"/>
    <n v="1"/>
    <n v="0.43079999999999996"/>
    <n v="0.24579999999999999"/>
    <d v="1900-01-13T21:31:00"/>
  </r>
  <r>
    <n v="1207"/>
    <d v="2020-11-19T16:10:00"/>
    <d v="2020-11-19T00:00:00"/>
    <s v="16:10"/>
    <d v="2020-11-22T11:00:00"/>
    <d v="2020-11-22T00:00:00"/>
    <d v="1899-12-30T11:00:00"/>
    <n v="4"/>
    <x v="3"/>
    <x v="3"/>
    <x v="0"/>
    <n v="76"/>
    <n v="63.72"/>
    <n v="69.67"/>
    <s v="Died"/>
    <n v="137"/>
    <n v="167"/>
    <n v="69"/>
    <n v="60"/>
    <s v="Good"/>
    <n v="1"/>
    <n v="0.63719999999999999"/>
    <n v="0.69669999999999999"/>
    <d v="1900-01-01T18:50:00"/>
  </r>
  <r>
    <n v="1208"/>
    <d v="2020-11-22T15:59:00"/>
    <d v="2020-11-22T00:00:00"/>
    <s v="15:59"/>
    <d v="2020-11-23T07:55:00"/>
    <d v="2020-11-23T00:00:00"/>
    <d v="1899-12-30T07:55:00"/>
    <n v="3"/>
    <x v="1"/>
    <x v="3"/>
    <x v="0"/>
    <n v="75"/>
    <n v="5.82"/>
    <n v="2.4700000000000002"/>
    <s v="Alive"/>
    <n v="89"/>
    <n v="178"/>
    <n v="82"/>
    <n v="40"/>
    <s v="Moderate"/>
    <n v="0"/>
    <n v="5.8200000000000002E-2"/>
    <n v="2.4700000000000003E-2"/>
    <d v="1899-12-30T15:56:00"/>
  </r>
  <r>
    <n v="1209"/>
    <d v="2020-11-22T16:00:00"/>
    <d v="2020-11-22T00:00:00"/>
    <s v="16:00"/>
    <d v="2020-11-23T08:02:00"/>
    <d v="2020-11-23T00:00:00"/>
    <d v="1899-12-30T08:02:00"/>
    <n v="6"/>
    <x v="1"/>
    <x v="4"/>
    <x v="1"/>
    <n v="42"/>
    <n v="4.6500000000000004"/>
    <n v="0.96"/>
    <s v="Alive"/>
    <n v="107"/>
    <n v="151"/>
    <n v="47"/>
    <n v="60"/>
    <s v="Good"/>
    <n v="0"/>
    <n v="4.6500000000000007E-2"/>
    <n v="9.5999999999999992E-3"/>
    <d v="1899-12-30T16:02:00"/>
  </r>
  <r>
    <n v="1210"/>
    <d v="2020-11-22T16:00:00"/>
    <d v="2020-11-22T00:00:00"/>
    <s v="16:00"/>
    <d v="2020-11-23T08:10:00"/>
    <d v="2020-11-23T00:00:00"/>
    <d v="1899-12-30T08:10:00"/>
    <n v="4"/>
    <x v="1"/>
    <x v="0"/>
    <x v="8"/>
    <n v="48"/>
    <n v="1.51"/>
    <n v="0.5"/>
    <s v="Alive"/>
    <n v="83"/>
    <n v="165"/>
    <n v="66"/>
    <n v="51"/>
    <s v="Good"/>
    <n v="0"/>
    <n v="1.5100000000000001E-2"/>
    <n v="5.0000000000000001E-3"/>
    <d v="1899-12-30T16:10:00"/>
  </r>
  <r>
    <n v="1211"/>
    <d v="2020-11-22T15:57:00"/>
    <d v="2020-11-22T00:00:00"/>
    <s v="15:57"/>
    <d v="2020-11-23T08:20:00"/>
    <d v="2020-11-23T00:00:00"/>
    <d v="1899-12-30T08:20:00"/>
    <n v="5"/>
    <x v="1"/>
    <x v="0"/>
    <x v="11"/>
    <n v="65"/>
    <n v="2.23"/>
    <n v="0.64"/>
    <s v="Alive"/>
    <n v="62"/>
    <n v="162"/>
    <n v="106"/>
    <n v="25"/>
    <s v="Poor"/>
    <n v="0"/>
    <n v="2.23E-2"/>
    <n v="6.4000000000000003E-3"/>
    <d v="1899-12-30T16:23:00"/>
  </r>
  <r>
    <n v="1212"/>
    <d v="2020-11-15T10:00:00"/>
    <d v="2020-11-15T00:00:00"/>
    <s v="10:00"/>
    <d v="2020-11-23T12:20:00"/>
    <d v="2020-11-23T00:00:00"/>
    <d v="1899-12-30T12:20:00"/>
    <n v="5"/>
    <x v="2"/>
    <x v="2"/>
    <x v="11"/>
    <n v="68"/>
    <n v="4.08"/>
    <n v="1.9"/>
    <s v="Alive"/>
    <n v="91"/>
    <n v="173"/>
    <n v="121"/>
    <n v="35"/>
    <s v="Moderate"/>
    <n v="0"/>
    <n v="4.0800000000000003E-2"/>
    <n v="1.9E-2"/>
    <d v="1900-01-07T02:20:00"/>
  </r>
  <r>
    <n v="1213"/>
    <d v="2020-11-14T10:00:00"/>
    <d v="2020-11-14T00:00:00"/>
    <s v="10:00"/>
    <d v="2020-11-23T12:31:00"/>
    <d v="2020-11-23T00:00:00"/>
    <d v="1899-12-30T12:31:00"/>
    <n v="4"/>
    <x v="2"/>
    <x v="2"/>
    <x v="7"/>
    <n v="70"/>
    <n v="1.82"/>
    <n v="1.01"/>
    <s v="Alive"/>
    <n v="148"/>
    <n v="177"/>
    <n v="94"/>
    <n v="25"/>
    <s v="Poor"/>
    <n v="0"/>
    <n v="1.8200000000000001E-2"/>
    <n v="1.01E-2"/>
    <d v="1900-01-08T02:31:00"/>
  </r>
  <r>
    <n v="1214"/>
    <d v="2020-11-13T13:00:00"/>
    <d v="2020-11-13T00:00:00"/>
    <s v="13:00"/>
    <d v="2020-11-23T14:00:00"/>
    <d v="2020-11-23T00:00:00"/>
    <d v="1899-12-30T14:00:00"/>
    <n v="3"/>
    <x v="1"/>
    <x v="2"/>
    <x v="0"/>
    <n v="77"/>
    <n v="4.8499999999999996"/>
    <n v="1.28"/>
    <s v="Alive"/>
    <n v="97"/>
    <n v="180"/>
    <n v="104"/>
    <n v="29"/>
    <s v="Poor"/>
    <n v="0"/>
    <n v="4.8499999999999995E-2"/>
    <n v="1.2800000000000001E-2"/>
    <d v="1900-01-09T01:00:00"/>
  </r>
  <r>
    <n v="1215"/>
    <d v="2020-11-09T11:00:00"/>
    <d v="2020-11-09T00:00:00"/>
    <s v="11:00"/>
    <d v="2020-11-24T08:00:00"/>
    <d v="2020-11-24T00:00:00"/>
    <d v="1899-12-30T08:00:00"/>
    <n v="4"/>
    <x v="2"/>
    <x v="2"/>
    <x v="4"/>
    <n v="60"/>
    <n v="0.94"/>
    <n v="0.76"/>
    <s v="Alive"/>
    <n v="62"/>
    <n v="170"/>
    <n v="75"/>
    <n v="50"/>
    <s v="Moderate"/>
    <n v="0"/>
    <n v="9.3999999999999986E-3"/>
    <n v="7.6E-3"/>
    <d v="1900-01-13T21:00:00"/>
  </r>
  <r>
    <n v="1216"/>
    <d v="2020-11-23T16:00:00"/>
    <d v="2020-11-23T00:00:00"/>
    <s v="16:00"/>
    <d v="2020-11-24T08:00:00"/>
    <d v="2020-11-24T00:00:00"/>
    <d v="1899-12-30T08:00:00"/>
    <n v="5"/>
    <x v="1"/>
    <x v="0"/>
    <x v="2"/>
    <n v="76"/>
    <n v="9.1199999999999992"/>
    <n v="3.82"/>
    <s v="Alive"/>
    <n v="93"/>
    <n v="166"/>
    <n v="84"/>
    <n v="45"/>
    <s v="Moderate"/>
    <n v="0"/>
    <n v="9.1199999999999989E-2"/>
    <n v="3.8199999999999998E-2"/>
    <d v="1899-12-30T16:00:00"/>
  </r>
  <r>
    <n v="1217"/>
    <d v="2020-11-17T13:00:00"/>
    <d v="2020-11-17T00:00:00"/>
    <s v="13:00"/>
    <d v="2020-11-24T08:15:00"/>
    <d v="2020-11-24T00:00:00"/>
    <d v="1899-12-30T08:15:00"/>
    <n v="1"/>
    <x v="2"/>
    <x v="2"/>
    <x v="8"/>
    <n v="59"/>
    <n v="2.4500000000000002"/>
    <n v="1.29"/>
    <s v="Alive"/>
    <n v="87"/>
    <n v="179"/>
    <n v="85"/>
    <n v="40"/>
    <s v="Moderate"/>
    <n v="0"/>
    <n v="2.4500000000000001E-2"/>
    <n v="1.29E-2"/>
    <d v="1900-01-05T19:15:00"/>
  </r>
  <r>
    <n v="1218"/>
    <d v="2020-11-23T16:00:00"/>
    <d v="2020-11-23T00:00:00"/>
    <s v="16:00"/>
    <d v="2020-11-24T08:18:00"/>
    <d v="2020-11-24T00:00:00"/>
    <d v="1899-12-30T08:18:00"/>
    <n v="6"/>
    <x v="1"/>
    <x v="4"/>
    <x v="3"/>
    <n v="82"/>
    <n v="6.61"/>
    <n v="2.42"/>
    <s v="Alive"/>
    <n v="107"/>
    <n v="159"/>
    <n v="88"/>
    <n v="55"/>
    <s v="Good"/>
    <n v="0"/>
    <n v="6.6100000000000006E-2"/>
    <n v="2.4199999999999999E-2"/>
    <d v="1899-12-30T16:18:00"/>
  </r>
  <r>
    <n v="1219"/>
    <d v="2020-11-24T07:17:00"/>
    <d v="2020-11-24T00:00:00"/>
    <s v="07:17"/>
    <d v="2020-11-24T12:50:00"/>
    <d v="2020-11-24T00:00:00"/>
    <d v="1899-12-30T12:50:00"/>
    <n v="4"/>
    <x v="1"/>
    <x v="3"/>
    <x v="4"/>
    <n v="65"/>
    <n v="5.85"/>
    <n v="4.47"/>
    <s v="Alive"/>
    <n v="83"/>
    <n v="164"/>
    <n v="78"/>
    <n v="70"/>
    <s v="Good"/>
    <n v="0"/>
    <n v="5.8499999999999996E-2"/>
    <n v="4.4699999999999997E-2"/>
    <d v="1899-12-30T05:33:00"/>
  </r>
  <r>
    <n v="1220"/>
    <d v="2020-11-24T07:16:00"/>
    <d v="2020-11-24T00:00:00"/>
    <s v="07:16"/>
    <d v="2020-11-24T13:51:00"/>
    <d v="2020-11-24T00:00:00"/>
    <d v="1899-12-30T13:51:00"/>
    <n v="1"/>
    <x v="1"/>
    <x v="3"/>
    <x v="8"/>
    <n v="63"/>
    <n v="1.96"/>
    <n v="1.04"/>
    <s v="Alive"/>
    <n v="67"/>
    <n v="173"/>
    <n v="102"/>
    <n v="65"/>
    <s v="Good"/>
    <n v="0"/>
    <n v="1.9599999999999999E-2"/>
    <n v="1.04E-2"/>
    <d v="1899-12-30T06:35:00"/>
  </r>
  <r>
    <n v="1221"/>
    <d v="2020-11-18T14:00:00"/>
    <d v="2020-11-18T00:00:00"/>
    <s v="14:00"/>
    <d v="2020-11-24T14:00:00"/>
    <d v="2020-11-24T00:00:00"/>
    <d v="1899-12-30T14:00:00"/>
    <n v="5"/>
    <x v="2"/>
    <x v="0"/>
    <x v="2"/>
    <n v="74"/>
    <n v="8.08"/>
    <n v="2.59"/>
    <s v="Alive"/>
    <n v="93"/>
    <n v="165"/>
    <n v="89"/>
    <n v="60"/>
    <s v="Good"/>
    <n v="0"/>
    <n v="8.0799999999999997E-2"/>
    <n v="2.5899999999999999E-2"/>
    <d v="1900-01-05T00:00:00"/>
  </r>
  <r>
    <n v="1222"/>
    <d v="2020-11-24T06:57:00"/>
    <d v="2020-11-24T00:00:00"/>
    <s v="06:57"/>
    <d v="2020-11-24T14:35:00"/>
    <d v="2020-11-24T00:00:00"/>
    <d v="1899-12-30T14:35:00"/>
    <n v="6"/>
    <x v="1"/>
    <x v="2"/>
    <x v="3"/>
    <n v="77"/>
    <n v="8.1"/>
    <n v="1.8"/>
    <s v="Alive"/>
    <n v="72"/>
    <n v="160"/>
    <n v="82"/>
    <n v="65"/>
    <s v="Good"/>
    <n v="0"/>
    <n v="8.1000000000000003E-2"/>
    <n v="1.8000000000000002E-2"/>
    <d v="1899-12-30T07:38:00"/>
  </r>
  <r>
    <n v="1223"/>
    <d v="2020-11-24T15:00:00"/>
    <d v="2020-11-24T00:00:00"/>
    <s v="15:00"/>
    <d v="2020-11-25T07:53:00"/>
    <d v="2020-11-25T00:00:00"/>
    <d v="1899-12-30T07:53:00"/>
    <n v="5"/>
    <x v="1"/>
    <x v="0"/>
    <x v="2"/>
    <n v="72"/>
    <n v="5.24"/>
    <n v="2.4900000000000002"/>
    <s v="Alive"/>
    <n v="84"/>
    <n v="182"/>
    <n v="82"/>
    <n v="51"/>
    <s v="Good"/>
    <n v="0"/>
    <n v="5.2400000000000002E-2"/>
    <n v="2.4900000000000002E-2"/>
    <d v="1899-12-30T16:53:00"/>
  </r>
  <r>
    <n v="1224"/>
    <d v="2020-11-24T16:00:00"/>
    <d v="2020-11-24T00:00:00"/>
    <s v="16:00"/>
    <d v="2020-11-25T08:00:00"/>
    <d v="2020-11-25T00:00:00"/>
    <d v="1899-12-30T08:00:00"/>
    <n v="4"/>
    <x v="1"/>
    <x v="4"/>
    <x v="1"/>
    <n v="58"/>
    <n v="4.6500000000000004"/>
    <n v="1.64"/>
    <s v="Alive"/>
    <n v="81"/>
    <n v="155"/>
    <n v="70"/>
    <n v="60"/>
    <s v="Good"/>
    <n v="0"/>
    <n v="4.6500000000000007E-2"/>
    <n v="1.6399999999999998E-2"/>
    <d v="1899-12-30T16:00:00"/>
  </r>
  <r>
    <n v="1225"/>
    <d v="2020-11-24T15:50:00"/>
    <d v="2020-11-24T00:00:00"/>
    <s v="15:50"/>
    <d v="2020-11-25T08:28:00"/>
    <d v="2020-11-25T00:00:00"/>
    <d v="1899-12-30T08:28:00"/>
    <n v="1"/>
    <x v="1"/>
    <x v="0"/>
    <x v="6"/>
    <n v="70"/>
    <n v="3.08"/>
    <n v="0.67"/>
    <s v="Alive"/>
    <n v="71"/>
    <n v="170"/>
    <n v="83"/>
    <n v="55"/>
    <s v="Good"/>
    <n v="0"/>
    <n v="3.0800000000000001E-2"/>
    <n v="6.7000000000000002E-3"/>
    <d v="1899-12-30T16:38:00"/>
  </r>
  <r>
    <n v="1226"/>
    <d v="2020-11-24T11:00:00"/>
    <d v="2020-11-24T00:00:00"/>
    <s v="11:00"/>
    <d v="2020-11-25T09:22:00"/>
    <d v="2020-11-25T00:00:00"/>
    <d v="1899-12-30T09:22:00"/>
    <n v="6"/>
    <x v="2"/>
    <x v="2"/>
    <x v="15"/>
    <n v="76"/>
    <n v="2.69"/>
    <n v="1.46"/>
    <s v="Alive"/>
    <n v="65"/>
    <n v="179"/>
    <n v="81"/>
    <n v="65"/>
    <s v="Good"/>
    <n v="0"/>
    <n v="2.69E-2"/>
    <n v="1.46E-2"/>
    <d v="1899-12-30T22:22:00"/>
  </r>
  <r>
    <n v="1227"/>
    <d v="2020-11-25T07:03:00"/>
    <d v="2020-11-25T00:00:00"/>
    <s v="07:03"/>
    <d v="2020-11-25T12:45:00"/>
    <d v="2020-11-25T00:00:00"/>
    <d v="1899-12-30T12:45:00"/>
    <n v="1"/>
    <x v="1"/>
    <x v="0"/>
    <x v="6"/>
    <n v="75"/>
    <n v="4.25"/>
    <n v="1.99"/>
    <s v="Alive"/>
    <n v="69"/>
    <n v="182"/>
    <n v="85"/>
    <n v="55"/>
    <s v="Good"/>
    <n v="0"/>
    <n v="4.2500000000000003E-2"/>
    <n v="1.9900000000000001E-2"/>
    <d v="1899-12-30T05:42:00"/>
  </r>
  <r>
    <n v="1228"/>
    <d v="2020-11-25T07:08:00"/>
    <d v="2020-11-25T00:00:00"/>
    <s v="07:08"/>
    <d v="2020-11-25T14:50:00"/>
    <d v="2020-11-25T00:00:00"/>
    <d v="1899-12-30T14:50:00"/>
    <n v="5"/>
    <x v="1"/>
    <x v="0"/>
    <x v="2"/>
    <n v="73"/>
    <n v="3.74"/>
    <n v="0.73"/>
    <s v="Alive"/>
    <n v="122"/>
    <n v="170"/>
    <n v="80"/>
    <n v="60"/>
    <s v="Good"/>
    <n v="0"/>
    <n v="3.7400000000000003E-2"/>
    <n v="7.3000000000000001E-3"/>
    <d v="1899-12-30T07:42:00"/>
  </r>
  <r>
    <n v="1229"/>
    <d v="2020-11-25T15:50:00"/>
    <d v="2020-11-25T00:00:00"/>
    <s v="15:50"/>
    <d v="2020-11-26T08:10:00"/>
    <d v="2020-11-26T00:00:00"/>
    <d v="1899-12-30T08:10:00"/>
    <n v="4"/>
    <x v="1"/>
    <x v="0"/>
    <x v="1"/>
    <n v="73"/>
    <n v="3.74"/>
    <n v="0.81"/>
    <s v="Alive"/>
    <n v="83"/>
    <n v="93"/>
    <n v="185"/>
    <n v="20"/>
    <s v="Very Poor"/>
    <n v="0"/>
    <n v="3.7400000000000003E-2"/>
    <n v="8.1000000000000013E-3"/>
    <d v="1899-12-30T16:20:00"/>
  </r>
  <r>
    <n v="1230"/>
    <d v="2020-11-25T16:00:00"/>
    <d v="2020-11-25T00:00:00"/>
    <s v="16:00"/>
    <d v="2020-11-26T08:14:00"/>
    <d v="2020-11-26T00:00:00"/>
    <d v="1899-12-30T08:14:00"/>
    <n v="5"/>
    <x v="1"/>
    <x v="3"/>
    <x v="11"/>
    <n v="71"/>
    <n v="5.54"/>
    <n v="1.85"/>
    <s v="Alive"/>
    <n v="95"/>
    <n v="173"/>
    <n v="99"/>
    <n v="55"/>
    <s v="Good"/>
    <n v="0"/>
    <n v="5.5399999999999998E-2"/>
    <n v="1.8500000000000003E-2"/>
    <d v="1899-12-30T16:14:00"/>
  </r>
  <r>
    <n v="1231"/>
    <d v="2020-11-25T15:50:00"/>
    <d v="2020-11-25T00:00:00"/>
    <s v="15:50"/>
    <d v="2020-11-26T08:15:00"/>
    <d v="2020-11-26T00:00:00"/>
    <d v="1899-12-30T08:15:00"/>
    <n v="1"/>
    <x v="1"/>
    <x v="4"/>
    <x v="10"/>
    <n v="52"/>
    <n v="4.6500000000000004"/>
    <n v="2.2000000000000002"/>
    <s v="Alive"/>
    <n v="120"/>
    <n v="167"/>
    <n v="73"/>
    <n v="60"/>
    <s v="Good"/>
    <n v="0"/>
    <n v="4.6500000000000007E-2"/>
    <n v="2.2000000000000002E-2"/>
    <d v="1899-12-30T16:25:00"/>
  </r>
  <r>
    <n v="1232"/>
    <d v="2020-11-26T06:55:00"/>
    <d v="2020-11-26T00:00:00"/>
    <s v="06:55"/>
    <d v="2020-11-26T13:50:00"/>
    <d v="2020-11-26T00:00:00"/>
    <d v="1899-12-30T13:50:00"/>
    <n v="1"/>
    <x v="1"/>
    <x v="2"/>
    <x v="10"/>
    <n v="73"/>
    <n v="2.21"/>
    <n v="0.97"/>
    <s v="Alive"/>
    <n v="66"/>
    <n v="177"/>
    <n v="94"/>
    <n v="41"/>
    <s v="Moderate"/>
    <n v="0"/>
    <n v="2.2099999999999998E-2"/>
    <n v="9.7000000000000003E-3"/>
    <d v="1899-12-30T06:55:00"/>
  </r>
  <r>
    <n v="1233"/>
    <d v="2020-11-20T12:06:00"/>
    <d v="2020-11-20T00:00:00"/>
    <s v="12:06"/>
    <d v="2020-11-26T13:58:00"/>
    <d v="2020-11-26T00:00:00"/>
    <d v="1899-12-30T13:58:00"/>
    <n v="5"/>
    <x v="2"/>
    <x v="2"/>
    <x v="11"/>
    <n v="81"/>
    <n v="7.53"/>
    <n v="3.49"/>
    <s v="Alive"/>
    <n v="66"/>
    <n v="172"/>
    <n v="92"/>
    <n v="58"/>
    <s v="Good"/>
    <n v="0"/>
    <n v="7.5300000000000006E-2"/>
    <n v="3.49E-2"/>
    <d v="1900-01-05T01:52:00"/>
  </r>
  <r>
    <n v="1234"/>
    <d v="2020-11-25T16:00:00"/>
    <d v="2020-11-25T00:00:00"/>
    <s v="16:00"/>
    <d v="2020-11-26T14:18:00"/>
    <d v="2020-11-26T00:00:00"/>
    <d v="1899-12-30T14:18:00"/>
    <n v="4"/>
    <x v="1"/>
    <x v="4"/>
    <x v="1"/>
    <n v="62"/>
    <n v="7.65"/>
    <n v="3.86"/>
    <s v="Alive"/>
    <n v="100"/>
    <n v="172"/>
    <n v="85"/>
    <n v="60"/>
    <s v="Good"/>
    <n v="0"/>
    <n v="7.6499999999999999E-2"/>
    <n v="3.8599999999999995E-2"/>
    <d v="1899-12-30T22:18:00"/>
  </r>
  <r>
    <n v="1235"/>
    <d v="2020-11-25T15:06:00"/>
    <d v="2020-11-25T00:00:00"/>
    <s v="15:06"/>
    <d v="2020-11-26T16:54:00"/>
    <d v="2020-11-26T00:00:00"/>
    <d v="1899-12-30T16:54:00"/>
    <n v="3"/>
    <x v="0"/>
    <x v="1"/>
    <x v="6"/>
    <n v="60"/>
    <n v="42.86"/>
    <n v="49.48"/>
    <s v="Died"/>
    <n v="73"/>
    <n v="170"/>
    <n v="123"/>
    <n v="45"/>
    <s v="Moderate"/>
    <n v="1"/>
    <n v="0.42859999999999998"/>
    <n v="0.49479999999999996"/>
    <d v="1899-12-31T01:48:00"/>
  </r>
  <r>
    <n v="1236"/>
    <d v="2020-11-27T07:11:00"/>
    <d v="2020-11-27T00:00:00"/>
    <s v="07:11"/>
    <d v="2020-11-27T09:21:00"/>
    <d v="2020-11-27T00:00:00"/>
    <d v="1899-12-30T09:21:00"/>
    <n v="1"/>
    <x v="0"/>
    <x v="4"/>
    <x v="1"/>
    <n v="78"/>
    <n v="26.07"/>
    <n v="5.35"/>
    <s v="Alive"/>
    <n v="72"/>
    <n v="170"/>
    <n v="76"/>
    <n v="47"/>
    <s v="Moderate"/>
    <n v="0"/>
    <n v="0.26069999999999999"/>
    <n v="5.3499999999999999E-2"/>
    <d v="1899-12-30T02:10:00"/>
  </r>
  <r>
    <n v="1237"/>
    <d v="2020-11-26T11:00:00"/>
    <d v="2020-11-26T00:00:00"/>
    <s v="11:00"/>
    <d v="2020-11-27T12:20:00"/>
    <d v="2020-11-27T00:00:00"/>
    <d v="1899-12-30T12:20:00"/>
    <n v="3"/>
    <x v="2"/>
    <x v="2"/>
    <x v="0"/>
    <n v="76"/>
    <n v="4.6399999999999997"/>
    <n v="1.35"/>
    <s v="Alive"/>
    <n v="100"/>
    <n v="160"/>
    <n v="87"/>
    <n v="55"/>
    <s v="Good"/>
    <n v="0"/>
    <n v="4.6399999999999997E-2"/>
    <n v="1.3500000000000002E-2"/>
    <d v="1899-12-31T01:20:00"/>
  </r>
  <r>
    <n v="1238"/>
    <d v="2020-11-26T11:00:00"/>
    <d v="2020-11-26T00:00:00"/>
    <s v="11:00"/>
    <d v="2020-11-27T12:21:00"/>
    <d v="2020-11-27T00:00:00"/>
    <d v="1899-12-30T12:21:00"/>
    <n v="4"/>
    <x v="2"/>
    <x v="3"/>
    <x v="15"/>
    <n v="76"/>
    <n v="16.940000000000001"/>
    <n v="7.94"/>
    <s v="Alive"/>
    <n v="117"/>
    <n v="180"/>
    <n v="98"/>
    <n v="47"/>
    <s v="Moderate"/>
    <n v="0"/>
    <n v="0.16940000000000002"/>
    <n v="7.9399999999999998E-2"/>
    <d v="1899-12-31T01:21:00"/>
  </r>
  <r>
    <n v="1239"/>
    <d v="2020-11-27T16:00:00"/>
    <d v="2020-11-27T00:00:00"/>
    <s v="16:00"/>
    <d v="2020-11-28T08:09:00"/>
    <d v="2020-11-28T00:00:00"/>
    <d v="1899-12-30T08:09:00"/>
    <n v="5"/>
    <x v="1"/>
    <x v="0"/>
    <x v="8"/>
    <n v="34"/>
    <n v="2.08"/>
    <n v="0.62"/>
    <s v="Alive"/>
    <n v="69"/>
    <n v="172"/>
    <n v="79"/>
    <n v="42"/>
    <s v="Moderate"/>
    <n v="0"/>
    <n v="2.0799999999999999E-2"/>
    <n v="6.1999999999999998E-3"/>
    <d v="1899-12-30T16:09:00"/>
  </r>
  <r>
    <n v="1240"/>
    <d v="2020-11-28T07:00:00"/>
    <d v="2020-11-28T00:00:00"/>
    <s v="07:00"/>
    <d v="2020-11-28T13:00:00"/>
    <d v="2020-11-28T00:00:00"/>
    <d v="1899-12-30T13:00:00"/>
    <n v="5"/>
    <x v="1"/>
    <x v="0"/>
    <x v="8"/>
    <n v="88"/>
    <n v="9.5500000000000007"/>
    <n v="3.43"/>
    <s v="Alive"/>
    <n v="89"/>
    <n v="180"/>
    <n v="80"/>
    <n v="60"/>
    <s v="Good"/>
    <n v="0"/>
    <n v="9.5500000000000002E-2"/>
    <n v="3.4300000000000004E-2"/>
    <d v="1899-12-30T06:00:00"/>
  </r>
  <r>
    <n v="1241"/>
    <d v="2020-11-29T13:47:00"/>
    <d v="2020-11-29T00:00:00"/>
    <s v="13:47"/>
    <d v="2020-11-30T08:05:00"/>
    <d v="2020-11-30T00:00:00"/>
    <d v="1899-12-30T08:05:00"/>
    <n v="1"/>
    <x v="1"/>
    <x v="3"/>
    <x v="6"/>
    <n v="74"/>
    <n v="6.37"/>
    <n v="1.71"/>
    <s v="Alive"/>
    <n v="81"/>
    <n v="166"/>
    <n v="75"/>
    <n v="45"/>
    <s v="Moderate"/>
    <n v="0"/>
    <n v="6.3700000000000007E-2"/>
    <n v="1.7100000000000001E-2"/>
    <d v="1899-12-30T18:18:00"/>
  </r>
  <r>
    <n v="1242"/>
    <d v="2020-11-29T16:00:00"/>
    <d v="2020-11-29T00:00:00"/>
    <s v="16:00"/>
    <d v="2020-11-30T08:13:00"/>
    <d v="2020-11-30T00:00:00"/>
    <d v="1899-12-30T08:13:00"/>
    <n v="5"/>
    <x v="1"/>
    <x v="3"/>
    <x v="11"/>
    <n v="77"/>
    <n v="19.57"/>
    <n v="5.69"/>
    <s v="Alive"/>
    <n v="89"/>
    <n v="168"/>
    <n v="78"/>
    <n v="45"/>
    <s v="Moderate"/>
    <n v="0"/>
    <n v="0.19570000000000001"/>
    <n v="5.6900000000000006E-2"/>
    <d v="1899-12-30T16:13:00"/>
  </r>
  <r>
    <n v="1243"/>
    <d v="2020-11-29T15:00:00"/>
    <d v="2020-11-29T00:00:00"/>
    <s v="15:00"/>
    <d v="2020-11-30T08:29:00"/>
    <d v="2020-11-30T00:00:00"/>
    <d v="1899-12-30T08:29:00"/>
    <n v="6"/>
    <x v="1"/>
    <x v="4"/>
    <x v="1"/>
    <n v="73"/>
    <n v="11.02"/>
    <n v="2.37"/>
    <s v="Alive"/>
    <n v="87"/>
    <n v="166"/>
    <n v="79"/>
    <n v="60"/>
    <s v="Good"/>
    <n v="0"/>
    <n v="0.11019999999999999"/>
    <n v="2.3700000000000002E-2"/>
    <d v="1899-12-30T17:29:00"/>
  </r>
  <r>
    <n v="1244"/>
    <d v="2020-11-26T16:00:00"/>
    <d v="2020-11-26T00:00:00"/>
    <s v="16:00"/>
    <d v="2020-11-30T14:42:00"/>
    <d v="2020-11-30T00:00:00"/>
    <d v="1899-12-30T14:42:00"/>
    <n v="5"/>
    <x v="1"/>
    <x v="0"/>
    <x v="16"/>
    <n v="79"/>
    <n v="33.74"/>
    <n v="17.02"/>
    <s v="Died"/>
    <n v="63"/>
    <n v="173"/>
    <n v="73"/>
    <n v="87"/>
    <s v="Good"/>
    <n v="1"/>
    <n v="0.33740000000000003"/>
    <n v="0.17019999999999999"/>
    <d v="1900-01-02T22:42:00"/>
  </r>
  <r>
    <n v="1245"/>
    <d v="2020-11-30T16:18:00"/>
    <d v="2020-11-30T00:00:00"/>
    <s v="16:18"/>
    <d v="2020-12-01T07:55:00"/>
    <d v="2020-12-01T00:00:00"/>
    <d v="1899-12-30T07:55:00"/>
    <n v="1"/>
    <x v="1"/>
    <x v="2"/>
    <x v="3"/>
    <n v="71"/>
    <n v="2.92"/>
    <n v="1.4"/>
    <s v="Alive"/>
    <n v="107"/>
    <n v="179"/>
    <n v="111"/>
    <n v="55"/>
    <s v="Good"/>
    <n v="0"/>
    <n v="2.92E-2"/>
    <n v="1.3999999999999999E-2"/>
    <d v="1899-12-30T15:37:00"/>
  </r>
  <r>
    <n v="1246"/>
    <d v="2020-11-28T13:00:00"/>
    <d v="2020-11-28T00:00:00"/>
    <s v="13:00"/>
    <d v="2020-12-01T08:10:00"/>
    <d v="2020-12-01T00:00:00"/>
    <d v="1899-12-30T08:10:00"/>
    <n v="5"/>
    <x v="1"/>
    <x v="3"/>
    <x v="2"/>
    <n v="77"/>
    <n v="8.9"/>
    <n v="8.35"/>
    <s v="Alive"/>
    <n v="103"/>
    <n v="180"/>
    <n v="96"/>
    <n v="60"/>
    <s v="Good"/>
    <n v="0"/>
    <n v="8.900000000000001E-2"/>
    <n v="8.3499999999999991E-2"/>
    <d v="1900-01-01T19:10:00"/>
  </r>
  <r>
    <n v="1247"/>
    <d v="2020-11-29T14:00:00"/>
    <d v="2020-11-29T00:00:00"/>
    <s v="14:00"/>
    <d v="2020-12-01T08:25:00"/>
    <d v="2020-12-01T00:00:00"/>
    <d v="1899-12-30T08:25:00"/>
    <n v="4"/>
    <x v="2"/>
    <x v="3"/>
    <x v="4"/>
    <n v="62"/>
    <n v="4.84"/>
    <n v="10.3"/>
    <s v="Alive"/>
    <n v="91"/>
    <n v="149"/>
    <n v="48"/>
    <n v="55"/>
    <s v="Good"/>
    <n v="0"/>
    <n v="4.8399999999999999E-2"/>
    <n v="0.10300000000000001"/>
    <d v="1899-12-31T18:25:00"/>
  </r>
  <r>
    <n v="1248"/>
    <d v="2020-11-29T09:32:00"/>
    <d v="2020-11-29T00:00:00"/>
    <s v="09:32"/>
    <d v="2020-12-01T14:08:00"/>
    <d v="2020-12-01T00:00:00"/>
    <d v="1899-12-30T14:08:00"/>
    <n v="1"/>
    <x v="2"/>
    <x v="2"/>
    <x v="3"/>
    <n v="69"/>
    <n v="9.3800000000000008"/>
    <n v="2.79"/>
    <s v="Alive"/>
    <n v="82"/>
    <n v="162"/>
    <n v="66"/>
    <n v="50"/>
    <s v="Moderate"/>
    <n v="0"/>
    <n v="9.3800000000000008E-2"/>
    <n v="2.7900000000000001E-2"/>
    <d v="1900-01-01T04:36:00"/>
  </r>
  <r>
    <n v="1249"/>
    <d v="2020-12-01T07:00:00"/>
    <d v="2020-12-01T00:00:00"/>
    <s v="07:00"/>
    <d v="2020-12-01T15:43:00"/>
    <d v="2020-12-01T00:00:00"/>
    <d v="1899-12-30T15:43:00"/>
    <n v="5"/>
    <x v="1"/>
    <x v="0"/>
    <x v="2"/>
    <n v="52"/>
    <n v="1.51"/>
    <n v="0.56000000000000005"/>
    <s v="Alive"/>
    <n v="113"/>
    <n v="163"/>
    <n v="53"/>
    <n v="60"/>
    <s v="Good"/>
    <n v="0"/>
    <n v="1.5100000000000001E-2"/>
    <n v="5.6000000000000008E-3"/>
    <d v="1899-12-30T08:43:00"/>
  </r>
  <r>
    <n v="1250"/>
    <d v="2020-12-01T15:46:00"/>
    <d v="2020-12-01T00:00:00"/>
    <s v="15:46"/>
    <d v="2020-12-02T08:00:00"/>
    <d v="2020-12-02T00:00:00"/>
    <d v="1899-12-30T08:00:00"/>
    <n v="4"/>
    <x v="1"/>
    <x v="0"/>
    <x v="8"/>
    <n v="76"/>
    <n v="2.69"/>
    <n v="0.78"/>
    <s v="Alive"/>
    <n v="91"/>
    <n v="177"/>
    <n v="111"/>
    <n v="33"/>
    <s v="Moderate"/>
    <n v="0"/>
    <n v="2.69E-2"/>
    <n v="7.8000000000000005E-3"/>
    <d v="1899-12-30T16:14:00"/>
  </r>
  <r>
    <n v="1251"/>
    <d v="2020-11-19T12:00:00"/>
    <d v="2020-11-19T00:00:00"/>
    <s v="12:00"/>
    <d v="2020-12-02T08:21:00"/>
    <d v="2020-12-02T00:00:00"/>
    <d v="1899-12-30T08:21:00"/>
    <n v="1"/>
    <x v="1"/>
    <x v="4"/>
    <x v="16"/>
    <n v="55"/>
    <n v="15.6"/>
    <n v="8.85"/>
    <s v="Alive"/>
    <n v="93"/>
    <n v="157"/>
    <n v="81"/>
    <n v="55"/>
    <s v="Good"/>
    <n v="0"/>
    <n v="0.156"/>
    <n v="8.8499999999999995E-2"/>
    <d v="1900-01-11T20:21:00"/>
  </r>
  <r>
    <n v="1252"/>
    <d v="2020-12-01T13:30:00"/>
    <d v="2020-12-01T00:00:00"/>
    <s v="13:30"/>
    <d v="2020-12-02T09:00:00"/>
    <d v="2020-12-02T00:00:00"/>
    <d v="1899-12-30T09:00:00"/>
    <n v="5"/>
    <x v="2"/>
    <x v="2"/>
    <x v="2"/>
    <n v="77"/>
    <n v="2.87"/>
    <n v="1.5"/>
    <s v="Alive"/>
    <n v="73"/>
    <n v="183"/>
    <n v="54"/>
    <n v="60"/>
    <s v="Good"/>
    <n v="0"/>
    <n v="2.87E-2"/>
    <n v="1.4999999999999999E-2"/>
    <d v="1899-12-30T19:30:00"/>
  </r>
  <r>
    <n v="1253"/>
    <d v="2020-12-02T07:00:00"/>
    <d v="2020-12-02T00:00:00"/>
    <s v="07:00"/>
    <d v="2020-12-02T14:20:00"/>
    <d v="2020-12-02T00:00:00"/>
    <d v="1899-12-30T14:20:00"/>
    <n v="5"/>
    <x v="1"/>
    <x v="0"/>
    <x v="2"/>
    <n v="69"/>
    <n v="2.89"/>
    <n v="3.19"/>
    <s v="Alive"/>
    <n v="74"/>
    <n v="174"/>
    <n v="80"/>
    <n v="60"/>
    <s v="Good"/>
    <n v="0"/>
    <n v="2.8900000000000002E-2"/>
    <n v="3.1899999999999998E-2"/>
    <d v="1899-12-30T07:20:00"/>
  </r>
  <r>
    <n v="1254"/>
    <d v="2020-12-01T13:31:00"/>
    <d v="2020-12-01T00:00:00"/>
    <s v="13:31"/>
    <d v="2020-12-02T14:40:00"/>
    <d v="2020-12-02T00:00:00"/>
    <d v="1899-12-30T14:40:00"/>
    <n v="4"/>
    <x v="1"/>
    <x v="0"/>
    <x v="8"/>
    <n v="77"/>
    <n v="2.87"/>
    <n v="0.9"/>
    <s v="Alive"/>
    <n v="80"/>
    <n v="170"/>
    <n v="96"/>
    <n v="60"/>
    <s v="Good"/>
    <n v="0"/>
    <n v="2.87E-2"/>
    <n v="9.0000000000000011E-3"/>
    <d v="1899-12-31T01:09:00"/>
  </r>
  <r>
    <n v="1255"/>
    <d v="2020-12-02T14:49:00"/>
    <d v="2020-12-02T00:00:00"/>
    <s v="14:49"/>
    <d v="2020-12-03T08:00:00"/>
    <d v="2020-12-03T00:00:00"/>
    <d v="1899-12-30T08:00:00"/>
    <n v="1"/>
    <x v="1"/>
    <x v="0"/>
    <x v="1"/>
    <n v="53"/>
    <n v="1.43"/>
    <n v="0.81"/>
    <s v="Alive"/>
    <n v="119"/>
    <n v="181"/>
    <n v="82"/>
    <n v="55"/>
    <s v="Good"/>
    <n v="0"/>
    <n v="1.43E-2"/>
    <n v="8.1000000000000013E-3"/>
    <d v="1899-12-30T17:11:00"/>
  </r>
  <r>
    <n v="1256"/>
    <d v="2020-11-24T09:35:00"/>
    <d v="2020-11-24T00:00:00"/>
    <s v="09:35"/>
    <d v="2020-12-03T08:00:00"/>
    <d v="2020-12-03T00:00:00"/>
    <d v="1899-12-30T08:00:00"/>
    <n v="4"/>
    <x v="2"/>
    <x v="2"/>
    <x v="7"/>
    <n v="80"/>
    <n v="5.85"/>
    <n v="1.38"/>
    <s v="Alive"/>
    <n v="65"/>
    <n v="151"/>
    <n v="53"/>
    <n v="65"/>
    <s v="Good"/>
    <n v="0"/>
    <n v="5.8499999999999996E-2"/>
    <n v="1.38E-2"/>
    <d v="1900-01-07T22:25:00"/>
  </r>
  <r>
    <n v="1257"/>
    <d v="2020-12-02T15:34:00"/>
    <d v="2020-12-02T00:00:00"/>
    <s v="15:34"/>
    <d v="2020-12-03T08:09:00"/>
    <d v="2020-12-03T00:00:00"/>
    <d v="1899-12-30T08:09:00"/>
    <n v="3"/>
    <x v="1"/>
    <x v="0"/>
    <x v="6"/>
    <n v="74"/>
    <n v="12.58"/>
    <n v="2.2799999999999998"/>
    <s v="Alive"/>
    <n v="90"/>
    <n v="174"/>
    <n v="80"/>
    <n v="29"/>
    <s v="Poor"/>
    <n v="0"/>
    <n v="0.1258"/>
    <n v="2.2799999999999997E-2"/>
    <d v="1899-12-30T16:35:00"/>
  </r>
  <r>
    <n v="1258"/>
    <d v="2020-12-01T13:00:00"/>
    <d v="2020-12-01T00:00:00"/>
    <s v="13:00"/>
    <d v="2020-12-03T08:10:00"/>
    <d v="2020-12-03T00:00:00"/>
    <d v="1899-12-30T08:10:00"/>
    <n v="5"/>
    <x v="2"/>
    <x v="2"/>
    <x v="11"/>
    <n v="70"/>
    <n v="4.26"/>
    <n v="1.98"/>
    <s v="Alive"/>
    <n v="80"/>
    <n v="166"/>
    <n v="70"/>
    <n v="68"/>
    <s v="Good"/>
    <n v="0"/>
    <n v="4.2599999999999999E-2"/>
    <n v="1.9799999999999998E-2"/>
    <d v="1899-12-31T19:10:00"/>
  </r>
  <r>
    <n v="1259"/>
    <d v="2020-12-03T07:20:00"/>
    <d v="2020-12-03T00:00:00"/>
    <s v="07:20"/>
    <d v="2020-12-03T13:04:00"/>
    <d v="2020-12-03T00:00:00"/>
    <d v="1899-12-30T13:04:00"/>
    <n v="1"/>
    <x v="1"/>
    <x v="2"/>
    <x v="1"/>
    <n v="62"/>
    <n v="1.07"/>
    <n v="0.59"/>
    <s v="Alive"/>
    <n v="77"/>
    <n v="160"/>
    <n v="64"/>
    <n v="35"/>
    <s v="Moderate"/>
    <n v="0"/>
    <n v="1.0700000000000001E-2"/>
    <n v="5.8999999999999999E-3"/>
    <d v="1899-12-30T05:44:00"/>
  </r>
  <r>
    <n v="1260"/>
    <d v="2020-12-03T16:01:00"/>
    <d v="2020-12-03T00:00:00"/>
    <s v="16:01"/>
    <d v="2020-12-04T08:00:00"/>
    <d v="2020-12-04T00:00:00"/>
    <d v="1899-12-30T08:00:00"/>
    <n v="5"/>
    <x v="1"/>
    <x v="3"/>
    <x v="8"/>
    <n v="78"/>
    <n v="3.06"/>
    <n v="1.31"/>
    <s v="Alive"/>
    <n v="82"/>
    <n v="160"/>
    <n v="87"/>
    <n v="49"/>
    <s v="Moderate"/>
    <n v="0"/>
    <n v="3.0600000000000002E-2"/>
    <n v="1.3100000000000001E-2"/>
    <d v="1899-12-30T15:59:00"/>
  </r>
  <r>
    <n v="1261"/>
    <d v="2020-12-03T16:08:00"/>
    <d v="2020-12-03T00:00:00"/>
    <s v="16:08"/>
    <d v="2020-12-04T08:10:00"/>
    <d v="2020-12-04T00:00:00"/>
    <d v="1899-12-30T08:10:00"/>
    <n v="1"/>
    <x v="1"/>
    <x v="2"/>
    <x v="16"/>
    <n v="65"/>
    <n v="3.2"/>
    <n v="1.28"/>
    <s v="Alive"/>
    <n v="79"/>
    <n v="153"/>
    <n v="59"/>
    <n v="43"/>
    <s v="Moderate"/>
    <n v="0"/>
    <n v="3.2000000000000001E-2"/>
    <n v="1.2800000000000001E-2"/>
    <d v="1899-12-30T16:02:00"/>
  </r>
  <r>
    <n v="1262"/>
    <d v="2020-11-27T10:18:00"/>
    <d v="2020-11-27T00:00:00"/>
    <s v="10:18"/>
    <d v="2020-12-04T08:18:00"/>
    <d v="2020-12-04T00:00:00"/>
    <d v="1899-12-30T08:18:00"/>
    <n v="3"/>
    <x v="2"/>
    <x v="2"/>
    <x v="13"/>
    <n v="41"/>
    <n v="1.51"/>
    <n v="0.89"/>
    <s v="Alive"/>
    <n v="87"/>
    <n v="169"/>
    <n v="75"/>
    <n v="44"/>
    <s v="Moderate"/>
    <n v="0"/>
    <n v="1.5100000000000001E-2"/>
    <n v="8.8999999999999999E-3"/>
    <d v="1900-01-05T22:00:00"/>
  </r>
  <r>
    <n v="1263"/>
    <d v="2020-12-03T13:38:00"/>
    <d v="2020-12-03T00:00:00"/>
    <s v="13:38"/>
    <d v="2020-12-04T11:32:00"/>
    <d v="2020-12-04T00:00:00"/>
    <d v="1899-12-30T11:32:00"/>
    <n v="6"/>
    <x v="1"/>
    <x v="2"/>
    <x v="7"/>
    <n v="69"/>
    <n v="3.23"/>
    <n v="1.22"/>
    <s v="Alive"/>
    <n v="87"/>
    <n v="170"/>
    <n v="88"/>
    <n v="66"/>
    <s v="Good"/>
    <n v="0"/>
    <n v="3.2300000000000002E-2"/>
    <n v="1.2199999999999999E-2"/>
    <d v="1899-12-30T21:54:00"/>
  </r>
  <r>
    <n v="1264"/>
    <d v="2020-12-02T12:53:00"/>
    <d v="2020-12-02T00:00:00"/>
    <s v="12:53"/>
    <d v="2020-12-04T13:51:00"/>
    <d v="2020-12-04T00:00:00"/>
    <d v="1899-12-30T13:51:00"/>
    <n v="3"/>
    <x v="2"/>
    <x v="2"/>
    <x v="13"/>
    <n v="73"/>
    <n v="5.6"/>
    <n v="1.58"/>
    <s v="Alive"/>
    <n v="105"/>
    <n v="176"/>
    <n v="70"/>
    <n v="66"/>
    <s v="Good"/>
    <n v="0"/>
    <n v="5.5999999999999994E-2"/>
    <n v="1.5800000000000002E-2"/>
    <d v="1900-01-01T00:58:00"/>
  </r>
  <r>
    <n v="1265"/>
    <d v="2020-12-02T10:18:00"/>
    <d v="2020-12-02T00:00:00"/>
    <s v="10:18"/>
    <d v="2020-12-04T14:40:00"/>
    <d v="2020-12-04T00:00:00"/>
    <d v="1899-12-30T14:40:00"/>
    <n v="1"/>
    <x v="1"/>
    <x v="2"/>
    <x v="16"/>
    <n v="62"/>
    <n v="1.07"/>
    <n v="0.71"/>
    <s v="Alive"/>
    <n v="68"/>
    <n v="160"/>
    <n v="80"/>
    <n v="52"/>
    <s v="Good"/>
    <n v="0"/>
    <n v="1.0700000000000001E-2"/>
    <n v="7.0999999999999995E-3"/>
    <d v="1900-01-01T04:22:00"/>
  </r>
  <r>
    <n v="1266"/>
    <d v="2020-12-04T07:11:00"/>
    <d v="2020-12-04T00:00:00"/>
    <s v="07:11"/>
    <d v="2020-12-04T14:51:00"/>
    <d v="2020-12-04T00:00:00"/>
    <d v="1899-12-30T14:51:00"/>
    <n v="5"/>
    <x v="1"/>
    <x v="0"/>
    <x v="8"/>
    <n v="67"/>
    <n v="2.06"/>
    <n v="1.37"/>
    <s v="Alive"/>
    <n v="85"/>
    <n v="185"/>
    <n v="109"/>
    <n v="49"/>
    <s v="Moderate"/>
    <n v="0"/>
    <n v="2.06E-2"/>
    <n v="1.37E-2"/>
    <d v="1899-12-30T07:40:00"/>
  </r>
  <r>
    <n v="1267"/>
    <d v="2020-12-04T15:36:00"/>
    <d v="2020-12-04T00:00:00"/>
    <s v="15:36"/>
    <d v="2020-12-05T08:05:00"/>
    <d v="2020-12-05T00:00:00"/>
    <d v="1899-12-30T08:05:00"/>
    <n v="4"/>
    <x v="1"/>
    <x v="4"/>
    <x v="16"/>
    <n v="54"/>
    <n v="6.35"/>
    <n v="2.27"/>
    <s v="Alive"/>
    <n v="76"/>
    <n v="171"/>
    <n v="72"/>
    <n v="60"/>
    <s v="Good"/>
    <n v="0"/>
    <n v="6.3500000000000001E-2"/>
    <n v="2.2700000000000001E-2"/>
    <d v="1899-12-30T16:29:00"/>
  </r>
  <r>
    <n v="1268"/>
    <d v="2020-12-04T13:06:00"/>
    <d v="2020-12-04T00:00:00"/>
    <s v="13:06"/>
    <d v="2020-12-05T08:10:00"/>
    <d v="2020-12-05T00:00:00"/>
    <d v="1899-12-30T08:10:00"/>
    <n v="5"/>
    <x v="1"/>
    <x v="2"/>
    <x v="10"/>
    <n v="77"/>
    <n v="2.87"/>
    <n v="0.81"/>
    <s v="Alive"/>
    <n v="69"/>
    <n v="167"/>
    <n v="74"/>
    <n v="15"/>
    <s v="Very Poor"/>
    <n v="0"/>
    <n v="2.87E-2"/>
    <n v="8.1000000000000013E-3"/>
    <d v="1899-12-30T19:04:00"/>
  </r>
  <r>
    <n v="1269"/>
    <d v="2020-12-06T16:00:00"/>
    <d v="2020-12-06T00:00:00"/>
    <s v="16:00"/>
    <d v="2020-12-07T08:13:00"/>
    <d v="2020-12-07T00:00:00"/>
    <d v="1899-12-30T08:13:00"/>
    <n v="4"/>
    <x v="1"/>
    <x v="4"/>
    <x v="1"/>
    <n v="75"/>
    <n v="18.82"/>
    <n v="7.91"/>
    <s v="Alive"/>
    <n v="63"/>
    <n v="165"/>
    <n v="75"/>
    <n v="55"/>
    <s v="Good"/>
    <n v="0"/>
    <n v="0.18820000000000001"/>
    <n v="7.9100000000000004E-2"/>
    <d v="1899-12-30T16:13:00"/>
  </r>
  <r>
    <n v="1270"/>
    <d v="2020-12-06T15:50:00"/>
    <d v="2020-12-06T00:00:00"/>
    <s v="15:50"/>
    <d v="2020-12-07T08:14:00"/>
    <d v="2020-12-07T00:00:00"/>
    <d v="1899-12-30T08:14:00"/>
    <n v="5"/>
    <x v="1"/>
    <x v="2"/>
    <x v="11"/>
    <n v="49"/>
    <n v="2.2799999999999998"/>
    <n v="0.89"/>
    <s v="Alive"/>
    <n v="75"/>
    <n v="184"/>
    <n v="88"/>
    <n v="40"/>
    <s v="Moderate"/>
    <n v="0"/>
    <n v="2.2799999999999997E-2"/>
    <n v="8.8999999999999999E-3"/>
    <d v="1899-12-30T16:24:00"/>
  </r>
  <r>
    <n v="1271"/>
    <d v="2020-12-05T11:20:00"/>
    <d v="2020-12-05T00:00:00"/>
    <s v="11:20"/>
    <d v="2020-12-07T08:25:00"/>
    <d v="2020-12-07T00:00:00"/>
    <d v="1899-12-30T08:25:00"/>
    <n v="1"/>
    <x v="2"/>
    <x v="3"/>
    <x v="6"/>
    <n v="85"/>
    <n v="55.81"/>
    <n v="20.329999999999998"/>
    <s v="Alive"/>
    <n v="181"/>
    <n v="166"/>
    <n v="83"/>
    <n v="60"/>
    <s v="Good"/>
    <n v="0"/>
    <n v="0.55810000000000004"/>
    <n v="0.20329999999999998"/>
    <d v="1899-12-31T21:05:00"/>
  </r>
  <r>
    <n v="1272"/>
    <d v="2020-12-06T13:00:00"/>
    <d v="2020-12-06T00:00:00"/>
    <s v="13:00"/>
    <d v="2020-12-07T12:20:00"/>
    <d v="2020-12-07T00:00:00"/>
    <d v="1899-12-30T12:20:00"/>
    <n v="4"/>
    <x v="1"/>
    <x v="2"/>
    <x v="1"/>
    <n v="72"/>
    <n v="5.64"/>
    <n v="1.33"/>
    <s v="Alive"/>
    <n v="65"/>
    <n v="165"/>
    <n v="80"/>
    <n v="55"/>
    <s v="Good"/>
    <n v="0"/>
    <n v="5.6399999999999999E-2"/>
    <n v="1.3300000000000001E-2"/>
    <d v="1899-12-30T23:20:00"/>
  </r>
  <r>
    <n v="1273"/>
    <d v="2020-12-07T07:10:00"/>
    <d v="2020-12-07T00:00:00"/>
    <s v="07:10"/>
    <d v="2020-12-07T14:02:00"/>
    <d v="2020-12-07T00:00:00"/>
    <d v="1899-12-30T14:02:00"/>
    <n v="1"/>
    <x v="1"/>
    <x v="0"/>
    <x v="6"/>
    <n v="61"/>
    <n v="1.72"/>
    <n v="0.89"/>
    <s v="Alive"/>
    <n v="91"/>
    <n v="164"/>
    <n v="76"/>
    <n v="60"/>
    <s v="Good"/>
    <n v="0"/>
    <n v="1.72E-2"/>
    <n v="8.8999999999999999E-3"/>
    <d v="1899-12-30T06:52:00"/>
  </r>
  <r>
    <n v="1274"/>
    <d v="2020-12-05T14:00:00"/>
    <d v="2020-12-05T00:00:00"/>
    <s v="14:00"/>
    <d v="2020-12-07T15:28:00"/>
    <d v="2020-12-07T00:00:00"/>
    <d v="1899-12-30T15:28:00"/>
    <n v="5"/>
    <x v="2"/>
    <x v="0"/>
    <x v="11"/>
    <n v="73"/>
    <n v="5.13"/>
    <n v="1.65"/>
    <s v="Alive"/>
    <n v="94"/>
    <n v="166"/>
    <n v="67"/>
    <n v="58"/>
    <s v="Good"/>
    <n v="0"/>
    <n v="5.1299999999999998E-2"/>
    <n v="1.6500000000000001E-2"/>
    <d v="1900-01-01T01:28:00"/>
  </r>
  <r>
    <n v="1275"/>
    <d v="2020-12-06T13:04:00"/>
    <d v="2020-12-06T00:00:00"/>
    <s v="13:04"/>
    <d v="2020-12-08T07:55:00"/>
    <d v="2020-12-08T00:00:00"/>
    <d v="1899-12-30T07:55:00"/>
    <n v="1"/>
    <x v="1"/>
    <x v="2"/>
    <x v="8"/>
    <n v="70"/>
    <n v="3.08"/>
    <n v="1.73"/>
    <s v="Alive"/>
    <n v="80"/>
    <n v="161"/>
    <n v="64"/>
    <n v="40"/>
    <s v="Moderate"/>
    <n v="0"/>
    <n v="3.0800000000000001E-2"/>
    <n v="1.7299999999999999E-2"/>
    <d v="1899-12-31T18:51:00"/>
  </r>
  <r>
    <n v="1276"/>
    <d v="2020-12-07T16:30:00"/>
    <d v="2020-12-07T00:00:00"/>
    <s v="16:30"/>
    <d v="2020-12-08T08:00:00"/>
    <d v="2020-12-08T00:00:00"/>
    <d v="1899-12-30T08:00:00"/>
    <n v="4"/>
    <x v="1"/>
    <x v="1"/>
    <x v="4"/>
    <n v="73"/>
    <n v="10.4"/>
    <n v="9.82"/>
    <s v="Alive"/>
    <n v="160"/>
    <n v="182"/>
    <n v="90"/>
    <n v="29"/>
    <s v="Poor"/>
    <n v="0"/>
    <n v="0.10400000000000001"/>
    <n v="9.820000000000001E-2"/>
    <d v="1899-12-30T15:30:00"/>
  </r>
  <r>
    <n v="1277"/>
    <d v="2020-12-07T16:00:00"/>
    <d v="2020-12-07T00:00:00"/>
    <s v="16:00"/>
    <d v="2020-12-08T08:03:00"/>
    <d v="2020-12-08T00:00:00"/>
    <d v="1899-12-30T08:03:00"/>
    <n v="5"/>
    <x v="1"/>
    <x v="0"/>
    <x v="3"/>
    <n v="77"/>
    <n v="13.2"/>
    <n v="2.68"/>
    <s v="Alive"/>
    <n v="129"/>
    <n v="168"/>
    <n v="89"/>
    <n v="55"/>
    <s v="Good"/>
    <n v="0"/>
    <n v="0.13200000000000001"/>
    <n v="2.6800000000000001E-2"/>
    <d v="1899-12-30T16:03:00"/>
  </r>
  <r>
    <n v="1278"/>
    <d v="2020-12-08T07:07:00"/>
    <d v="2020-12-08T00:00:00"/>
    <s v="07:07"/>
    <d v="2020-12-08T12:45:00"/>
    <d v="2020-12-08T00:00:00"/>
    <d v="1899-12-30T12:45:00"/>
    <n v="4"/>
    <x v="1"/>
    <x v="3"/>
    <x v="4"/>
    <n v="76"/>
    <n v="4.53"/>
    <n v="1.51"/>
    <s v="Alive"/>
    <n v="106"/>
    <n v="150"/>
    <n v="51"/>
    <n v="40"/>
    <s v="Moderate"/>
    <n v="0"/>
    <n v="4.53E-2"/>
    <n v="1.5100000000000001E-2"/>
    <d v="1899-12-30T05:38:00"/>
  </r>
  <r>
    <n v="1279"/>
    <d v="2020-12-08T07:26:00"/>
    <d v="2020-12-08T00:00:00"/>
    <s v="07:26"/>
    <d v="2020-12-08T13:15:00"/>
    <d v="2020-12-08T00:00:00"/>
    <d v="1899-12-30T13:15:00"/>
    <n v="1"/>
    <x v="1"/>
    <x v="0"/>
    <x v="8"/>
    <n v="63"/>
    <n v="2.19"/>
    <n v="1.03"/>
    <s v="Alive"/>
    <n v="85"/>
    <n v="174"/>
    <n v="74"/>
    <n v="53"/>
    <s v="Good"/>
    <n v="0"/>
    <n v="2.1899999999999999E-2"/>
    <n v="1.03E-2"/>
    <d v="1899-12-30T05:49:00"/>
  </r>
  <r>
    <n v="1280"/>
    <d v="2020-12-08T07:05:00"/>
    <d v="2020-12-08T00:00:00"/>
    <s v="07:05"/>
    <d v="2020-12-08T13:48:00"/>
    <d v="2020-12-08T00:00:00"/>
    <d v="1899-12-30T13:48:00"/>
    <n v="5"/>
    <x v="2"/>
    <x v="0"/>
    <x v="3"/>
    <n v="57"/>
    <n v="1.51"/>
    <n v="2.39"/>
    <s v="Alive"/>
    <n v="124"/>
    <n v="182"/>
    <n v="132"/>
    <n v="60"/>
    <s v="Good"/>
    <n v="0"/>
    <n v="1.5100000000000001E-2"/>
    <n v="2.3900000000000001E-2"/>
    <d v="1899-12-30T06:43:00"/>
  </r>
  <r>
    <n v="1281"/>
    <d v="2020-11-28T09:15:00"/>
    <d v="2020-11-28T00:00:00"/>
    <s v="09:15"/>
    <d v="2020-12-09T08:12:00"/>
    <d v="2020-12-09T00:00:00"/>
    <d v="1899-12-30T08:12:00"/>
    <n v="5"/>
    <x v="2"/>
    <x v="2"/>
    <x v="2"/>
    <n v="80"/>
    <n v="9.89"/>
    <n v="5.36"/>
    <s v="Alive"/>
    <n v="73"/>
    <n v="175"/>
    <n v="93"/>
    <n v="60"/>
    <s v="Good"/>
    <n v="0"/>
    <n v="9.8900000000000002E-2"/>
    <n v="5.3600000000000002E-2"/>
    <d v="1900-01-09T22:57:00"/>
  </r>
  <r>
    <n v="1282"/>
    <d v="2020-12-08T16:00:00"/>
    <d v="2020-12-08T00:00:00"/>
    <s v="16:00"/>
    <d v="2020-12-09T08:32:00"/>
    <d v="2020-12-09T00:00:00"/>
    <d v="1899-12-30T08:32:00"/>
    <n v="1"/>
    <x v="1"/>
    <x v="0"/>
    <x v="8"/>
    <n v="66"/>
    <n v="5.26"/>
    <n v="2.79"/>
    <s v="Alive"/>
    <n v="64"/>
    <n v="167"/>
    <n v="92"/>
    <n v="60"/>
    <s v="Good"/>
    <n v="0"/>
    <n v="5.2600000000000001E-2"/>
    <n v="2.7900000000000001E-2"/>
    <d v="1899-12-30T16:32:00"/>
  </r>
  <r>
    <n v="1283"/>
    <d v="2020-12-08T14:04:00"/>
    <d v="2020-12-08T00:00:00"/>
    <s v="14:04"/>
    <d v="2020-12-09T14:05:00"/>
    <d v="2020-12-09T00:00:00"/>
    <d v="1899-12-30T14:05:00"/>
    <n v="5"/>
    <x v="1"/>
    <x v="0"/>
    <x v="2"/>
    <n v="65"/>
    <n v="2.23"/>
    <n v="1.05"/>
    <s v="Alive"/>
    <n v="71"/>
    <n v="160"/>
    <n v="55"/>
    <n v="63"/>
    <s v="Good"/>
    <n v="0"/>
    <n v="2.23E-2"/>
    <n v="1.0500000000000001E-2"/>
    <d v="1899-12-31T00:01:00"/>
  </r>
  <r>
    <n v="1284"/>
    <d v="2020-12-09T15:43:00"/>
    <d v="2020-12-09T00:00:00"/>
    <s v="15:43"/>
    <d v="2020-12-10T08:10:00"/>
    <d v="2020-12-10T00:00:00"/>
    <d v="1899-12-30T08:10:00"/>
    <n v="1"/>
    <x v="1"/>
    <x v="3"/>
    <x v="10"/>
    <n v="72"/>
    <n v="3.51"/>
    <n v="1.81"/>
    <s v="Alive"/>
    <n v="102"/>
    <n v="170"/>
    <n v="112"/>
    <n v="55"/>
    <s v="Good"/>
    <n v="0"/>
    <n v="3.5099999999999999E-2"/>
    <n v="1.8100000000000002E-2"/>
    <d v="1899-12-30T16:27:00"/>
  </r>
  <r>
    <n v="1285"/>
    <d v="2020-12-09T15:59:00"/>
    <d v="2020-12-09T00:00:00"/>
    <s v="15:59"/>
    <d v="2020-12-10T08:15:00"/>
    <d v="2020-12-10T00:00:00"/>
    <d v="1899-12-30T08:15:00"/>
    <n v="5"/>
    <x v="1"/>
    <x v="0"/>
    <x v="1"/>
    <n v="56"/>
    <n v="1.51"/>
    <n v="0.56000000000000005"/>
    <s v="Alive"/>
    <n v="90"/>
    <n v="167"/>
    <n v="98"/>
    <n v="55"/>
    <s v="Good"/>
    <n v="0"/>
    <n v="1.5100000000000001E-2"/>
    <n v="5.6000000000000008E-3"/>
    <d v="1899-12-30T16:16:00"/>
  </r>
  <r>
    <n v="1286"/>
    <d v="2020-12-10T06:00:00"/>
    <d v="2020-12-10T00:00:00"/>
    <s v="06:00"/>
    <d v="2020-12-10T08:45:00"/>
    <d v="2020-12-10T00:00:00"/>
    <d v="1899-12-30T08:45:00"/>
    <n v="4"/>
    <x v="2"/>
    <x v="2"/>
    <x v="7"/>
    <n v="76"/>
    <n v="3.7"/>
    <n v="1.81"/>
    <s v="Alive"/>
    <n v="101"/>
    <n v="174"/>
    <n v="81"/>
    <n v="70"/>
    <s v="Good"/>
    <n v="0"/>
    <n v="3.7000000000000005E-2"/>
    <n v="1.8100000000000002E-2"/>
    <d v="1899-12-30T02:45:00"/>
  </r>
  <r>
    <n v="1287"/>
    <d v="2020-11-19T10:53:00"/>
    <d v="2020-11-19T00:00:00"/>
    <s v="10:53"/>
    <d v="2020-12-10T13:30:00"/>
    <d v="2020-12-10T00:00:00"/>
    <d v="1899-12-30T13:30:00"/>
    <n v="4"/>
    <x v="2"/>
    <x v="0"/>
    <x v="7"/>
    <n v="56"/>
    <n v="1.51"/>
    <n v="1.31"/>
    <s v="Alive"/>
    <n v="86"/>
    <n v="177"/>
    <n v="92"/>
    <n v="60"/>
    <s v="Good"/>
    <n v="0"/>
    <n v="1.5100000000000001E-2"/>
    <n v="1.3100000000000001E-2"/>
    <d v="1900-01-20T02:37:00"/>
  </r>
  <r>
    <n v="1288"/>
    <d v="2020-12-10T07:00:00"/>
    <d v="2020-12-10T00:00:00"/>
    <s v="07:00"/>
    <d v="2020-12-10T14:50:00"/>
    <d v="2020-12-10T00:00:00"/>
    <d v="1899-12-30T14:50:00"/>
    <n v="5"/>
    <x v="1"/>
    <x v="2"/>
    <x v="1"/>
    <n v="70"/>
    <n v="1.82"/>
    <n v="0.66"/>
    <s v="Alive"/>
    <n v="84"/>
    <n v="172"/>
    <n v="85"/>
    <n v="70"/>
    <s v="Good"/>
    <n v="0"/>
    <n v="1.8200000000000001E-2"/>
    <n v="6.6E-3"/>
    <d v="1899-12-30T07:50:00"/>
  </r>
  <r>
    <n v="1289"/>
    <d v="2020-12-09T17:13:00"/>
    <d v="2020-12-09T00:00:00"/>
    <s v="17:13"/>
    <d v="2020-12-10T19:00:00"/>
    <d v="2020-12-10T00:00:00"/>
    <d v="1899-12-30T19:00:00"/>
    <n v="1"/>
    <x v="0"/>
    <x v="0"/>
    <x v="1"/>
    <n v="53"/>
    <n v="11.54"/>
    <n v="2.2999999999999998"/>
    <s v="Alive"/>
    <n v="124"/>
    <n v="179"/>
    <n v="93"/>
    <n v="40"/>
    <s v="Moderate"/>
    <n v="0"/>
    <n v="0.11539999999999999"/>
    <n v="2.3E-2"/>
    <d v="1899-12-31T01:47:00"/>
  </r>
  <r>
    <n v="1290"/>
    <d v="2020-12-09T09:47:00"/>
    <d v="2020-12-09T00:00:00"/>
    <s v="09:47"/>
    <d v="2020-12-11T08:00:00"/>
    <d v="2020-12-11T00:00:00"/>
    <d v="1899-12-30T08:00:00"/>
    <n v="5"/>
    <x v="2"/>
    <x v="2"/>
    <x v="15"/>
    <n v="65"/>
    <n v="2.4900000000000002"/>
    <n v="1.8"/>
    <s v="Alive"/>
    <n v="67"/>
    <n v="174"/>
    <n v="85"/>
    <n v="54"/>
    <s v="Good"/>
    <n v="0"/>
    <n v="2.4900000000000002E-2"/>
    <n v="1.8000000000000002E-2"/>
    <d v="1899-12-31T22:13:00"/>
  </r>
  <r>
    <n v="1291"/>
    <d v="2020-12-10T16:22:00"/>
    <d v="2020-12-10T00:00:00"/>
    <s v="16:22"/>
    <d v="2020-12-11T08:05:00"/>
    <d v="2020-12-11T00:00:00"/>
    <d v="1899-12-30T08:05:00"/>
    <n v="3"/>
    <x v="2"/>
    <x v="2"/>
    <x v="0"/>
    <n v="70"/>
    <n v="1.82"/>
    <n v="1.22"/>
    <s v="Alive"/>
    <n v="83"/>
    <n v="174"/>
    <n v="72"/>
    <n v="24"/>
    <s v="Poor"/>
    <n v="0"/>
    <n v="1.8200000000000001E-2"/>
    <n v="1.2199999999999999E-2"/>
    <d v="1899-12-30T15:43:00"/>
  </r>
  <r>
    <n v="1292"/>
    <d v="2020-12-10T16:00:00"/>
    <d v="2020-12-10T00:00:00"/>
    <s v="16:00"/>
    <d v="2020-12-11T08:07:00"/>
    <d v="2020-12-11T00:00:00"/>
    <d v="1899-12-30T08:07:00"/>
    <n v="1"/>
    <x v="1"/>
    <x v="3"/>
    <x v="8"/>
    <n v="84"/>
    <n v="11.69"/>
    <n v="5.46"/>
    <s v="Alive"/>
    <n v="90"/>
    <n v="178"/>
    <n v="80"/>
    <n v="55"/>
    <s v="Good"/>
    <n v="0"/>
    <n v="0.11689999999999999"/>
    <n v="5.4600000000000003E-2"/>
    <d v="1899-12-30T16:07:00"/>
  </r>
  <r>
    <n v="1293"/>
    <d v="2020-12-09T14:27:00"/>
    <d v="2020-12-09T00:00:00"/>
    <s v="14:27"/>
    <d v="2020-12-11T08:15:00"/>
    <d v="2020-12-11T00:00:00"/>
    <d v="1899-12-30T08:15:00"/>
    <n v="4"/>
    <x v="2"/>
    <x v="2"/>
    <x v="7"/>
    <n v="66"/>
    <n v="1.93"/>
    <n v="0.74"/>
    <s v="Alive"/>
    <n v="76"/>
    <n v="160"/>
    <n v="67"/>
    <n v="34"/>
    <s v="Moderate"/>
    <n v="0"/>
    <n v="1.9299999999999998E-2"/>
    <n v="7.4000000000000003E-3"/>
    <d v="1899-12-31T17:48:00"/>
  </r>
  <r>
    <n v="1294"/>
    <d v="2020-12-11T07:03:00"/>
    <d v="2020-12-11T00:00:00"/>
    <s v="07:03"/>
    <d v="2020-12-11T12:40:00"/>
    <d v="2020-12-11T00:00:00"/>
    <d v="1899-12-30T12:40:00"/>
    <n v="3"/>
    <x v="1"/>
    <x v="3"/>
    <x v="0"/>
    <n v="73"/>
    <n v="3.74"/>
    <n v="1.38"/>
    <s v="Alive"/>
    <n v="83"/>
    <n v="175"/>
    <n v="73"/>
    <n v="55"/>
    <s v="Good"/>
    <n v="0"/>
    <n v="3.7400000000000003E-2"/>
    <n v="1.38E-2"/>
    <d v="1899-12-30T05:37:00"/>
  </r>
  <r>
    <n v="1295"/>
    <d v="2020-12-11T07:05:00"/>
    <d v="2020-12-11T00:00:00"/>
    <s v="07:05"/>
    <d v="2020-12-11T13:25:00"/>
    <d v="2020-12-11T00:00:00"/>
    <d v="1899-12-30T13:25:00"/>
    <n v="4"/>
    <x v="1"/>
    <x v="0"/>
    <x v="7"/>
    <n v="68"/>
    <n v="2.71"/>
    <n v="0.63"/>
    <s v="Alive"/>
    <n v="86"/>
    <n v="168"/>
    <n v="80"/>
    <n v="41"/>
    <s v="Moderate"/>
    <n v="0"/>
    <n v="2.7099999999999999E-2"/>
    <n v="6.3E-3"/>
    <d v="1899-12-30T06:20:00"/>
  </r>
  <r>
    <n v="1296"/>
    <d v="2020-12-11T07:59:00"/>
    <d v="2020-12-11T00:00:00"/>
    <s v="07:59"/>
    <d v="2020-12-11T14:00:00"/>
    <d v="2020-12-11T00:00:00"/>
    <d v="1899-12-30T14:00:00"/>
    <n v="1"/>
    <x v="1"/>
    <x v="0"/>
    <x v="8"/>
    <n v="67"/>
    <n v="3.5"/>
    <n v="2.19"/>
    <s v="Alive"/>
    <n v="70"/>
    <n v="165"/>
    <n v="66"/>
    <n v="55"/>
    <s v="Good"/>
    <n v="0"/>
    <n v="3.5000000000000003E-2"/>
    <n v="2.1899999999999999E-2"/>
    <d v="1899-12-30T06:01:00"/>
  </r>
  <r>
    <n v="1297"/>
    <d v="2020-12-11T07:20:00"/>
    <d v="2020-12-11T00:00:00"/>
    <s v="07:20"/>
    <d v="2020-12-11T15:15:00"/>
    <d v="2020-12-11T00:00:00"/>
    <d v="1899-12-30T15:15:00"/>
    <n v="5"/>
    <x v="1"/>
    <x v="2"/>
    <x v="15"/>
    <n v="64"/>
    <n v="3"/>
    <n v="1.76"/>
    <s v="Alive"/>
    <n v="96"/>
    <n v="184"/>
    <n v="73"/>
    <n v="29"/>
    <s v="Poor"/>
    <n v="0"/>
    <n v="0.03"/>
    <n v="1.7600000000000001E-2"/>
    <d v="1899-12-30T07:55:00"/>
  </r>
  <r>
    <n v="1298"/>
    <d v="2020-12-11T15:55:00"/>
    <d v="2020-12-11T00:00:00"/>
    <s v="15:55"/>
    <d v="2020-12-12T08:05:00"/>
    <d v="2020-12-12T00:00:00"/>
    <d v="1899-12-30T08:05:00"/>
    <n v="5"/>
    <x v="1"/>
    <x v="2"/>
    <x v="4"/>
    <n v="52"/>
    <n v="0.88"/>
    <n v="0.56000000000000005"/>
    <s v="Alive"/>
    <n v="86"/>
    <n v="174"/>
    <n v="89"/>
    <n v="45"/>
    <s v="Moderate"/>
    <n v="0"/>
    <n v="8.8000000000000005E-3"/>
    <n v="5.6000000000000008E-3"/>
    <d v="1899-12-30T16:10:00"/>
  </r>
  <r>
    <n v="1299"/>
    <d v="2020-12-09T12:00:00"/>
    <d v="2020-12-09T00:00:00"/>
    <s v="12:00"/>
    <d v="2020-12-12T08:05:00"/>
    <d v="2020-12-12T00:00:00"/>
    <d v="1899-12-30T08:05:00"/>
    <n v="4"/>
    <x v="1"/>
    <x v="0"/>
    <x v="8"/>
    <n v="71"/>
    <n v="21.8"/>
    <n v="6.34"/>
    <s v="Alive"/>
    <n v="100"/>
    <n v="165"/>
    <n v="49"/>
    <n v="25"/>
    <s v="Poor"/>
    <n v="0"/>
    <n v="0.218"/>
    <n v="6.3399999999999998E-2"/>
    <d v="1900-01-01T20:05:00"/>
  </r>
  <r>
    <n v="1300"/>
    <d v="2020-12-12T07:51:00"/>
    <d v="2020-12-12T00:00:00"/>
    <s v="07:51"/>
    <d v="2020-12-12T12:10:00"/>
    <d v="2020-12-12T00:00:00"/>
    <d v="1899-12-30T12:10:00"/>
    <n v="5"/>
    <x v="1"/>
    <x v="3"/>
    <x v="4"/>
    <n v="88"/>
    <n v="13.83"/>
    <n v="2.87"/>
    <s v="Alive"/>
    <n v="84"/>
    <n v="174"/>
    <n v="92"/>
    <n v="50"/>
    <s v="Moderate"/>
    <n v="0"/>
    <n v="0.13830000000000001"/>
    <n v="2.87E-2"/>
    <d v="1899-12-30T04:19:00"/>
  </r>
  <r>
    <n v="1302"/>
    <d v="2020-12-13T16:00:00"/>
    <d v="2020-12-13T00:00:00"/>
    <s v="16:00"/>
    <d v="2020-12-14T08:13:00"/>
    <d v="2020-12-14T00:00:00"/>
    <d v="1899-12-30T08:13:00"/>
    <n v="3"/>
    <x v="1"/>
    <x v="0"/>
    <x v="0"/>
    <n v="74"/>
    <n v="3.25"/>
    <n v="1.24"/>
    <s v="Alive"/>
    <n v="78"/>
    <n v="183"/>
    <n v="121"/>
    <n v="72"/>
    <s v="Good"/>
    <n v="0"/>
    <n v="3.2500000000000001E-2"/>
    <n v="1.24E-2"/>
    <d v="1899-12-30T16:13:00"/>
  </r>
  <r>
    <n v="1303"/>
    <d v="2020-12-13T14:07:00"/>
    <d v="2020-12-13T00:00:00"/>
    <s v="14:07"/>
    <d v="2020-12-14T08:16:00"/>
    <d v="2020-12-14T00:00:00"/>
    <d v="1899-12-30T08:16:00"/>
    <n v="1"/>
    <x v="1"/>
    <x v="2"/>
    <x v="4"/>
    <n v="65"/>
    <n v="1.31"/>
    <n v="0.64"/>
    <s v="Alive"/>
    <n v="77"/>
    <n v="169"/>
    <n v="97"/>
    <n v="45"/>
    <s v="Moderate"/>
    <n v="0"/>
    <n v="1.3100000000000001E-2"/>
    <n v="6.4000000000000003E-3"/>
    <d v="1899-12-30T18:09:00"/>
  </r>
  <r>
    <n v="1304"/>
    <d v="2020-12-13T16:00:00"/>
    <d v="2020-12-13T00:00:00"/>
    <s v="16:00"/>
    <d v="2020-12-14T08:35:00"/>
    <d v="2020-12-14T00:00:00"/>
    <d v="1899-12-30T08:35:00"/>
    <n v="4"/>
    <x v="1"/>
    <x v="4"/>
    <x v="1"/>
    <n v="79"/>
    <n v="15.6"/>
    <n v="1.64"/>
    <s v="Alive"/>
    <n v="84"/>
    <n v="159"/>
    <n v="80"/>
    <n v="60"/>
    <s v="Good"/>
    <n v="0"/>
    <n v="0.156"/>
    <n v="1.6399999999999998E-2"/>
    <d v="1899-12-30T16:35:00"/>
  </r>
  <r>
    <n v="1305"/>
    <d v="2020-12-09T11:06:00"/>
    <d v="2020-12-09T00:00:00"/>
    <s v="11:06"/>
    <d v="2020-12-14T10:20:00"/>
    <d v="2020-12-14T00:00:00"/>
    <d v="1899-12-30T10:20:00"/>
    <n v="5"/>
    <x v="2"/>
    <x v="2"/>
    <x v="11"/>
    <n v="51"/>
    <n v="6.32"/>
    <n v="1.76"/>
    <s v="Alive"/>
    <n v="95"/>
    <n v="162"/>
    <n v="76"/>
    <n v="45"/>
    <s v="Moderate"/>
    <n v="0"/>
    <n v="6.3200000000000006E-2"/>
    <n v="1.7600000000000001E-2"/>
    <d v="1900-01-03T23:14:00"/>
  </r>
  <r>
    <n v="1306"/>
    <d v="2020-12-03T20:41:00"/>
    <d v="2020-12-03T00:00:00"/>
    <s v="20:41"/>
    <d v="2020-12-14T11:17:00"/>
    <d v="2020-12-14T00:00:00"/>
    <d v="1899-12-30T11:17:00"/>
    <n v="3"/>
    <x v="1"/>
    <x v="2"/>
    <x v="0"/>
    <n v="65"/>
    <n v="3.36"/>
    <n v="0.92"/>
    <s v="Alive"/>
    <n v="90"/>
    <n v="152"/>
    <n v="65"/>
    <n v="55"/>
    <s v="Good"/>
    <n v="0"/>
    <n v="3.3599999999999998E-2"/>
    <n v="9.1999999999999998E-3"/>
    <d v="1900-01-09T14:36:00"/>
  </r>
  <r>
    <n v="1307"/>
    <d v="2020-12-03T10:01:00"/>
    <d v="2020-12-03T00:00:00"/>
    <s v="10:01"/>
    <d v="2020-12-14T13:24:00"/>
    <d v="2020-12-14T00:00:00"/>
    <d v="1899-12-30T13:24:00"/>
    <n v="1"/>
    <x v="2"/>
    <x v="2"/>
    <x v="4"/>
    <n v="74"/>
    <n v="5.96"/>
    <n v="1.8"/>
    <s v="Alive"/>
    <n v="95"/>
    <n v="166"/>
    <n v="78"/>
    <n v="20"/>
    <s v="Very Poor"/>
    <n v="0"/>
    <n v="5.96E-2"/>
    <n v="1.8000000000000002E-2"/>
    <d v="1900-01-10T03:23:00"/>
  </r>
  <r>
    <n v="1308"/>
    <d v="2020-12-14T16:00:00"/>
    <d v="2020-12-14T00:00:00"/>
    <s v="16:00"/>
    <d v="2020-12-15T08:00:00"/>
    <d v="2020-12-15T00:00:00"/>
    <d v="1899-12-30T08:00:00"/>
    <n v="5"/>
    <x v="1"/>
    <x v="0"/>
    <x v="2"/>
    <n v="45"/>
    <n v="1.51"/>
    <n v="0.67"/>
    <s v="Alive"/>
    <n v="109"/>
    <n v="156"/>
    <n v="71"/>
    <n v="40"/>
    <s v="Moderate"/>
    <n v="0"/>
    <n v="1.5100000000000001E-2"/>
    <n v="6.7000000000000002E-3"/>
    <d v="1899-12-30T16:00:00"/>
  </r>
  <r>
    <n v="1309"/>
    <d v="2020-12-14T15:53:00"/>
    <d v="2020-12-14T00:00:00"/>
    <s v="15:53"/>
    <d v="2020-12-15T08:09:00"/>
    <d v="2020-12-15T00:00:00"/>
    <d v="1899-12-30T08:09:00"/>
    <n v="4"/>
    <x v="1"/>
    <x v="3"/>
    <x v="6"/>
    <n v="73"/>
    <n v="5.13"/>
    <n v="4.17"/>
    <s v="Alive"/>
    <n v="86"/>
    <n v="178"/>
    <n v="64"/>
    <n v="20"/>
    <s v="Very Poor"/>
    <n v="0"/>
    <n v="5.1299999999999998E-2"/>
    <n v="4.1700000000000001E-2"/>
    <d v="1899-12-30T16:16:00"/>
  </r>
  <r>
    <n v="1310"/>
    <d v="2020-12-14T16:00:00"/>
    <d v="2020-12-14T00:00:00"/>
    <s v="16:00"/>
    <d v="2020-12-15T08:16:00"/>
    <d v="2020-12-15T00:00:00"/>
    <d v="1899-12-30T08:16:00"/>
    <n v="1"/>
    <x v="2"/>
    <x v="3"/>
    <x v="8"/>
    <n v="78"/>
    <n v="5.14"/>
    <n v="2.78"/>
    <s v="Alive"/>
    <n v="75"/>
    <n v="182"/>
    <n v="56"/>
    <n v="55"/>
    <s v="Good"/>
    <n v="0"/>
    <n v="5.1399999999999994E-2"/>
    <n v="2.7799999999999998E-2"/>
    <d v="1899-12-30T16:16:00"/>
  </r>
  <r>
    <n v="1311"/>
    <d v="2020-12-15T07:09:00"/>
    <d v="2020-12-15T00:00:00"/>
    <s v="07:09"/>
    <d v="2020-12-15T13:15:00"/>
    <d v="2020-12-15T00:00:00"/>
    <d v="1899-12-30T13:15:00"/>
    <n v="5"/>
    <x v="1"/>
    <x v="0"/>
    <x v="2"/>
    <n v="77"/>
    <n v="4.83"/>
    <n v="2.81"/>
    <s v="Alive"/>
    <n v="77"/>
    <n v="168"/>
    <n v="81"/>
    <n v="51"/>
    <s v="Good"/>
    <n v="0"/>
    <n v="4.8300000000000003E-2"/>
    <n v="2.81E-2"/>
    <d v="1899-12-30T06:06:00"/>
  </r>
  <r>
    <n v="1312"/>
    <d v="2020-12-14T13:30:00"/>
    <d v="2020-12-14T00:00:00"/>
    <s v="13:30"/>
    <d v="2020-12-16T08:05:00"/>
    <d v="2020-12-16T00:00:00"/>
    <d v="1899-12-30T08:05:00"/>
    <n v="3"/>
    <x v="2"/>
    <x v="2"/>
    <x v="0"/>
    <n v="65"/>
    <n v="2.2400000000000002"/>
    <n v="1.24"/>
    <s v="Alive"/>
    <n v="65"/>
    <n v="178"/>
    <n v="80"/>
    <n v="55"/>
    <s v="Good"/>
    <n v="0"/>
    <n v="2.2400000000000003E-2"/>
    <n v="1.24E-2"/>
    <d v="1899-12-31T18:35:00"/>
  </r>
  <r>
    <n v="1313"/>
    <d v="2020-12-14T14:00:00"/>
    <d v="2020-12-14T00:00:00"/>
    <s v="14:00"/>
    <d v="2020-12-16T08:05:00"/>
    <d v="2020-12-16T00:00:00"/>
    <d v="1899-12-30T08:05:00"/>
    <n v="4"/>
    <x v="1"/>
    <x v="0"/>
    <x v="8"/>
    <n v="78"/>
    <n v="11.89"/>
    <n v="9.7899999999999991"/>
    <s v="Alive"/>
    <n v="75"/>
    <n v="171"/>
    <n v="75"/>
    <n v="25"/>
    <s v="Poor"/>
    <n v="0"/>
    <n v="0.11890000000000001"/>
    <n v="9.7899999999999987E-2"/>
    <d v="1899-12-31T18:05:00"/>
  </r>
  <r>
    <n v="1314"/>
    <d v="2020-12-15T16:00:00"/>
    <d v="2020-12-15T00:00:00"/>
    <s v="16:00"/>
    <d v="2020-12-16T08:20:00"/>
    <d v="2020-12-16T00:00:00"/>
    <d v="1899-12-30T08:20:00"/>
    <n v="5"/>
    <x v="1"/>
    <x v="4"/>
    <x v="2"/>
    <n v="66"/>
    <n v="18.55"/>
    <n v="7.3"/>
    <s v="Alive"/>
    <n v="65"/>
    <n v="187"/>
    <n v="112"/>
    <n v="55"/>
    <s v="Good"/>
    <n v="0"/>
    <n v="0.1855"/>
    <n v="7.2999999999999995E-2"/>
    <d v="1899-12-30T16:20:00"/>
  </r>
  <r>
    <n v="1315"/>
    <d v="2020-12-16T07:00:00"/>
    <d v="2020-12-16T00:00:00"/>
    <s v="07:00"/>
    <d v="2020-12-16T12:05:00"/>
    <d v="2020-12-16T00:00:00"/>
    <d v="1899-12-30T12:05:00"/>
    <n v="3"/>
    <x v="1"/>
    <x v="2"/>
    <x v="0"/>
    <n v="71"/>
    <n v="1.94"/>
    <n v="0.92"/>
    <s v="Alive"/>
    <n v="93"/>
    <n v="160"/>
    <n v="94"/>
    <n v="60"/>
    <s v="Good"/>
    <n v="0"/>
    <n v="1.9400000000000001E-2"/>
    <n v="9.1999999999999998E-3"/>
    <d v="1899-12-30T05:05:00"/>
  </r>
  <r>
    <n v="1316"/>
    <d v="2020-12-10T17:22:00"/>
    <d v="2020-12-10T00:00:00"/>
    <s v="17:22"/>
    <d v="2020-12-17T08:02:00"/>
    <d v="2020-12-17T00:00:00"/>
    <d v="1899-12-30T08:02:00"/>
    <n v="5"/>
    <x v="2"/>
    <x v="2"/>
    <x v="11"/>
    <n v="65"/>
    <n v="3.36"/>
    <n v="2.71"/>
    <s v="Alive"/>
    <n v="62"/>
    <n v="170"/>
    <n v="60"/>
    <n v="56"/>
    <s v="Good"/>
    <n v="0"/>
    <n v="3.3599999999999998E-2"/>
    <n v="2.7099999999999999E-2"/>
    <d v="1900-01-05T14:40:00"/>
  </r>
  <r>
    <n v="1317"/>
    <d v="2020-12-16T16:00:00"/>
    <d v="2020-12-16T00:00:00"/>
    <s v="16:00"/>
    <d v="2020-12-17T08:12:00"/>
    <d v="2020-12-17T00:00:00"/>
    <d v="1899-12-30T08:12:00"/>
    <n v="1"/>
    <x v="1"/>
    <x v="2"/>
    <x v="1"/>
    <n v="59"/>
    <n v="2.73"/>
    <n v="1.38"/>
    <s v="Alive"/>
    <n v="112"/>
    <n v="173"/>
    <n v="92"/>
    <n v="55"/>
    <s v="Good"/>
    <n v="0"/>
    <n v="2.7300000000000001E-2"/>
    <n v="1.38E-2"/>
    <d v="1899-12-30T16:12:00"/>
  </r>
  <r>
    <n v="1318"/>
    <d v="2020-12-17T04:48:00"/>
    <d v="2020-12-17T00:00:00"/>
    <s v="04:48"/>
    <d v="2020-12-17T12:20:00"/>
    <d v="2020-12-17T00:00:00"/>
    <d v="1899-12-30T12:20:00"/>
    <n v="3"/>
    <x v="0"/>
    <x v="1"/>
    <x v="6"/>
    <n v="55"/>
    <n v="18.79"/>
    <n v="19.27"/>
    <s v="Died"/>
    <n v="81"/>
    <n v="158"/>
    <n v="67"/>
    <n v="20"/>
    <s v="Very Poor"/>
    <n v="1"/>
    <n v="0.18789999999999998"/>
    <n v="0.19269999999999998"/>
    <d v="1899-12-30T07:32:00"/>
  </r>
  <r>
    <n v="1319"/>
    <d v="2020-12-17T07:03:00"/>
    <d v="2020-12-17T00:00:00"/>
    <s v="07:03"/>
    <d v="2020-12-17T14:23:00"/>
    <d v="2020-12-17T00:00:00"/>
    <d v="1899-12-30T14:23:00"/>
    <n v="1"/>
    <x v="1"/>
    <x v="0"/>
    <x v="1"/>
    <n v="79"/>
    <n v="5.48"/>
    <n v="0.96"/>
    <s v="Alive"/>
    <n v="81"/>
    <n v="176"/>
    <n v="97"/>
    <n v="60"/>
    <s v="Good"/>
    <n v="0"/>
    <n v="5.4800000000000001E-2"/>
    <n v="9.5999999999999992E-3"/>
    <d v="1899-12-30T07:20:00"/>
  </r>
  <r>
    <n v="1320"/>
    <d v="2020-12-17T14:00:00"/>
    <d v="2020-12-17T00:00:00"/>
    <s v="14:00"/>
    <d v="2020-12-18T08:07:00"/>
    <d v="2020-12-18T00:00:00"/>
    <d v="1899-12-30T08:07:00"/>
    <n v="5"/>
    <x v="1"/>
    <x v="0"/>
    <x v="15"/>
    <n v="79"/>
    <n v="5.48"/>
    <n v="1.55"/>
    <s v="Alive"/>
    <n v="110"/>
    <n v="178"/>
    <n v="122"/>
    <n v="55"/>
    <s v="Good"/>
    <n v="0"/>
    <n v="5.4800000000000001E-2"/>
    <n v="1.55E-2"/>
    <d v="1899-12-30T18:07:00"/>
  </r>
  <r>
    <n v="1321"/>
    <d v="2020-12-17T18:00:00"/>
    <d v="2020-12-17T00:00:00"/>
    <s v="18:00"/>
    <d v="2020-12-18T08:10:00"/>
    <d v="2020-12-18T00:00:00"/>
    <d v="1899-12-30T08:10:00"/>
    <n v="4"/>
    <x v="1"/>
    <x v="2"/>
    <x v="16"/>
    <n v="78"/>
    <n v="4.58"/>
    <n v="1.54"/>
    <s v="Alive"/>
    <n v="78"/>
    <n v="150"/>
    <n v="87"/>
    <n v="59"/>
    <s v="Good"/>
    <n v="0"/>
    <n v="4.58E-2"/>
    <n v="1.54E-2"/>
    <d v="1899-12-30T14:10:00"/>
  </r>
  <r>
    <n v="1322"/>
    <d v="2020-12-16T16:00:00"/>
    <d v="2020-12-16T00:00:00"/>
    <s v="16:00"/>
    <d v="2020-12-18T17:55:00"/>
    <d v="2020-12-18T00:00:00"/>
    <d v="1899-12-30T17:55:00"/>
    <n v="1"/>
    <x v="0"/>
    <x v="2"/>
    <x v="15"/>
    <n v="70"/>
    <n v="10.31"/>
    <n v="2.58"/>
    <s v="Alive"/>
    <n v="64"/>
    <n v="168"/>
    <n v="69"/>
    <n v="45"/>
    <s v="Moderate"/>
    <n v="0"/>
    <n v="0.10310000000000001"/>
    <n v="2.58E-2"/>
    <d v="1900-01-01T01:55:00"/>
  </r>
  <r>
    <n v="1323"/>
    <d v="2020-12-18T16:00:00"/>
    <d v="2020-12-18T00:00:00"/>
    <s v="16:00"/>
    <d v="2020-12-19T07:57:00"/>
    <d v="2020-12-19T00:00:00"/>
    <d v="1899-12-30T07:57:00"/>
    <n v="4"/>
    <x v="1"/>
    <x v="0"/>
    <x v="11"/>
    <n v="65"/>
    <n v="2.23"/>
    <n v="0.64"/>
    <s v="Alive"/>
    <n v="105"/>
    <n v="168"/>
    <n v="73"/>
    <n v="45"/>
    <s v="Moderate"/>
    <n v="0"/>
    <n v="2.23E-2"/>
    <n v="6.4000000000000003E-3"/>
    <d v="1899-12-30T15:57:00"/>
  </r>
  <r>
    <n v="1324"/>
    <d v="2020-12-18T16:00:00"/>
    <d v="2020-12-18T00:00:00"/>
    <s v="16:00"/>
    <d v="2020-12-19T08:05:00"/>
    <d v="2020-12-19T00:00:00"/>
    <d v="1899-12-30T08:05:00"/>
    <n v="5"/>
    <x v="1"/>
    <x v="2"/>
    <x v="6"/>
    <n v="74"/>
    <n v="5.96"/>
    <n v="1.78"/>
    <s v="Alive"/>
    <n v="109"/>
    <n v="162"/>
    <n v="51"/>
    <n v="60"/>
    <s v="Good"/>
    <n v="0"/>
    <n v="5.96E-2"/>
    <n v="1.78E-2"/>
    <d v="1899-12-30T16:05:00"/>
  </r>
  <r>
    <n v="1325"/>
    <d v="2020-12-16T16:00:00"/>
    <d v="2020-12-16T00:00:00"/>
    <s v="16:00"/>
    <d v="2020-12-19T12:30:00"/>
    <d v="2020-12-19T00:00:00"/>
    <d v="1899-12-30T12:30:00"/>
    <n v="4"/>
    <x v="1"/>
    <x v="3"/>
    <x v="6"/>
    <n v="83"/>
    <n v="7.03"/>
    <n v="4.4400000000000004"/>
    <s v="Alive"/>
    <n v="83"/>
    <n v="171"/>
    <n v="75"/>
    <n v="55"/>
    <s v="Good"/>
    <n v="0"/>
    <n v="7.0300000000000001E-2"/>
    <n v="4.4400000000000002E-2"/>
    <d v="1900-01-01T20:30:00"/>
  </r>
  <r>
    <n v="1326"/>
    <d v="2020-12-20T12:21:00"/>
    <d v="2020-12-20T00:00:00"/>
    <s v="12:21"/>
    <d v="2020-12-21T08:00:00"/>
    <d v="2020-12-21T00:00:00"/>
    <d v="1899-12-30T08:00:00"/>
    <n v="3"/>
    <x v="1"/>
    <x v="2"/>
    <x v="15"/>
    <n v="69"/>
    <n v="2.56"/>
    <n v="1.48"/>
    <s v="Alive"/>
    <n v="74"/>
    <n v="166"/>
    <n v="88"/>
    <n v="65"/>
    <s v="Good"/>
    <n v="0"/>
    <n v="2.5600000000000001E-2"/>
    <n v="1.4800000000000001E-2"/>
    <d v="1899-12-30T19:39:00"/>
  </r>
  <r>
    <n v="1327"/>
    <d v="2020-12-20T13:00:00"/>
    <d v="2020-12-20T00:00:00"/>
    <s v="13:00"/>
    <d v="2020-12-21T08:05:00"/>
    <d v="2020-12-21T00:00:00"/>
    <d v="1899-12-30T08:05:00"/>
    <n v="1"/>
    <x v="1"/>
    <x v="2"/>
    <x v="6"/>
    <n v="75"/>
    <n v="3.78"/>
    <n v="1.42"/>
    <s v="Alive"/>
    <n v="70"/>
    <n v="167"/>
    <n v="75"/>
    <n v="55"/>
    <s v="Good"/>
    <n v="0"/>
    <n v="3.78E-2"/>
    <n v="1.4199999999999999E-2"/>
    <d v="1899-12-30T19:05:00"/>
  </r>
  <r>
    <n v="1328"/>
    <d v="2020-12-20T16:05:00"/>
    <d v="2020-12-20T00:00:00"/>
    <s v="16:05"/>
    <d v="2020-12-21T08:08:00"/>
    <d v="2020-12-21T00:00:00"/>
    <d v="1899-12-30T08:08:00"/>
    <n v="4"/>
    <x v="1"/>
    <x v="4"/>
    <x v="1"/>
    <n v="59"/>
    <n v="4.6500000000000004"/>
    <n v="3.31"/>
    <s v="Alive"/>
    <n v="74"/>
    <n v="157"/>
    <n v="87"/>
    <n v="40"/>
    <s v="Moderate"/>
    <n v="0"/>
    <n v="4.6500000000000007E-2"/>
    <n v="3.3099999999999997E-2"/>
    <d v="1899-12-30T16:03:00"/>
  </r>
  <r>
    <n v="1329"/>
    <d v="2020-12-21T07:00:00"/>
    <d v="2020-12-21T00:00:00"/>
    <s v="07:00"/>
    <d v="2020-12-21T11:43:00"/>
    <d v="2020-12-21T00:00:00"/>
    <d v="1899-12-30T11:43:00"/>
    <n v="1"/>
    <x v="1"/>
    <x v="3"/>
    <x v="6"/>
    <n v="80"/>
    <n v="10.66"/>
    <n v="5.85"/>
    <s v="Alive"/>
    <n v="79"/>
    <n v="179"/>
    <n v="85"/>
    <n v="20"/>
    <s v="Very Poor"/>
    <n v="0"/>
    <n v="0.1066"/>
    <n v="5.8499999999999996E-2"/>
    <d v="1899-12-30T04:43:00"/>
  </r>
  <r>
    <n v="1330"/>
    <d v="2020-12-16T13:00:00"/>
    <d v="2020-12-16T00:00:00"/>
    <s v="13:00"/>
    <d v="2020-12-21T14:45:00"/>
    <d v="2020-12-21T00:00:00"/>
    <d v="1899-12-30T14:45:00"/>
    <n v="4"/>
    <x v="2"/>
    <x v="3"/>
    <x v="11"/>
    <n v="69"/>
    <n v="3.98"/>
    <n v="3.39"/>
    <s v="Alive"/>
    <n v="85"/>
    <n v="169"/>
    <n v="124"/>
    <n v="58"/>
    <s v="Good"/>
    <n v="0"/>
    <n v="3.9800000000000002E-2"/>
    <n v="3.39E-2"/>
    <d v="1900-01-04T01:45:00"/>
  </r>
  <r>
    <n v="1331"/>
    <d v="2020-12-11T18:00:00"/>
    <d v="2020-12-11T00:00:00"/>
    <s v="18:00"/>
    <d v="2020-12-22T07:45:00"/>
    <d v="2020-12-22T00:00:00"/>
    <d v="1899-12-30T07:45:00"/>
    <n v="1"/>
    <x v="1"/>
    <x v="0"/>
    <x v="8"/>
    <n v="76"/>
    <n v="55.3"/>
    <n v="16.48"/>
    <s v="Alive"/>
    <n v="75"/>
    <n v="168"/>
    <n v="62"/>
    <n v="55"/>
    <s v="Good"/>
    <n v="0"/>
    <n v="0.55299999999999994"/>
    <n v="0.1648"/>
    <d v="1900-01-09T13:45:00"/>
  </r>
  <r>
    <n v="1332"/>
    <d v="2020-12-21T16:00:00"/>
    <d v="2020-12-21T00:00:00"/>
    <s v="16:00"/>
    <d v="2020-12-22T08:10:00"/>
    <d v="2020-12-22T00:00:00"/>
    <d v="1899-12-30T08:10:00"/>
    <n v="4"/>
    <x v="1"/>
    <x v="2"/>
    <x v="4"/>
    <n v="53"/>
    <n v="1.85"/>
    <n v="1.62"/>
    <s v="Alive"/>
    <n v="138"/>
    <n v="161"/>
    <n v="73"/>
    <n v="49"/>
    <s v="Moderate"/>
    <n v="0"/>
    <n v="1.8500000000000003E-2"/>
    <n v="1.6200000000000003E-2"/>
    <d v="1899-12-30T16:10:00"/>
  </r>
  <r>
    <n v="1333"/>
    <d v="2020-12-22T07:00:00"/>
    <d v="2020-12-22T00:00:00"/>
    <s v="07:00"/>
    <d v="2020-12-22T12:48:00"/>
    <d v="2020-12-22T00:00:00"/>
    <d v="1899-12-30T12:48:00"/>
    <n v="1"/>
    <x v="1"/>
    <x v="0"/>
    <x v="4"/>
    <n v="71"/>
    <n v="7.19"/>
    <n v="1.1399999999999999"/>
    <s v="Alive"/>
    <n v="76"/>
    <n v="152"/>
    <n v="50"/>
    <n v="29"/>
    <s v="Poor"/>
    <n v="0"/>
    <n v="7.1900000000000006E-2"/>
    <n v="1.1399999999999999E-2"/>
    <d v="1899-12-30T05:48:00"/>
  </r>
  <r>
    <n v="1334"/>
    <d v="2020-12-16T12:21:00"/>
    <d v="2020-12-16T00:00:00"/>
    <s v="12:21"/>
    <d v="2020-12-23T08:15:00"/>
    <d v="2020-12-23T00:00:00"/>
    <d v="1899-12-30T08:15:00"/>
    <n v="4"/>
    <x v="2"/>
    <x v="2"/>
    <x v="7"/>
    <n v="61"/>
    <n v="2.79"/>
    <n v="2.39"/>
    <s v="Alive"/>
    <n v="66"/>
    <n v="176"/>
    <n v="93"/>
    <n v="25"/>
    <s v="Poor"/>
    <n v="0"/>
    <n v="2.7900000000000001E-2"/>
    <n v="2.3900000000000001E-2"/>
    <d v="1900-01-05T19:54:00"/>
  </r>
  <r>
    <n v="1335"/>
    <d v="2020-12-21T10:26:00"/>
    <d v="2020-12-21T00:00:00"/>
    <s v="10:26"/>
    <d v="2020-12-23T08:15:00"/>
    <d v="2020-12-23T00:00:00"/>
    <d v="1899-12-30T08:15:00"/>
    <n v="1"/>
    <x v="2"/>
    <x v="0"/>
    <x v="8"/>
    <n v="65"/>
    <n v="2.93"/>
    <n v="1.31"/>
    <s v="Alive"/>
    <n v="92"/>
    <n v="177"/>
    <n v="91"/>
    <n v="25"/>
    <s v="Poor"/>
    <n v="0"/>
    <n v="2.9300000000000003E-2"/>
    <n v="1.3100000000000001E-2"/>
    <d v="1899-12-31T21:49:00"/>
  </r>
  <r>
    <n v="1336"/>
    <d v="2020-12-23T07:00:00"/>
    <d v="2020-12-23T00:00:00"/>
    <s v="07:00"/>
    <d v="2020-12-23T12:47:00"/>
    <d v="2020-12-23T00:00:00"/>
    <d v="1899-12-30T12:47:00"/>
    <n v="1"/>
    <x v="1"/>
    <x v="0"/>
    <x v="8"/>
    <n v="84"/>
    <n v="10.11"/>
    <n v="3.77"/>
    <s v="Alive"/>
    <n v="74"/>
    <n v="161"/>
    <n v="68"/>
    <n v="25"/>
    <s v="Poor"/>
    <n v="0"/>
    <n v="0.1011"/>
    <n v="3.7699999999999997E-2"/>
    <d v="1899-12-30T05:47:00"/>
  </r>
  <r>
    <n v="1337"/>
    <d v="2020-12-23T07:00:00"/>
    <d v="2020-12-23T00:00:00"/>
    <s v="07:00"/>
    <d v="2020-12-23T14:50:00"/>
    <d v="2020-12-23T00:00:00"/>
    <d v="1899-12-30T14:50:00"/>
    <n v="5"/>
    <x v="1"/>
    <x v="3"/>
    <x v="15"/>
    <n v="61"/>
    <n v="2.78"/>
    <n v="1.43"/>
    <s v="Alive"/>
    <n v="67"/>
    <n v="184"/>
    <n v="92"/>
    <n v="55"/>
    <s v="Good"/>
    <n v="0"/>
    <n v="2.7799999999999998E-2"/>
    <n v="1.43E-2"/>
    <d v="1899-12-30T07:50:00"/>
  </r>
  <r>
    <n v="1338"/>
    <d v="2020-12-23T10:52:00"/>
    <d v="2020-12-23T00:00:00"/>
    <s v="10:52"/>
    <d v="2020-12-24T08:17:00"/>
    <d v="2020-12-24T00:00:00"/>
    <d v="1899-12-30T08:17:00"/>
    <n v="4"/>
    <x v="2"/>
    <x v="3"/>
    <x v="7"/>
    <n v="70"/>
    <n v="16.5"/>
    <n v="12.3"/>
    <s v="Alive"/>
    <n v="62"/>
    <n v="177"/>
    <n v="99"/>
    <n v="75"/>
    <s v="Good"/>
    <n v="0"/>
    <n v="0.16500000000000001"/>
    <n v="0.12300000000000001"/>
    <d v="1899-12-30T21:25:00"/>
  </r>
  <r>
    <n v="1339"/>
    <d v="2020-12-22T17:29:00"/>
    <d v="2020-12-22T00:00:00"/>
    <s v="17:29"/>
    <d v="2020-12-24T08:56:00"/>
    <d v="2020-12-24T00:00:00"/>
    <d v="1899-12-30T08:56:00"/>
    <n v="3"/>
    <x v="1"/>
    <x v="2"/>
    <x v="1"/>
    <n v="61"/>
    <n v="1.01"/>
    <n v="0.56999999999999995"/>
    <s v="Alive"/>
    <n v="78"/>
    <n v="169"/>
    <n v="97"/>
    <n v="60"/>
    <s v="Good"/>
    <n v="0"/>
    <n v="1.01E-2"/>
    <n v="5.6999999999999993E-3"/>
    <d v="1899-12-31T15:27:00"/>
  </r>
  <r>
    <n v="1340"/>
    <d v="2020-12-26T00:22:00"/>
    <d v="2020-12-26T00:00:00"/>
    <s v="00:22"/>
    <d v="2020-12-26T10:30:00"/>
    <d v="2020-12-26T00:00:00"/>
    <d v="1899-12-30T10:30:00"/>
    <n v="1"/>
    <x v="0"/>
    <x v="1"/>
    <x v="1"/>
    <n v="57"/>
    <n v="38.89"/>
    <n v="20.91"/>
    <s v="Died"/>
    <n v="76"/>
    <n v="178"/>
    <n v="90"/>
    <n v="60"/>
    <s v="Good"/>
    <n v="1"/>
    <n v="0.38890000000000002"/>
    <n v="0.20910000000000001"/>
    <d v="1899-12-30T10:08:00"/>
  </r>
  <r>
    <n v="1341"/>
    <d v="2020-12-26T19:04:00"/>
    <d v="2020-12-26T00:00:00"/>
    <s v="19:04"/>
    <d v="2020-12-26T19:30:00"/>
    <d v="2020-12-26T00:00:00"/>
    <d v="1899-12-30T19:30:00"/>
    <n v="1"/>
    <x v="0"/>
    <x v="4"/>
    <x v="1"/>
    <n v="60"/>
    <n v="9.61"/>
    <n v="3.27"/>
    <s v="Alive"/>
    <n v="72"/>
    <n v="162"/>
    <n v="79"/>
    <n v="60"/>
    <s v="Good"/>
    <n v="0"/>
    <n v="9.6099999999999991E-2"/>
    <n v="3.27E-2"/>
    <d v="1899-12-30T00:26:00"/>
  </r>
  <r>
    <n v="1342"/>
    <d v="2020-12-28T13:43:00"/>
    <d v="2020-12-28T00:00:00"/>
    <s v="13:43"/>
    <d v="2020-12-28T16:30:00"/>
    <d v="2020-12-28T00:00:00"/>
    <d v="1899-12-30T16:30:00"/>
    <n v="2"/>
    <x v="0"/>
    <x v="4"/>
    <x v="0"/>
    <n v="78"/>
    <n v="62.7"/>
    <n v="14.22"/>
    <s v="Died"/>
    <n v="92"/>
    <n v="146"/>
    <n v="56"/>
    <n v="62"/>
    <s v="Good"/>
    <n v="1"/>
    <n v="0.627"/>
    <n v="0.14219999999999999"/>
    <d v="1899-12-30T02:47:00"/>
  </r>
  <r>
    <n v="1343"/>
    <d v="2020-12-28T16:00:00"/>
    <d v="2020-12-28T00:00:00"/>
    <s v="16:00"/>
    <d v="2020-12-29T07:56:00"/>
    <d v="2020-12-29T00:00:00"/>
    <d v="1899-12-30T07:56:00"/>
    <n v="1"/>
    <x v="1"/>
    <x v="0"/>
    <x v="8"/>
    <n v="58"/>
    <n v="3.13"/>
    <n v="2.27"/>
    <s v="Alive"/>
    <n v="102"/>
    <n v="175"/>
    <n v="86"/>
    <n v="46"/>
    <s v="Moderate"/>
    <n v="0"/>
    <n v="3.1300000000000001E-2"/>
    <n v="2.2700000000000001E-2"/>
    <d v="1899-12-30T15:56:00"/>
  </r>
  <r>
    <n v="1344"/>
    <d v="2020-12-27T14:00:00"/>
    <d v="2020-12-27T00:00:00"/>
    <s v="14:00"/>
    <d v="2020-12-29T08:19:00"/>
    <d v="2020-12-29T00:00:00"/>
    <d v="1899-12-30T08:19:00"/>
    <n v="4"/>
    <x v="2"/>
    <x v="3"/>
    <x v="4"/>
    <n v="68"/>
    <n v="7.68"/>
    <n v="8.48"/>
    <s v="Alive"/>
    <n v="126"/>
    <n v="156"/>
    <n v="74"/>
    <n v="45"/>
    <s v="Moderate"/>
    <n v="0"/>
    <n v="7.6799999999999993E-2"/>
    <n v="8.48E-2"/>
    <d v="1899-12-31T18:19:00"/>
  </r>
  <r>
    <n v="1345"/>
    <d v="2020-12-27T14:00:00"/>
    <d v="2020-12-27T00:00:00"/>
    <s v="14:00"/>
    <d v="2020-12-29T12:39:00"/>
    <d v="2020-12-29T00:00:00"/>
    <d v="1899-12-30T12:39:00"/>
    <n v="1"/>
    <x v="2"/>
    <x v="0"/>
    <x v="13"/>
    <n v="54"/>
    <n v="5.97"/>
    <n v="2.54"/>
    <s v="Alive"/>
    <n v="70"/>
    <n v="170"/>
    <n v="70"/>
    <n v="40"/>
    <s v="Moderate"/>
    <n v="0"/>
    <n v="5.9699999999999996E-2"/>
    <n v="2.5399999999999999E-2"/>
    <d v="1899-12-31T22:39:00"/>
  </r>
  <r>
    <n v="1346"/>
    <d v="2020-12-30T06:36:00"/>
    <d v="2020-12-30T00:00:00"/>
    <s v="06:36"/>
    <d v="2020-12-30T07:44:00"/>
    <d v="2020-12-30T00:00:00"/>
    <d v="1899-12-30T07:44:00"/>
    <n v="5"/>
    <x v="0"/>
    <x v="4"/>
    <x v="0"/>
    <n v="34"/>
    <n v="9.0399999999999991"/>
    <n v="3.27"/>
    <s v="Alive"/>
    <n v="80"/>
    <n v="175"/>
    <n v="70"/>
    <n v="37"/>
    <s v="Moderate"/>
    <n v="0"/>
    <n v="9.0399999999999994E-2"/>
    <n v="3.27E-2"/>
    <d v="1899-12-30T01:08:00"/>
  </r>
  <r>
    <n v="1347"/>
    <d v="2020-12-29T07:00:00"/>
    <d v="2020-12-29T00:00:00"/>
    <s v="07:00"/>
    <d v="2020-12-30T13:33:00"/>
    <d v="2020-12-30T00:00:00"/>
    <d v="1899-12-30T13:33:00"/>
    <n v="4"/>
    <x v="2"/>
    <x v="2"/>
    <x v="0"/>
    <n v="67"/>
    <n v="1.49"/>
    <n v="0.84"/>
    <s v="Alive"/>
    <n v="97"/>
    <n v="159"/>
    <n v="82"/>
    <n v="20"/>
    <s v="Very Poor"/>
    <n v="0"/>
    <n v="1.49E-2"/>
    <n v="8.3999999999999995E-3"/>
    <d v="1899-12-31T06:3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8D51FD-5AB7-40DD-8803-49187B7CE1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I22" firstHeaderRow="1" firstDataRow="2" firstDataCol="1"/>
  <pivotFields count="32">
    <pivotField showAll="0"/>
    <pivotField numFmtId="164" showAll="0"/>
    <pivotField numFmtId="14" showAll="0"/>
    <pivotField showAll="0"/>
    <pivotField numFmtId="164" showAll="0"/>
    <pivotField numFmtId="14" showAll="0"/>
    <pivotField numFmtId="166" showAll="0"/>
    <pivotField showAll="0"/>
    <pivotField showAll="0">
      <items count="5">
        <item x="1"/>
        <item x="0"/>
        <item x="3"/>
        <item x="2"/>
        <item t="default"/>
      </items>
    </pivotField>
    <pivotField axis="axisCol" dataField="1" showAll="0">
      <items count="8">
        <item x="4"/>
        <item x="2"/>
        <item x="3"/>
        <item x="1"/>
        <item x="5"/>
        <item x="6"/>
        <item x="0"/>
        <item t="default"/>
      </items>
    </pivotField>
    <pivotField axis="axisRow" showAll="0" sortType="descending">
      <items count="18">
        <item x="3"/>
        <item x="0"/>
        <item x="16"/>
        <item x="14"/>
        <item x="10"/>
        <item x="13"/>
        <item x="6"/>
        <item x="2"/>
        <item x="11"/>
        <item x="4"/>
        <item x="8"/>
        <item x="1"/>
        <item x="12"/>
        <item x="9"/>
        <item x="15"/>
        <item x="7"/>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18">
    <i>
      <x/>
    </i>
    <i>
      <x v="1"/>
    </i>
    <i>
      <x v="2"/>
    </i>
    <i>
      <x v="3"/>
    </i>
    <i>
      <x v="4"/>
    </i>
    <i>
      <x v="5"/>
    </i>
    <i>
      <x v="6"/>
    </i>
    <i>
      <x v="7"/>
    </i>
    <i>
      <x v="8"/>
    </i>
    <i>
      <x v="9"/>
    </i>
    <i>
      <x v="10"/>
    </i>
    <i>
      <x v="11"/>
    </i>
    <i>
      <x v="12"/>
    </i>
    <i>
      <x v="13"/>
    </i>
    <i>
      <x v="14"/>
    </i>
    <i>
      <x v="15"/>
    </i>
    <i>
      <x v="16"/>
    </i>
    <i t="grand">
      <x/>
    </i>
  </rowItems>
  <colFields count="1">
    <field x="9"/>
  </colFields>
  <colItems count="8">
    <i>
      <x/>
    </i>
    <i>
      <x v="1"/>
    </i>
    <i>
      <x v="2"/>
    </i>
    <i>
      <x v="3"/>
    </i>
    <i>
      <x v="4"/>
    </i>
    <i>
      <x v="5"/>
    </i>
    <i>
      <x v="6"/>
    </i>
    <i t="grand">
      <x/>
    </i>
  </colItems>
  <dataFields count="1">
    <dataField name="Count of Operation Type" fld="9" subtotal="count" baseField="0" baseItem="0"/>
  </dataFields>
  <chartFormats count="14">
    <chartFormat chart="31" format="0" series="1">
      <pivotArea type="data" outline="0" fieldPosition="0">
        <references count="2">
          <reference field="4294967294" count="1" selected="0">
            <x v="0"/>
          </reference>
          <reference field="9" count="1" selected="0">
            <x v="0"/>
          </reference>
        </references>
      </pivotArea>
    </chartFormat>
    <chartFormat chart="31" format="1" series="1">
      <pivotArea type="data" outline="0" fieldPosition="0">
        <references count="2">
          <reference field="4294967294" count="1" selected="0">
            <x v="0"/>
          </reference>
          <reference field="9" count="1" selected="0">
            <x v="1"/>
          </reference>
        </references>
      </pivotArea>
    </chartFormat>
    <chartFormat chart="31" format="2" series="1">
      <pivotArea type="data" outline="0" fieldPosition="0">
        <references count="2">
          <reference field="4294967294" count="1" selected="0">
            <x v="0"/>
          </reference>
          <reference field="9" count="1" selected="0">
            <x v="2"/>
          </reference>
        </references>
      </pivotArea>
    </chartFormat>
    <chartFormat chart="31" format="3" series="1">
      <pivotArea type="data" outline="0" fieldPosition="0">
        <references count="2">
          <reference field="4294967294" count="1" selected="0">
            <x v="0"/>
          </reference>
          <reference field="9" count="1" selected="0">
            <x v="3"/>
          </reference>
        </references>
      </pivotArea>
    </chartFormat>
    <chartFormat chart="31" format="4" series="1">
      <pivotArea type="data" outline="0" fieldPosition="0">
        <references count="2">
          <reference field="4294967294" count="1" selected="0">
            <x v="0"/>
          </reference>
          <reference field="9" count="1" selected="0">
            <x v="4"/>
          </reference>
        </references>
      </pivotArea>
    </chartFormat>
    <chartFormat chart="31" format="5" series="1">
      <pivotArea type="data" outline="0" fieldPosition="0">
        <references count="2">
          <reference field="4294967294" count="1" selected="0">
            <x v="0"/>
          </reference>
          <reference field="9" count="1" selected="0">
            <x v="5"/>
          </reference>
        </references>
      </pivotArea>
    </chartFormat>
    <chartFormat chart="31" format="6" series="1">
      <pivotArea type="data" outline="0" fieldPosition="0">
        <references count="2">
          <reference field="4294967294" count="1" selected="0">
            <x v="0"/>
          </reference>
          <reference field="9" count="1" selected="0">
            <x v="6"/>
          </reference>
        </references>
      </pivotArea>
    </chartFormat>
    <chartFormat chart="34" format="14" series="1">
      <pivotArea type="data" outline="0" fieldPosition="0">
        <references count="2">
          <reference field="4294967294" count="1" selected="0">
            <x v="0"/>
          </reference>
          <reference field="9" count="1" selected="0">
            <x v="0"/>
          </reference>
        </references>
      </pivotArea>
    </chartFormat>
    <chartFormat chart="34" format="15" series="1">
      <pivotArea type="data" outline="0" fieldPosition="0">
        <references count="2">
          <reference field="4294967294" count="1" selected="0">
            <x v="0"/>
          </reference>
          <reference field="9" count="1" selected="0">
            <x v="1"/>
          </reference>
        </references>
      </pivotArea>
    </chartFormat>
    <chartFormat chart="34" format="16" series="1">
      <pivotArea type="data" outline="0" fieldPosition="0">
        <references count="2">
          <reference field="4294967294" count="1" selected="0">
            <x v="0"/>
          </reference>
          <reference field="9" count="1" selected="0">
            <x v="2"/>
          </reference>
        </references>
      </pivotArea>
    </chartFormat>
    <chartFormat chart="34" format="17" series="1">
      <pivotArea type="data" outline="0" fieldPosition="0">
        <references count="2">
          <reference field="4294967294" count="1" selected="0">
            <x v="0"/>
          </reference>
          <reference field="9" count="1" selected="0">
            <x v="3"/>
          </reference>
        </references>
      </pivotArea>
    </chartFormat>
    <chartFormat chart="34" format="18" series="1">
      <pivotArea type="data" outline="0" fieldPosition="0">
        <references count="2">
          <reference field="4294967294" count="1" selected="0">
            <x v="0"/>
          </reference>
          <reference field="9" count="1" selected="0">
            <x v="4"/>
          </reference>
        </references>
      </pivotArea>
    </chartFormat>
    <chartFormat chart="34" format="19" series="1">
      <pivotArea type="data" outline="0" fieldPosition="0">
        <references count="2">
          <reference field="4294967294" count="1" selected="0">
            <x v="0"/>
          </reference>
          <reference field="9" count="1" selected="0">
            <x v="5"/>
          </reference>
        </references>
      </pivotArea>
    </chartFormat>
    <chartFormat chart="34" format="20"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57BC0-05C5-4657-8B57-84626D7E344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urgeon names">
  <location ref="A3:F21" firstHeaderRow="0" firstDataRow="1" firstDataCol="1"/>
  <pivotFields count="32">
    <pivotField showAll="0"/>
    <pivotField numFmtId="164" showAll="0"/>
    <pivotField numFmtId="14" showAll="0"/>
    <pivotField showAll="0"/>
    <pivotField numFmtId="164" showAll="0"/>
    <pivotField numFmtId="14" showAll="0"/>
    <pivotField numFmtId="166" showAll="0"/>
    <pivotField showAll="0"/>
    <pivotField showAll="0"/>
    <pivotField showAll="0"/>
    <pivotField axis="axisRow" showAll="0" sortType="descending">
      <items count="18">
        <item x="3"/>
        <item x="0"/>
        <item x="16"/>
        <item x="14"/>
        <item x="10"/>
        <item x="13"/>
        <item x="6"/>
        <item x="2"/>
        <item x="11"/>
        <item x="4"/>
        <item x="8"/>
        <item x="1"/>
        <item x="12"/>
        <item x="9"/>
        <item x="15"/>
        <item x="7"/>
        <item x="5"/>
        <item t="default"/>
      </items>
    </pivotField>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numFmtId="20" showAl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5">
    <i>
      <x/>
    </i>
    <i i="1">
      <x v="1"/>
    </i>
    <i i="2">
      <x v="2"/>
    </i>
    <i i="3">
      <x v="3"/>
    </i>
    <i i="4">
      <x v="4"/>
    </i>
  </colItems>
  <dataFields count="5">
    <dataField name="Number of Patients" fld="11" subtotal="count" baseField="0" baseItem="0"/>
    <dataField name="Number of predicted mortality" fld="21" baseField="0" baseItem="0" numFmtId="167"/>
    <dataField name="Number of Actual mortality" fld="20" baseField="0" baseItem="0"/>
    <dataField name="Actual Mortality rate using Model 1" fld="25" baseField="0" baseItem="0" numFmtId="10"/>
    <dataField name="Predicted Mortality rate using model 1" fld="26" baseField="0" baseItem="0" numFmtId="10"/>
  </dataFields>
  <chartFormats count="10">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3"/>
          </reference>
        </references>
      </pivotArea>
    </chartFormat>
    <chartFormat chart="1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2BEEB-8A4B-4724-BB3E-B5DDB076163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rgeon names">
  <location ref="A3:G21" firstHeaderRow="0" firstDataRow="1" firstDataCol="1"/>
  <pivotFields count="32">
    <pivotField showAll="0"/>
    <pivotField numFmtId="164" showAll="0"/>
    <pivotField numFmtId="14" showAll="0"/>
    <pivotField showAll="0"/>
    <pivotField numFmtId="164" showAll="0"/>
    <pivotField numFmtId="14" showAll="0"/>
    <pivotField numFmtId="166" showAll="0"/>
    <pivotField showAll="0"/>
    <pivotField showAll="0"/>
    <pivotField showAll="0"/>
    <pivotField axis="axisRow" showAll="0" sortType="descending">
      <items count="18">
        <item x="3"/>
        <item x="0"/>
        <item x="16"/>
        <item x="14"/>
        <item x="10"/>
        <item x="13"/>
        <item x="6"/>
        <item x="2"/>
        <item x="11"/>
        <item x="4"/>
        <item x="8"/>
        <item x="1"/>
        <item x="12"/>
        <item x="9"/>
        <item x="15"/>
        <item x="7"/>
        <item x="5"/>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dataField="1" showAll="0"/>
    <pivotField numFmtId="20"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0"/>
  </rowFields>
  <rowItems count="18">
    <i>
      <x/>
    </i>
    <i>
      <x v="1"/>
    </i>
    <i>
      <x v="2"/>
    </i>
    <i>
      <x v="3"/>
    </i>
    <i>
      <x v="4"/>
    </i>
    <i>
      <x v="5"/>
    </i>
    <i>
      <x v="6"/>
    </i>
    <i>
      <x v="7"/>
    </i>
    <i>
      <x v="8"/>
    </i>
    <i>
      <x v="9"/>
    </i>
    <i>
      <x v="10"/>
    </i>
    <i>
      <x v="11"/>
    </i>
    <i>
      <x v="12"/>
    </i>
    <i>
      <x v="13"/>
    </i>
    <i>
      <x v="14"/>
    </i>
    <i>
      <x v="15"/>
    </i>
    <i>
      <x v="16"/>
    </i>
    <i t="grand">
      <x/>
    </i>
  </rowItems>
  <colFields count="1">
    <field x="-2"/>
  </colFields>
  <colItems count="6">
    <i>
      <x/>
    </i>
    <i i="1">
      <x v="1"/>
    </i>
    <i i="2">
      <x v="2"/>
    </i>
    <i i="3">
      <x v="3"/>
    </i>
    <i i="4">
      <x v="4"/>
    </i>
    <i i="5">
      <x v="5"/>
    </i>
  </colItems>
  <dataFields count="6">
    <dataField name="Number of Patients" fld="11" subtotal="count" baseField="0" baseItem="0"/>
    <dataField name="Number of predicted mortality " fld="22" baseField="0" baseItem="0" numFmtId="1"/>
    <dataField name="Number of Actual mortality" fld="20" baseField="0" baseItem="0"/>
    <dataField name="Actual Mortality rate using model 2" fld="27" baseField="0" baseItem="0" numFmtId="10"/>
    <dataField name="Predicted Mortality rate using model 2" fld="28" baseField="0" baseItem="0" numFmtId="10"/>
    <dataField name="O/E ratio" fld="29" baseField="0" baseItem="0" numFmtId="1"/>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B63873-E9C2-43F4-BB1B-D5B88054D8E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2">
    <pivotField showAll="0"/>
    <pivotField numFmtId="164" showAll="0"/>
    <pivotField numFmtId="14" showAll="0"/>
    <pivotField showAll="0"/>
    <pivotField numFmtId="164" showAll="0"/>
    <pivotField numFmtId="14" showAll="0"/>
    <pivotField numFmtId="166" showAll="0"/>
    <pivotField showAll="0"/>
    <pivotField axis="axisRow" showAll="0">
      <items count="5">
        <item x="1"/>
        <item x="0"/>
        <item x="3"/>
        <item x="2"/>
        <item t="default"/>
      </items>
    </pivotField>
    <pivotField showAll="0">
      <items count="8">
        <item x="4"/>
        <item x="2"/>
        <item x="3"/>
        <item x="1"/>
        <item x="5"/>
        <item x="6"/>
        <item x="0"/>
        <item t="default"/>
      </items>
    </pivotField>
    <pivotField showAll="0">
      <items count="18">
        <item x="5"/>
        <item x="7"/>
        <item x="15"/>
        <item x="9"/>
        <item x="12"/>
        <item x="1"/>
        <item x="8"/>
        <item x="4"/>
        <item x="11"/>
        <item x="2"/>
        <item x="6"/>
        <item x="13"/>
        <item x="10"/>
        <item x="14"/>
        <item x="16"/>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2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Average of Time between admission and procedure (hours)" fld="23" subtotal="average" baseField="8" baseItem="0" numFmtId="2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0541254-7D8F-4C4B-92A7-0A3F699592EB}" sourceName="Priority">
  <pivotTables>
    <pivotTable tabId="5" name="PivotTable2"/>
    <pivotTable tabId="17" name="PivotTable20"/>
  </pivotTables>
  <data>
    <tabular pivotCacheId="1463822440">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Type" xr10:uid="{657211D2-7818-4018-A15E-5293C5D74DC9}" sourceName="Operation Type">
  <pivotTables>
    <pivotTable tabId="5" name="PivotTable2"/>
    <pivotTable tabId="17" name="PivotTable20"/>
  </pivotTables>
  <data>
    <tabular pivotCacheId="1463822440">
      <items count="7">
        <i x="4" s="1"/>
        <i x="2" s="1"/>
        <i x="3" s="1"/>
        <i x="1"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geon_Name" xr10:uid="{1133473F-8DB6-4A76-83FA-80AD03D2659E}" sourceName="Surgeon Name">
  <pivotTables>
    <pivotTable tabId="5" name="PivotTable2"/>
    <pivotTable tabId="9" name="PivotTable14"/>
    <pivotTable tabId="11" name="PivotTable15"/>
    <pivotTable tabId="17" name="PivotTable20"/>
  </pivotTables>
  <data>
    <tabular pivotCacheId="1463822440">
      <items count="17">
        <i x="5" s="1"/>
        <i x="7" s="1"/>
        <i x="15" s="1"/>
        <i x="9" s="1"/>
        <i x="12" s="1"/>
        <i x="1" s="1"/>
        <i x="8" s="1"/>
        <i x="4" s="1"/>
        <i x="11" s="1"/>
        <i x="2" s="1"/>
        <i x="6" s="1"/>
        <i x="13" s="1"/>
        <i x="10" s="1"/>
        <i x="14" s="1"/>
        <i x="16"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521D4E2F-311A-4120-B49E-CDA23035A420}" cache="Slicer_Priority" caption="Priority" rowHeight="241300"/>
  <slicer name="Operation Type" xr10:uid="{4C72B1B2-146D-44CE-AD9E-454B52638527}" cache="Slicer_Operation_Type" caption="Operation Type" rowHeight="241300"/>
  <slicer name="Surgeon Name" xr10:uid="{7381D2CA-1FE2-4CD8-97FF-83ED4E8205D0}" cache="Slicer_Surgeon_Name" caption="Surgeon Name"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F49DF-8E29-43EC-B32D-9905CBB72B17}" name="Cardiac_Table" displayName="Cardiac_Table" ref="A1:X1336" totalsRowShown="0">
  <autoFilter ref="A1:X1336" xr:uid="{211F49DF-8E29-43EC-B32D-9905CBB72B17}"/>
  <tableColumns count="24">
    <tableColumn id="1" xr3:uid="{46A94231-73C9-4FEC-B120-C5A5446D9CE4}" name="ID Number"/>
    <tableColumn id="2" xr3:uid="{1CE2B6F4-FF1F-4893-A143-450D898399D8}" name="Hospital Admit Date " dataDxfId="15"/>
    <tableColumn id="16" xr3:uid="{35129EDA-947B-4B2D-A12F-AE71E8488FA7}" name="Hospital admit date" dataDxfId="14">
      <calculatedColumnFormula>INT(Cardiac_Table[[#This Row],[Hospital Admit Date ]])</calculatedColumnFormula>
    </tableColumn>
    <tableColumn id="12" xr3:uid="{F70B6F9E-BEEA-4992-AA63-15BB994466FF}" name="Hospita Admit time" dataDxfId="13">
      <calculatedColumnFormula>TEXT(B2,"HH:MM")</calculatedColumnFormula>
    </tableColumn>
    <tableColumn id="3" xr3:uid="{7EE93B70-08AC-4045-99D6-473F5BE99187}" name="Procedure Start Date and Time" dataDxfId="12"/>
    <tableColumn id="18" xr3:uid="{9F0E0FC7-2E70-400C-8983-592D36566550}" name="Procedure start date" dataDxfId="11">
      <calculatedColumnFormula>INT(Cardiac_Table[[#This Row],[Procedure Start Date and Time]])</calculatedColumnFormula>
    </tableColumn>
    <tableColumn id="17" xr3:uid="{5E89D24A-CD0B-49CB-84A3-55599B9E8BFD}" name="Procedure start time" dataDxfId="10">
      <calculatedColumnFormula>MOD(Cardiac_Table[[#This Row],[Procedure Start Date and Time]],1)</calculatedColumnFormula>
    </tableColumn>
    <tableColumn id="4" xr3:uid="{FFEED924-CD02-42DE-B46C-63B4361B347B}" name="Location ID"/>
    <tableColumn id="5" xr3:uid="{CCE6C268-3AD2-4EC4-92C9-0178E8990741}" name="Priority"/>
    <tableColumn id="6" xr3:uid="{06B3B43D-4922-45E3-8FEC-FBA73A49649E}" name="Operation Type"/>
    <tableColumn id="7" xr3:uid="{DACBCB07-6DE9-4791-A0DB-419FD8426832}" name="Surgeon Name"/>
    <tableColumn id="8" xr3:uid="{0C58FFFF-ED4E-4B54-BA07-35D4BD0A972F}" name="Patient Age"/>
    <tableColumn id="9" xr3:uid="{FFADB8C0-4C10-40E4-908F-E00AF266A71B}" name="Risk of Death % (Model 1)"/>
    <tableColumn id="10" xr3:uid="{870097E9-FB32-4E4A-953B-F959A6614869}" name="Risk of Death % (Model 2)"/>
    <tableColumn id="11" xr3:uid="{BA73E7A2-FC47-4688-B374-EE347837F2AF}" name="Patient Status at Discharge"/>
    <tableColumn id="13" xr3:uid="{9851A59B-A8A2-4FE9-8C8E-209DA13B6B81}" name="Creatinine at time of Surgery " dataDxfId="9"/>
    <tableColumn id="14" xr3:uid="{81B95635-33C7-427B-ABA0-57F80D86C581}" name="Height" dataDxfId="8"/>
    <tableColumn id="15" xr3:uid="{A5A09275-8A87-4EB2-B5BC-1AC677D4E994}" name="Weight" dataDxfId="7"/>
    <tableColumn id="20" xr3:uid="{F50EF0F8-1572-4EB0-A26A-8F519E95E307}" name="Ejection Fraction" dataDxfId="6"/>
    <tableColumn id="21" xr3:uid="{C7815B6F-52A6-495F-9F50-171370DA9383}" name="Ejection fraction category" dataDxfId="5"/>
    <tableColumn id="19" xr3:uid="{43BDEF8A-064C-4B44-8F59-B8D271BB94AA}" name="Actual mortality" dataDxfId="4">
      <calculatedColumnFormula>IF(Cardiac_Table[[#This Row],[Patient Status at Discharge]]="Died", 1,0)</calculatedColumnFormula>
    </tableColumn>
    <tableColumn id="22" xr3:uid="{E9EF2D1C-265C-465F-A5EC-5D651A60B80F}" name="Risk of death decimal (1)" dataDxfId="3">
      <calculatedColumnFormula>Cardiac_Table[[#This Row],[Risk of Death % (Model 1)]]/100</calculatedColumnFormula>
    </tableColumn>
    <tableColumn id="23" xr3:uid="{646755A2-1EF8-4C50-BC6D-41D8AD04DBCB}" name="Risk of death decimal (2)" dataDxfId="2">
      <calculatedColumnFormula>Cardiac_Table[[#This Row],[Risk of Death % (Model 2)]]/100</calculatedColumnFormula>
    </tableColumn>
    <tableColumn id="24" xr3:uid="{D4D0268E-45AC-4C94-A092-43D4D744CB3A}" name="Time between admission and procedure" dataDxfId="1">
      <calculatedColumnFormula>Cardiac_Table[[#This Row],[Procedure Start Date and Time]]-Cardiac_Table[[#This Row],[Hospital Admit Date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AC74-D30A-4D72-BF84-9FD45A0D1964}">
  <dimension ref="A1:A13"/>
  <sheetViews>
    <sheetView showGridLines="0" workbookViewId="0">
      <selection activeCell="A3" sqref="A3"/>
    </sheetView>
  </sheetViews>
  <sheetFormatPr defaultRowHeight="14.5" x14ac:dyDescent="0.35"/>
  <cols>
    <col min="1" max="1" width="155.1796875" customWidth="1"/>
  </cols>
  <sheetData>
    <row r="1" spans="1:1" ht="26" x14ac:dyDescent="0.6">
      <c r="A1" s="1" t="s">
        <v>41</v>
      </c>
    </row>
    <row r="2" spans="1:1" ht="15.5" x14ac:dyDescent="0.35">
      <c r="A2" s="2"/>
    </row>
    <row r="3" spans="1:1" ht="31" x14ac:dyDescent="0.35">
      <c r="A3" s="2" t="s">
        <v>56</v>
      </c>
    </row>
    <row r="4" spans="1:1" ht="77.5" x14ac:dyDescent="0.35">
      <c r="A4" s="5" t="s">
        <v>58</v>
      </c>
    </row>
    <row r="5" spans="1:1" ht="15.5" x14ac:dyDescent="0.35">
      <c r="A5" s="6" t="s">
        <v>57</v>
      </c>
    </row>
    <row r="6" spans="1:1" ht="15.5" x14ac:dyDescent="0.35">
      <c r="A6" s="4"/>
    </row>
    <row r="7" spans="1:1" ht="15.5" x14ac:dyDescent="0.35">
      <c r="A7" s="2" t="s">
        <v>59</v>
      </c>
    </row>
    <row r="8" spans="1:1" ht="15.5" x14ac:dyDescent="0.35">
      <c r="A8" s="2" t="s">
        <v>42</v>
      </c>
    </row>
    <row r="9" spans="1:1" ht="15.5" x14ac:dyDescent="0.35">
      <c r="A9" s="2" t="s">
        <v>43</v>
      </c>
    </row>
    <row r="10" spans="1:1" ht="15.5" x14ac:dyDescent="0.35">
      <c r="A10" s="2" t="s">
        <v>44</v>
      </c>
    </row>
    <row r="11" spans="1:1" ht="15.5" x14ac:dyDescent="0.35">
      <c r="A11" s="7" t="s">
        <v>54</v>
      </c>
    </row>
    <row r="12" spans="1:1" ht="15.5" x14ac:dyDescent="0.35">
      <c r="A12" s="3"/>
    </row>
    <row r="13" spans="1:1" ht="31" x14ac:dyDescent="0.35">
      <c r="A13" s="8" t="s">
        <v>60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36"/>
  <sheetViews>
    <sheetView topLeftCell="A2" workbookViewId="0">
      <selection activeCell="A2" sqref="A2:X1336"/>
    </sheetView>
  </sheetViews>
  <sheetFormatPr defaultRowHeight="14.5" x14ac:dyDescent="0.35"/>
  <cols>
    <col min="1" max="1" width="12.453125" bestFit="1" customWidth="1"/>
    <col min="2" max="2" width="19.7265625" style="9" customWidth="1"/>
    <col min="3" max="3" width="21.1796875" style="10" hidden="1" customWidth="1"/>
    <col min="4" max="4" width="17.7265625" style="11" hidden="1" customWidth="1"/>
    <col min="5" max="5" width="29.81640625" style="9" customWidth="1"/>
    <col min="6" max="6" width="29.81640625" style="10" hidden="1" customWidth="1"/>
    <col min="7" max="7" width="29.81640625" style="12" hidden="1" customWidth="1"/>
    <col min="8" max="8" width="12.7265625" bestFit="1" customWidth="1"/>
    <col min="9" max="9" width="10.54296875" bestFit="1" customWidth="1"/>
    <col min="10" max="10" width="16.7265625" bestFit="1" customWidth="1"/>
    <col min="11" max="11" width="21.26953125" bestFit="1" customWidth="1"/>
    <col min="12" max="12" width="13.26953125" bestFit="1" customWidth="1"/>
    <col min="13" max="14" width="25.7265625" bestFit="1" customWidth="1"/>
    <col min="15" max="15" width="26.26953125" bestFit="1" customWidth="1"/>
    <col min="16" max="16" width="28.81640625" bestFit="1" customWidth="1"/>
    <col min="17" max="17" width="12.7265625" bestFit="1" customWidth="1"/>
    <col min="18" max="18" width="9.54296875" bestFit="1" customWidth="1"/>
    <col min="19" max="19" width="28.81640625" bestFit="1" customWidth="1"/>
    <col min="20" max="20" width="29.453125" bestFit="1" customWidth="1"/>
    <col min="21" max="21" width="16.6328125" bestFit="1" customWidth="1"/>
    <col min="22" max="23" width="23.90625" bestFit="1" customWidth="1"/>
    <col min="24" max="24" width="37.1796875" style="18" bestFit="1" customWidth="1"/>
  </cols>
  <sheetData>
    <row r="1" spans="1:24" x14ac:dyDescent="0.35">
      <c r="A1" t="s">
        <v>18</v>
      </c>
      <c r="B1" s="9" t="s">
        <v>40</v>
      </c>
      <c r="C1" s="10" t="s">
        <v>62</v>
      </c>
      <c r="D1" s="11" t="s">
        <v>61</v>
      </c>
      <c r="E1" s="9" t="s">
        <v>9</v>
      </c>
      <c r="F1" s="10" t="s">
        <v>64</v>
      </c>
      <c r="G1" s="12" t="s">
        <v>63</v>
      </c>
      <c r="H1" t="s">
        <v>39</v>
      </c>
      <c r="I1" t="s">
        <v>19</v>
      </c>
      <c r="J1" t="s">
        <v>37</v>
      </c>
      <c r="K1" t="s">
        <v>38</v>
      </c>
      <c r="L1" t="s">
        <v>55</v>
      </c>
      <c r="M1" t="s">
        <v>16</v>
      </c>
      <c r="N1" t="s">
        <v>17</v>
      </c>
      <c r="O1" t="s">
        <v>12</v>
      </c>
      <c r="P1" t="s">
        <v>45</v>
      </c>
      <c r="Q1" t="s">
        <v>46</v>
      </c>
      <c r="R1" t="s">
        <v>47</v>
      </c>
      <c r="S1" t="s">
        <v>53</v>
      </c>
      <c r="T1" t="s">
        <v>52</v>
      </c>
      <c r="U1" t="s">
        <v>71</v>
      </c>
      <c r="V1" t="s">
        <v>75</v>
      </c>
      <c r="W1" t="s">
        <v>76</v>
      </c>
      <c r="X1" s="18" t="s">
        <v>102</v>
      </c>
    </row>
    <row r="2" spans="1:24" x14ac:dyDescent="0.35">
      <c r="A2">
        <v>2</v>
      </c>
      <c r="B2" s="9">
        <v>43831.59375</v>
      </c>
      <c r="C2" s="10">
        <f>INT(Cardiac_Table[[#This Row],[Hospital Admit Date ]])</f>
        <v>43831</v>
      </c>
      <c r="D2" s="11" t="str">
        <f t="shared" ref="D2:D65" si="0">TEXT(B2,"HH:MM")</f>
        <v>14:15</v>
      </c>
      <c r="E2" s="9">
        <v>43832.336111111108</v>
      </c>
      <c r="F2" s="10">
        <f>INT(Cardiac_Table[[#This Row],[Procedure Start Date and Time]])</f>
        <v>43832</v>
      </c>
      <c r="G2" s="12">
        <f>MOD(Cardiac_Table[[#This Row],[Procedure Start Date and Time]],1)</f>
        <v>0.33611111110803904</v>
      </c>
      <c r="H2">
        <v>1</v>
      </c>
      <c r="I2" t="s">
        <v>2</v>
      </c>
      <c r="J2" t="s">
        <v>3</v>
      </c>
      <c r="K2" t="s">
        <v>30</v>
      </c>
      <c r="L2">
        <v>51</v>
      </c>
      <c r="M2">
        <v>11.54</v>
      </c>
      <c r="N2">
        <v>3.07</v>
      </c>
      <c r="O2" t="s">
        <v>15</v>
      </c>
      <c r="P2">
        <v>176</v>
      </c>
      <c r="Q2">
        <v>182</v>
      </c>
      <c r="R2">
        <v>85</v>
      </c>
      <c r="S2">
        <v>35</v>
      </c>
      <c r="T2" t="s">
        <v>50</v>
      </c>
      <c r="U2">
        <f>IF(Cardiac_Table[[#This Row],[Patient Status at Discharge]]="Died", 1,0)</f>
        <v>0</v>
      </c>
      <c r="V2">
        <f>Cardiac_Table[[#This Row],[Risk of Death % (Model 1)]]/100</f>
        <v>0.11539999999999999</v>
      </c>
      <c r="W2">
        <f>Cardiac_Table[[#This Row],[Risk of Death % (Model 2)]]/100</f>
        <v>3.0699999999999998E-2</v>
      </c>
      <c r="X2" s="18">
        <f>Cardiac_Table[[#This Row],[Procedure Start Date and Time]]-Cardiac_Table[[#This Row],[Hospital Admit Date ]]</f>
        <v>0.74236111110803904</v>
      </c>
    </row>
    <row r="3" spans="1:24" x14ac:dyDescent="0.35">
      <c r="A3">
        <v>3</v>
      </c>
      <c r="B3" s="9">
        <v>43831.555555555555</v>
      </c>
      <c r="C3" s="10">
        <f>INT(Cardiac_Table[[#This Row],[Hospital Admit Date ]])</f>
        <v>43831</v>
      </c>
      <c r="D3" s="11" t="str">
        <f t="shared" si="0"/>
        <v>13:20</v>
      </c>
      <c r="E3" s="9">
        <v>43832.336805555555</v>
      </c>
      <c r="F3" s="10">
        <f>INT(Cardiac_Table[[#This Row],[Procedure Start Date and Time]])</f>
        <v>43832</v>
      </c>
      <c r="G3" s="12">
        <f>MOD(Cardiac_Table[[#This Row],[Procedure Start Date and Time]],1)</f>
        <v>0.33680555555474712</v>
      </c>
      <c r="H3">
        <v>3</v>
      </c>
      <c r="I3" t="s">
        <v>4</v>
      </c>
      <c r="J3" t="s">
        <v>3</v>
      </c>
      <c r="K3" t="s">
        <v>23</v>
      </c>
      <c r="L3">
        <v>59</v>
      </c>
      <c r="M3">
        <v>1.51</v>
      </c>
      <c r="N3">
        <v>0.75</v>
      </c>
      <c r="O3" t="s">
        <v>15</v>
      </c>
      <c r="P3">
        <v>93</v>
      </c>
      <c r="Q3">
        <v>151</v>
      </c>
      <c r="R3">
        <v>87</v>
      </c>
      <c r="S3">
        <v>61</v>
      </c>
      <c r="T3" t="s">
        <v>48</v>
      </c>
      <c r="U3">
        <f>IF(Cardiac_Table[[#This Row],[Patient Status at Discharge]]="Died", 1,0)</f>
        <v>0</v>
      </c>
      <c r="V3">
        <f>Cardiac_Table[[#This Row],[Risk of Death % (Model 1)]]/100</f>
        <v>1.5100000000000001E-2</v>
      </c>
      <c r="W3">
        <f>Cardiac_Table[[#This Row],[Risk of Death % (Model 2)]]/100</f>
        <v>7.4999999999999997E-3</v>
      </c>
      <c r="X3" s="18">
        <f>Cardiac_Table[[#This Row],[Procedure Start Date and Time]]-Cardiac_Table[[#This Row],[Hospital Admit Date ]]</f>
        <v>0.78125</v>
      </c>
    </row>
    <row r="4" spans="1:24" x14ac:dyDescent="0.35">
      <c r="A4">
        <v>4</v>
      </c>
      <c r="B4" s="9">
        <v>43831.913888888892</v>
      </c>
      <c r="C4" s="10">
        <f>INT(Cardiac_Table[[#This Row],[Hospital Admit Date ]])</f>
        <v>43831</v>
      </c>
      <c r="D4" s="11" t="str">
        <f t="shared" si="0"/>
        <v>21:56</v>
      </c>
      <c r="E4" s="9">
        <v>43832.354861111111</v>
      </c>
      <c r="F4" s="10">
        <f>INT(Cardiac_Table[[#This Row],[Procedure Start Date and Time]])</f>
        <v>43832</v>
      </c>
      <c r="G4" s="12">
        <f>MOD(Cardiac_Table[[#This Row],[Procedure Start Date and Time]],1)</f>
        <v>0.35486111111094942</v>
      </c>
      <c r="H4">
        <v>5</v>
      </c>
      <c r="I4" t="s">
        <v>2</v>
      </c>
      <c r="J4" t="s">
        <v>5</v>
      </c>
      <c r="K4" t="s">
        <v>28</v>
      </c>
      <c r="L4">
        <v>61</v>
      </c>
      <c r="M4">
        <v>18.79</v>
      </c>
      <c r="N4">
        <v>12.58</v>
      </c>
      <c r="O4" t="s">
        <v>13</v>
      </c>
      <c r="P4">
        <v>81</v>
      </c>
      <c r="Q4">
        <v>180</v>
      </c>
      <c r="R4">
        <v>99</v>
      </c>
      <c r="S4">
        <v>58</v>
      </c>
      <c r="T4" t="s">
        <v>48</v>
      </c>
      <c r="U4">
        <f>IF(Cardiac_Table[[#This Row],[Patient Status at Discharge]]="Died", 1,0)</f>
        <v>1</v>
      </c>
      <c r="V4">
        <f>Cardiac_Table[[#This Row],[Risk of Death % (Model 1)]]/100</f>
        <v>0.18789999999999998</v>
      </c>
      <c r="W4">
        <f>Cardiac_Table[[#This Row],[Risk of Death % (Model 2)]]/100</f>
        <v>0.1258</v>
      </c>
      <c r="X4" s="18">
        <f>Cardiac_Table[[#This Row],[Procedure Start Date and Time]]-Cardiac_Table[[#This Row],[Hospital Admit Date ]]</f>
        <v>0.44097222221898846</v>
      </c>
    </row>
    <row r="5" spans="1:24" x14ac:dyDescent="0.35">
      <c r="A5">
        <v>5</v>
      </c>
      <c r="B5" s="9">
        <v>43832.666666666664</v>
      </c>
      <c r="C5" s="10">
        <f>INT(Cardiac_Table[[#This Row],[Hospital Admit Date ]])</f>
        <v>43832</v>
      </c>
      <c r="D5" s="11" t="str">
        <f t="shared" si="0"/>
        <v>16:00</v>
      </c>
      <c r="E5" s="9">
        <v>43833.326388888891</v>
      </c>
      <c r="F5" s="10">
        <f>INT(Cardiac_Table[[#This Row],[Procedure Start Date and Time]])</f>
        <v>43833</v>
      </c>
      <c r="G5" s="12">
        <f>MOD(Cardiac_Table[[#This Row],[Procedure Start Date and Time]],1)</f>
        <v>0.32638888889050577</v>
      </c>
      <c r="H5">
        <v>5</v>
      </c>
      <c r="I5" t="s">
        <v>4</v>
      </c>
      <c r="J5" t="s">
        <v>3</v>
      </c>
      <c r="K5" t="s">
        <v>29</v>
      </c>
      <c r="L5">
        <v>62</v>
      </c>
      <c r="M5">
        <v>6.61</v>
      </c>
      <c r="N5">
        <v>11.54</v>
      </c>
      <c r="O5" t="s">
        <v>15</v>
      </c>
      <c r="P5">
        <v>110</v>
      </c>
      <c r="Q5">
        <v>185</v>
      </c>
      <c r="R5">
        <v>82</v>
      </c>
      <c r="S5">
        <v>60</v>
      </c>
      <c r="T5" t="s">
        <v>48</v>
      </c>
      <c r="U5">
        <f>IF(Cardiac_Table[[#This Row],[Patient Status at Discharge]]="Died", 1,0)</f>
        <v>0</v>
      </c>
      <c r="V5">
        <f>Cardiac_Table[[#This Row],[Risk of Death % (Model 1)]]/100</f>
        <v>6.6100000000000006E-2</v>
      </c>
      <c r="W5">
        <f>Cardiac_Table[[#This Row],[Risk of Death % (Model 2)]]/100</f>
        <v>0.11539999999999999</v>
      </c>
      <c r="X5" s="18">
        <f>Cardiac_Table[[#This Row],[Procedure Start Date and Time]]-Cardiac_Table[[#This Row],[Hospital Admit Date ]]</f>
        <v>0.65972222222626442</v>
      </c>
    </row>
    <row r="6" spans="1:24" x14ac:dyDescent="0.35">
      <c r="A6">
        <v>6</v>
      </c>
      <c r="B6" s="9">
        <v>43831.458333333336</v>
      </c>
      <c r="C6" s="10">
        <f>INT(Cardiac_Table[[#This Row],[Hospital Admit Date ]])</f>
        <v>43831</v>
      </c>
      <c r="D6" s="11" t="str">
        <f t="shared" si="0"/>
        <v>11:00</v>
      </c>
      <c r="E6" s="9">
        <v>43833.331250000003</v>
      </c>
      <c r="F6" s="10">
        <f>INT(Cardiac_Table[[#This Row],[Procedure Start Date and Time]])</f>
        <v>43833</v>
      </c>
      <c r="G6" s="12">
        <f>MOD(Cardiac_Table[[#This Row],[Procedure Start Date and Time]],1)</f>
        <v>0.33125000000291038</v>
      </c>
      <c r="H6">
        <v>3</v>
      </c>
      <c r="I6" t="s">
        <v>6</v>
      </c>
      <c r="J6" t="s">
        <v>10</v>
      </c>
      <c r="K6" t="s">
        <v>23</v>
      </c>
      <c r="L6">
        <v>57</v>
      </c>
      <c r="M6">
        <v>1.51</v>
      </c>
      <c r="N6">
        <v>0.8</v>
      </c>
      <c r="O6" t="s">
        <v>15</v>
      </c>
      <c r="P6">
        <v>77</v>
      </c>
      <c r="Q6">
        <v>157</v>
      </c>
      <c r="R6">
        <v>57</v>
      </c>
      <c r="S6">
        <v>64</v>
      </c>
      <c r="T6" t="s">
        <v>48</v>
      </c>
      <c r="U6">
        <f>IF(Cardiac_Table[[#This Row],[Patient Status at Discharge]]="Died", 1,0)</f>
        <v>0</v>
      </c>
      <c r="V6">
        <f>Cardiac_Table[[#This Row],[Risk of Death % (Model 1)]]/100</f>
        <v>1.5100000000000001E-2</v>
      </c>
      <c r="W6">
        <f>Cardiac_Table[[#This Row],[Risk of Death % (Model 2)]]/100</f>
        <v>8.0000000000000002E-3</v>
      </c>
      <c r="X6" s="18">
        <f>Cardiac_Table[[#This Row],[Procedure Start Date and Time]]-Cardiac_Table[[#This Row],[Hospital Admit Date ]]</f>
        <v>1.8729166666671517</v>
      </c>
    </row>
    <row r="7" spans="1:24" x14ac:dyDescent="0.35">
      <c r="A7">
        <v>7</v>
      </c>
      <c r="B7" s="9">
        <v>43827.399305555555</v>
      </c>
      <c r="C7" s="10">
        <f>INT(Cardiac_Table[[#This Row],[Hospital Admit Date ]])</f>
        <v>43827</v>
      </c>
      <c r="D7" s="11" t="str">
        <f t="shared" si="0"/>
        <v>09:35</v>
      </c>
      <c r="E7" s="9">
        <v>43833.34097222222</v>
      </c>
      <c r="F7" s="10">
        <f>INT(Cardiac_Table[[#This Row],[Procedure Start Date and Time]])</f>
        <v>43833</v>
      </c>
      <c r="G7" s="12">
        <f>MOD(Cardiac_Table[[#This Row],[Procedure Start Date and Time]],1)</f>
        <v>0.34097222222044365</v>
      </c>
      <c r="H7">
        <v>6</v>
      </c>
      <c r="I7" t="s">
        <v>6</v>
      </c>
      <c r="J7" t="s">
        <v>3</v>
      </c>
      <c r="K7" t="s">
        <v>26</v>
      </c>
      <c r="L7">
        <v>70</v>
      </c>
      <c r="M7">
        <v>3.08</v>
      </c>
      <c r="N7">
        <v>1.23</v>
      </c>
      <c r="O7" t="s">
        <v>15</v>
      </c>
      <c r="P7">
        <v>98</v>
      </c>
      <c r="Q7">
        <v>173</v>
      </c>
      <c r="R7">
        <v>105</v>
      </c>
      <c r="S7">
        <v>40</v>
      </c>
      <c r="T7" t="s">
        <v>50</v>
      </c>
      <c r="U7">
        <f>IF(Cardiac_Table[[#This Row],[Patient Status at Discharge]]="Died", 1,0)</f>
        <v>0</v>
      </c>
      <c r="V7">
        <f>Cardiac_Table[[#This Row],[Risk of Death % (Model 1)]]/100</f>
        <v>3.0800000000000001E-2</v>
      </c>
      <c r="W7">
        <f>Cardiac_Table[[#This Row],[Risk of Death % (Model 2)]]/100</f>
        <v>1.23E-2</v>
      </c>
      <c r="X7" s="18">
        <f>Cardiac_Table[[#This Row],[Procedure Start Date and Time]]-Cardiac_Table[[#This Row],[Hospital Admit Date ]]</f>
        <v>5.9416666666656965</v>
      </c>
    </row>
    <row r="8" spans="1:24" x14ac:dyDescent="0.35">
      <c r="A8">
        <v>8</v>
      </c>
      <c r="B8" s="9">
        <v>43821.534722222219</v>
      </c>
      <c r="C8" s="10">
        <f>INT(Cardiac_Table[[#This Row],[Hospital Admit Date ]])</f>
        <v>43821</v>
      </c>
      <c r="D8" s="11" t="str">
        <f t="shared" si="0"/>
        <v>12:50</v>
      </c>
      <c r="E8" s="9">
        <v>43833.618055555555</v>
      </c>
      <c r="F8" s="10">
        <f>INT(Cardiac_Table[[#This Row],[Procedure Start Date and Time]])</f>
        <v>43833</v>
      </c>
      <c r="G8" s="12">
        <f>MOD(Cardiac_Table[[#This Row],[Procedure Start Date and Time]],1)</f>
        <v>0.61805555555474712</v>
      </c>
      <c r="H8">
        <v>3</v>
      </c>
      <c r="I8" t="s">
        <v>6</v>
      </c>
      <c r="J8" t="s">
        <v>10</v>
      </c>
      <c r="K8" t="s">
        <v>23</v>
      </c>
      <c r="L8">
        <v>74</v>
      </c>
      <c r="M8">
        <v>5.96</v>
      </c>
      <c r="N8">
        <v>2.2999999999999998</v>
      </c>
      <c r="O8" t="s">
        <v>15</v>
      </c>
      <c r="P8">
        <v>91</v>
      </c>
      <c r="Q8">
        <v>167</v>
      </c>
      <c r="R8">
        <v>82</v>
      </c>
      <c r="S8">
        <v>65</v>
      </c>
      <c r="T8" t="s">
        <v>48</v>
      </c>
      <c r="U8">
        <f>IF(Cardiac_Table[[#This Row],[Patient Status at Discharge]]="Died", 1,0)</f>
        <v>0</v>
      </c>
      <c r="V8">
        <f>Cardiac_Table[[#This Row],[Risk of Death % (Model 1)]]/100</f>
        <v>5.96E-2</v>
      </c>
      <c r="W8">
        <f>Cardiac_Table[[#This Row],[Risk of Death % (Model 2)]]/100</f>
        <v>2.3E-2</v>
      </c>
      <c r="X8" s="18">
        <f>Cardiac_Table[[#This Row],[Procedure Start Date and Time]]-Cardiac_Table[[#This Row],[Hospital Admit Date ]]</f>
        <v>12.083333333335759</v>
      </c>
    </row>
    <row r="9" spans="1:24" x14ac:dyDescent="0.35">
      <c r="A9">
        <v>9</v>
      </c>
      <c r="B9" s="9">
        <v>43833.666666666664</v>
      </c>
      <c r="C9" s="10">
        <f>INT(Cardiac_Table[[#This Row],[Hospital Admit Date ]])</f>
        <v>43833</v>
      </c>
      <c r="D9" s="11" t="str">
        <f t="shared" si="0"/>
        <v>16:00</v>
      </c>
      <c r="E9" s="9">
        <v>43834.32916666667</v>
      </c>
      <c r="F9" s="10">
        <f>INT(Cardiac_Table[[#This Row],[Procedure Start Date and Time]])</f>
        <v>43834</v>
      </c>
      <c r="G9" s="12">
        <f>MOD(Cardiac_Table[[#This Row],[Procedure Start Date and Time]],1)</f>
        <v>0.32916666667006211</v>
      </c>
      <c r="H9">
        <v>2</v>
      </c>
      <c r="I9" t="s">
        <v>4</v>
      </c>
      <c r="J9" t="s">
        <v>10</v>
      </c>
      <c r="K9" t="s">
        <v>30</v>
      </c>
      <c r="L9">
        <v>75</v>
      </c>
      <c r="M9">
        <v>2.52</v>
      </c>
      <c r="N9">
        <v>0.77</v>
      </c>
      <c r="O9" t="s">
        <v>15</v>
      </c>
      <c r="P9">
        <v>102</v>
      </c>
      <c r="Q9">
        <v>177</v>
      </c>
      <c r="R9">
        <v>97</v>
      </c>
      <c r="S9">
        <v>55</v>
      </c>
      <c r="T9" t="s">
        <v>48</v>
      </c>
      <c r="U9">
        <f>IF(Cardiac_Table[[#This Row],[Patient Status at Discharge]]="Died", 1,0)</f>
        <v>0</v>
      </c>
      <c r="V9">
        <f>Cardiac_Table[[#This Row],[Risk of Death % (Model 1)]]/100</f>
        <v>2.52E-2</v>
      </c>
      <c r="W9">
        <f>Cardiac_Table[[#This Row],[Risk of Death % (Model 2)]]/100</f>
        <v>7.7000000000000002E-3</v>
      </c>
      <c r="X9" s="18">
        <f>Cardiac_Table[[#This Row],[Procedure Start Date and Time]]-Cardiac_Table[[#This Row],[Hospital Admit Date ]]</f>
        <v>0.66250000000582077</v>
      </c>
    </row>
    <row r="10" spans="1:24" x14ac:dyDescent="0.35">
      <c r="A10">
        <v>10</v>
      </c>
      <c r="B10" s="9">
        <v>43833.666666666664</v>
      </c>
      <c r="C10" s="10">
        <f>INT(Cardiac_Table[[#This Row],[Hospital Admit Date ]])</f>
        <v>43833</v>
      </c>
      <c r="D10" s="11" t="str">
        <f t="shared" si="0"/>
        <v>16:00</v>
      </c>
      <c r="E10" s="9">
        <v>43834.34375</v>
      </c>
      <c r="F10" s="10">
        <f>INT(Cardiac_Table[[#This Row],[Procedure Start Date and Time]])</f>
        <v>43834</v>
      </c>
      <c r="G10" s="12">
        <f>MOD(Cardiac_Table[[#This Row],[Procedure Start Date and Time]],1)</f>
        <v>0.34375</v>
      </c>
      <c r="H10">
        <v>5</v>
      </c>
      <c r="I10" t="s">
        <v>4</v>
      </c>
      <c r="J10" t="s">
        <v>3</v>
      </c>
      <c r="K10" t="s">
        <v>20</v>
      </c>
      <c r="L10">
        <v>78</v>
      </c>
      <c r="M10">
        <v>10.29</v>
      </c>
      <c r="N10">
        <v>4.84</v>
      </c>
      <c r="O10" t="s">
        <v>15</v>
      </c>
      <c r="P10">
        <v>79</v>
      </c>
      <c r="Q10">
        <v>183</v>
      </c>
      <c r="R10">
        <v>117</v>
      </c>
      <c r="S10">
        <v>55</v>
      </c>
      <c r="T10" t="s">
        <v>48</v>
      </c>
      <c r="U10">
        <f>IF(Cardiac_Table[[#This Row],[Patient Status at Discharge]]="Died", 1,0)</f>
        <v>0</v>
      </c>
      <c r="V10">
        <f>Cardiac_Table[[#This Row],[Risk of Death % (Model 1)]]/100</f>
        <v>0.10289999999999999</v>
      </c>
      <c r="W10">
        <f>Cardiac_Table[[#This Row],[Risk of Death % (Model 2)]]/100</f>
        <v>4.8399999999999999E-2</v>
      </c>
      <c r="X10" s="18">
        <f>Cardiac_Table[[#This Row],[Procedure Start Date and Time]]-Cardiac_Table[[#This Row],[Hospital Admit Date ]]</f>
        <v>0.67708333333575865</v>
      </c>
    </row>
    <row r="11" spans="1:24" x14ac:dyDescent="0.35">
      <c r="A11">
        <v>11</v>
      </c>
      <c r="B11" s="9">
        <v>43833.65</v>
      </c>
      <c r="C11" s="10">
        <f>INT(Cardiac_Table[[#This Row],[Hospital Admit Date ]])</f>
        <v>43833</v>
      </c>
      <c r="D11" s="11" t="str">
        <f t="shared" si="0"/>
        <v>15:36</v>
      </c>
      <c r="E11" s="9">
        <v>43834.51458333333</v>
      </c>
      <c r="F11" s="10">
        <f>INT(Cardiac_Table[[#This Row],[Procedure Start Date and Time]])</f>
        <v>43834</v>
      </c>
      <c r="G11" s="12">
        <f>MOD(Cardiac_Table[[#This Row],[Procedure Start Date and Time]],1)</f>
        <v>0.51458333332993789</v>
      </c>
      <c r="H11">
        <v>2</v>
      </c>
      <c r="I11" t="s">
        <v>4</v>
      </c>
      <c r="J11" t="s">
        <v>10</v>
      </c>
      <c r="K11" t="s">
        <v>30</v>
      </c>
      <c r="L11">
        <v>59</v>
      </c>
      <c r="M11">
        <v>0.88</v>
      </c>
      <c r="N11">
        <v>0.96</v>
      </c>
      <c r="O11" t="s">
        <v>15</v>
      </c>
      <c r="P11">
        <v>80</v>
      </c>
      <c r="Q11">
        <v>173</v>
      </c>
      <c r="R11">
        <v>93</v>
      </c>
      <c r="S11">
        <v>58</v>
      </c>
      <c r="T11" t="s">
        <v>48</v>
      </c>
      <c r="U11">
        <f>IF(Cardiac_Table[[#This Row],[Patient Status at Discharge]]="Died", 1,0)</f>
        <v>0</v>
      </c>
      <c r="V11">
        <f>Cardiac_Table[[#This Row],[Risk of Death % (Model 1)]]/100</f>
        <v>8.8000000000000005E-3</v>
      </c>
      <c r="W11">
        <f>Cardiac_Table[[#This Row],[Risk of Death % (Model 2)]]/100</f>
        <v>9.5999999999999992E-3</v>
      </c>
      <c r="X11" s="18">
        <f>Cardiac_Table[[#This Row],[Procedure Start Date and Time]]-Cardiac_Table[[#This Row],[Hospital Admit Date ]]</f>
        <v>0.86458333332848269</v>
      </c>
    </row>
    <row r="12" spans="1:24" x14ac:dyDescent="0.35">
      <c r="A12">
        <v>12</v>
      </c>
      <c r="B12" s="9">
        <v>43833.5625</v>
      </c>
      <c r="C12" s="10">
        <f>INT(Cardiac_Table[[#This Row],[Hospital Admit Date ]])</f>
        <v>43833</v>
      </c>
      <c r="D12" s="11" t="str">
        <f t="shared" si="0"/>
        <v>13:30</v>
      </c>
      <c r="E12" s="9">
        <v>43834.532638888886</v>
      </c>
      <c r="F12" s="10">
        <f>INT(Cardiac_Table[[#This Row],[Procedure Start Date and Time]])</f>
        <v>43834</v>
      </c>
      <c r="G12" s="12">
        <f>MOD(Cardiac_Table[[#This Row],[Procedure Start Date and Time]],1)</f>
        <v>0.53263888888614019</v>
      </c>
      <c r="H12">
        <v>5</v>
      </c>
      <c r="I12" t="s">
        <v>4</v>
      </c>
      <c r="J12" t="s">
        <v>3</v>
      </c>
      <c r="K12" t="s">
        <v>20</v>
      </c>
      <c r="L12">
        <v>72</v>
      </c>
      <c r="M12">
        <v>8.3000000000000007</v>
      </c>
      <c r="N12">
        <v>3.75</v>
      </c>
      <c r="O12" t="s">
        <v>15</v>
      </c>
      <c r="P12">
        <v>81</v>
      </c>
      <c r="Q12">
        <v>174</v>
      </c>
      <c r="R12">
        <v>103</v>
      </c>
      <c r="S12">
        <v>50</v>
      </c>
      <c r="T12" t="s">
        <v>50</v>
      </c>
      <c r="U12">
        <f>IF(Cardiac_Table[[#This Row],[Patient Status at Discharge]]="Died", 1,0)</f>
        <v>0</v>
      </c>
      <c r="V12">
        <f>Cardiac_Table[[#This Row],[Risk of Death % (Model 1)]]/100</f>
        <v>8.3000000000000004E-2</v>
      </c>
      <c r="W12">
        <f>Cardiac_Table[[#This Row],[Risk of Death % (Model 2)]]/100</f>
        <v>3.7499999999999999E-2</v>
      </c>
      <c r="X12" s="18">
        <f>Cardiac_Table[[#This Row],[Procedure Start Date and Time]]-Cardiac_Table[[#This Row],[Hospital Admit Date ]]</f>
        <v>0.97013888888614019</v>
      </c>
    </row>
    <row r="13" spans="1:24" x14ac:dyDescent="0.35">
      <c r="A13">
        <v>13</v>
      </c>
      <c r="B13" s="9">
        <v>43835.57708333333</v>
      </c>
      <c r="C13" s="10">
        <f>INT(Cardiac_Table[[#This Row],[Hospital Admit Date ]])</f>
        <v>43835</v>
      </c>
      <c r="D13" s="11" t="str">
        <f t="shared" si="0"/>
        <v>13:51</v>
      </c>
      <c r="E13" s="9">
        <v>43836.326388888891</v>
      </c>
      <c r="F13" s="10">
        <f>INT(Cardiac_Table[[#This Row],[Procedure Start Date and Time]])</f>
        <v>43836</v>
      </c>
      <c r="G13" s="12">
        <f>MOD(Cardiac_Table[[#This Row],[Procedure Start Date and Time]],1)</f>
        <v>0.32638888889050577</v>
      </c>
      <c r="H13">
        <v>3</v>
      </c>
      <c r="I13" t="s">
        <v>4</v>
      </c>
      <c r="J13" t="s">
        <v>10</v>
      </c>
      <c r="K13" t="s">
        <v>29</v>
      </c>
      <c r="L13">
        <v>44</v>
      </c>
      <c r="M13">
        <v>2.02</v>
      </c>
      <c r="N13">
        <v>0.64</v>
      </c>
      <c r="O13" t="s">
        <v>15</v>
      </c>
      <c r="P13">
        <v>81</v>
      </c>
      <c r="Q13">
        <v>169</v>
      </c>
      <c r="R13">
        <v>86</v>
      </c>
      <c r="S13">
        <v>52</v>
      </c>
      <c r="T13" t="s">
        <v>48</v>
      </c>
      <c r="U13">
        <f>IF(Cardiac_Table[[#This Row],[Patient Status at Discharge]]="Died", 1,0)</f>
        <v>0</v>
      </c>
      <c r="V13">
        <f>Cardiac_Table[[#This Row],[Risk of Death % (Model 1)]]/100</f>
        <v>2.0199999999999999E-2</v>
      </c>
      <c r="W13">
        <f>Cardiac_Table[[#This Row],[Risk of Death % (Model 2)]]/100</f>
        <v>6.4000000000000003E-3</v>
      </c>
      <c r="X13" s="18">
        <f>Cardiac_Table[[#This Row],[Procedure Start Date and Time]]-Cardiac_Table[[#This Row],[Hospital Admit Date ]]</f>
        <v>0.74930555556056788</v>
      </c>
    </row>
    <row r="14" spans="1:24" x14ac:dyDescent="0.35">
      <c r="A14">
        <v>14</v>
      </c>
      <c r="B14" s="9">
        <v>43835.583333333336</v>
      </c>
      <c r="C14" s="10">
        <f>INT(Cardiac_Table[[#This Row],[Hospital Admit Date ]])</f>
        <v>43835</v>
      </c>
      <c r="D14" s="11" t="str">
        <f t="shared" si="0"/>
        <v>14:00</v>
      </c>
      <c r="E14" s="9">
        <v>43836.337500000001</v>
      </c>
      <c r="F14" s="10">
        <f>INT(Cardiac_Table[[#This Row],[Procedure Start Date and Time]])</f>
        <v>43836</v>
      </c>
      <c r="G14" s="12">
        <f>MOD(Cardiac_Table[[#This Row],[Procedure Start Date and Time]],1)</f>
        <v>0.33750000000145519</v>
      </c>
      <c r="H14">
        <v>6</v>
      </c>
      <c r="I14" t="s">
        <v>4</v>
      </c>
      <c r="J14" t="s">
        <v>10</v>
      </c>
      <c r="K14" t="s">
        <v>33</v>
      </c>
      <c r="L14">
        <v>62</v>
      </c>
      <c r="M14">
        <v>1.07</v>
      </c>
      <c r="N14">
        <v>0.59</v>
      </c>
      <c r="O14" t="s">
        <v>15</v>
      </c>
      <c r="P14">
        <v>160</v>
      </c>
      <c r="Q14">
        <v>176</v>
      </c>
      <c r="R14">
        <v>70</v>
      </c>
      <c r="S14">
        <v>60</v>
      </c>
      <c r="T14" t="s">
        <v>48</v>
      </c>
      <c r="U14">
        <f>IF(Cardiac_Table[[#This Row],[Patient Status at Discharge]]="Died", 1,0)</f>
        <v>0</v>
      </c>
      <c r="V14">
        <f>Cardiac_Table[[#This Row],[Risk of Death % (Model 1)]]/100</f>
        <v>1.0700000000000001E-2</v>
      </c>
      <c r="W14">
        <f>Cardiac_Table[[#This Row],[Risk of Death % (Model 2)]]/100</f>
        <v>5.8999999999999999E-3</v>
      </c>
      <c r="X14" s="18">
        <f>Cardiac_Table[[#This Row],[Procedure Start Date and Time]]-Cardiac_Table[[#This Row],[Hospital Admit Date ]]</f>
        <v>0.75416666666569654</v>
      </c>
    </row>
    <row r="15" spans="1:24" x14ac:dyDescent="0.35">
      <c r="A15">
        <v>15</v>
      </c>
      <c r="B15" s="9">
        <v>43836.290277777778</v>
      </c>
      <c r="C15" s="10">
        <f>INT(Cardiac_Table[[#This Row],[Hospital Admit Date ]])</f>
        <v>43836</v>
      </c>
      <c r="D15" s="11" t="str">
        <f t="shared" si="0"/>
        <v>06:58</v>
      </c>
      <c r="E15" s="9">
        <v>43836.375</v>
      </c>
      <c r="F15" s="10">
        <f>INT(Cardiac_Table[[#This Row],[Procedure Start Date and Time]])</f>
        <v>43836</v>
      </c>
      <c r="G15" s="12">
        <f>MOD(Cardiac_Table[[#This Row],[Procedure Start Date and Time]],1)</f>
        <v>0.375</v>
      </c>
      <c r="H15">
        <v>2</v>
      </c>
      <c r="I15" t="s">
        <v>4</v>
      </c>
      <c r="J15" t="s">
        <v>10</v>
      </c>
      <c r="K15" t="s">
        <v>21</v>
      </c>
      <c r="L15">
        <v>72</v>
      </c>
      <c r="M15">
        <v>3.35</v>
      </c>
      <c r="N15">
        <v>1.1499999999999999</v>
      </c>
      <c r="O15" t="s">
        <v>15</v>
      </c>
      <c r="P15">
        <v>127</v>
      </c>
      <c r="Q15">
        <v>180</v>
      </c>
      <c r="R15">
        <v>97</v>
      </c>
      <c r="S15">
        <v>70</v>
      </c>
      <c r="T15" t="s">
        <v>48</v>
      </c>
      <c r="U15">
        <f>IF(Cardiac_Table[[#This Row],[Patient Status at Discharge]]="Died", 1,0)</f>
        <v>0</v>
      </c>
      <c r="V15">
        <f>Cardiac_Table[[#This Row],[Risk of Death % (Model 1)]]/100</f>
        <v>3.3500000000000002E-2</v>
      </c>
      <c r="W15">
        <f>Cardiac_Table[[#This Row],[Risk of Death % (Model 2)]]/100</f>
        <v>1.15E-2</v>
      </c>
      <c r="X15" s="18">
        <f>Cardiac_Table[[#This Row],[Procedure Start Date and Time]]-Cardiac_Table[[#This Row],[Hospital Admit Date ]]</f>
        <v>8.4722222221898846E-2</v>
      </c>
    </row>
    <row r="16" spans="1:24" x14ac:dyDescent="0.35">
      <c r="A16">
        <v>16</v>
      </c>
      <c r="B16" s="9">
        <v>43835.583333333336</v>
      </c>
      <c r="C16" s="10">
        <f>INT(Cardiac_Table[[#This Row],[Hospital Admit Date ]])</f>
        <v>43835</v>
      </c>
      <c r="D16" s="11" t="str">
        <f t="shared" si="0"/>
        <v>14:00</v>
      </c>
      <c r="E16" s="9">
        <v>43836.444444444445</v>
      </c>
      <c r="F16" s="10">
        <f>INT(Cardiac_Table[[#This Row],[Procedure Start Date and Time]])</f>
        <v>43836</v>
      </c>
      <c r="G16" s="12">
        <f>MOD(Cardiac_Table[[#This Row],[Procedure Start Date and Time]],1)</f>
        <v>0.44444444444525288</v>
      </c>
      <c r="H16">
        <v>5</v>
      </c>
      <c r="I16" t="s">
        <v>4</v>
      </c>
      <c r="J16" t="s">
        <v>3</v>
      </c>
      <c r="K16" t="s">
        <v>20</v>
      </c>
      <c r="L16">
        <v>65</v>
      </c>
      <c r="M16">
        <v>6.42</v>
      </c>
      <c r="N16">
        <v>1.83</v>
      </c>
      <c r="O16" t="s">
        <v>15</v>
      </c>
      <c r="P16">
        <v>78</v>
      </c>
      <c r="Q16">
        <v>182</v>
      </c>
      <c r="R16">
        <v>115</v>
      </c>
      <c r="S16">
        <v>55</v>
      </c>
      <c r="T16" t="s">
        <v>48</v>
      </c>
      <c r="U16">
        <f>IF(Cardiac_Table[[#This Row],[Patient Status at Discharge]]="Died", 1,0)</f>
        <v>0</v>
      </c>
      <c r="V16">
        <f>Cardiac_Table[[#This Row],[Risk of Death % (Model 1)]]/100</f>
        <v>6.4199999999999993E-2</v>
      </c>
      <c r="W16">
        <f>Cardiac_Table[[#This Row],[Risk of Death % (Model 2)]]/100</f>
        <v>1.83E-2</v>
      </c>
      <c r="X16" s="18">
        <f>Cardiac_Table[[#This Row],[Procedure Start Date and Time]]-Cardiac_Table[[#This Row],[Hospital Admit Date ]]</f>
        <v>0.86111111110949423</v>
      </c>
    </row>
    <row r="17" spans="1:24" x14ac:dyDescent="0.35">
      <c r="A17">
        <v>17</v>
      </c>
      <c r="B17" s="9">
        <v>43835.458333333336</v>
      </c>
      <c r="C17" s="10">
        <f>INT(Cardiac_Table[[#This Row],[Hospital Admit Date ]])</f>
        <v>43835</v>
      </c>
      <c r="D17" s="11" t="str">
        <f t="shared" si="0"/>
        <v>11:00</v>
      </c>
      <c r="E17" s="9">
        <v>43836.599305555559</v>
      </c>
      <c r="F17" s="10">
        <f>INT(Cardiac_Table[[#This Row],[Procedure Start Date and Time]])</f>
        <v>43836</v>
      </c>
      <c r="G17" s="12">
        <f>MOD(Cardiac_Table[[#This Row],[Procedure Start Date and Time]],1)</f>
        <v>0.59930555555911269</v>
      </c>
      <c r="H17">
        <v>3</v>
      </c>
      <c r="I17" t="s">
        <v>6</v>
      </c>
      <c r="J17" t="s">
        <v>10</v>
      </c>
      <c r="K17" t="s">
        <v>29</v>
      </c>
      <c r="L17">
        <v>78</v>
      </c>
      <c r="M17">
        <v>5.16</v>
      </c>
      <c r="N17">
        <v>1.48</v>
      </c>
      <c r="O17" t="s">
        <v>15</v>
      </c>
      <c r="P17">
        <v>62</v>
      </c>
      <c r="Q17">
        <v>170</v>
      </c>
      <c r="R17">
        <v>87</v>
      </c>
      <c r="S17">
        <v>45</v>
      </c>
      <c r="T17" t="s">
        <v>50</v>
      </c>
      <c r="U17">
        <f>IF(Cardiac_Table[[#This Row],[Patient Status at Discharge]]="Died", 1,0)</f>
        <v>0</v>
      </c>
      <c r="V17">
        <f>Cardiac_Table[[#This Row],[Risk of Death % (Model 1)]]/100</f>
        <v>5.16E-2</v>
      </c>
      <c r="W17">
        <f>Cardiac_Table[[#This Row],[Risk of Death % (Model 2)]]/100</f>
        <v>1.4800000000000001E-2</v>
      </c>
      <c r="X17" s="18">
        <f>Cardiac_Table[[#This Row],[Procedure Start Date and Time]]-Cardiac_Table[[#This Row],[Hospital Admit Date ]]</f>
        <v>1.140972222223354</v>
      </c>
    </row>
    <row r="18" spans="1:24" x14ac:dyDescent="0.35">
      <c r="A18">
        <v>18</v>
      </c>
      <c r="B18" s="9">
        <v>43823.577777777777</v>
      </c>
      <c r="C18" s="10">
        <f>INT(Cardiac_Table[[#This Row],[Hospital Admit Date ]])</f>
        <v>43823</v>
      </c>
      <c r="D18" s="11" t="str">
        <f t="shared" si="0"/>
        <v>13:52</v>
      </c>
      <c r="E18" s="9">
        <v>43836.614583333336</v>
      </c>
      <c r="F18" s="10">
        <f>INT(Cardiac_Table[[#This Row],[Procedure Start Date and Time]])</f>
        <v>43836</v>
      </c>
      <c r="G18" s="12">
        <f>MOD(Cardiac_Table[[#This Row],[Procedure Start Date and Time]],1)</f>
        <v>0.61458333333575865</v>
      </c>
      <c r="H18">
        <v>2</v>
      </c>
      <c r="I18" t="s">
        <v>6</v>
      </c>
      <c r="J18" t="s">
        <v>10</v>
      </c>
      <c r="K18" t="s">
        <v>21</v>
      </c>
      <c r="L18">
        <v>73</v>
      </c>
      <c r="M18">
        <v>2.21</v>
      </c>
      <c r="N18">
        <v>1.73</v>
      </c>
      <c r="O18" t="s">
        <v>15</v>
      </c>
      <c r="P18">
        <v>84</v>
      </c>
      <c r="Q18">
        <v>150</v>
      </c>
      <c r="R18">
        <v>48</v>
      </c>
      <c r="S18">
        <v>49</v>
      </c>
      <c r="T18" t="s">
        <v>50</v>
      </c>
      <c r="U18">
        <f>IF(Cardiac_Table[[#This Row],[Patient Status at Discharge]]="Died", 1,0)</f>
        <v>0</v>
      </c>
      <c r="V18">
        <f>Cardiac_Table[[#This Row],[Risk of Death % (Model 1)]]/100</f>
        <v>2.2099999999999998E-2</v>
      </c>
      <c r="W18">
        <f>Cardiac_Table[[#This Row],[Risk of Death % (Model 2)]]/100</f>
        <v>1.7299999999999999E-2</v>
      </c>
      <c r="X18" s="18">
        <f>Cardiac_Table[[#This Row],[Procedure Start Date and Time]]-Cardiac_Table[[#This Row],[Hospital Admit Date ]]</f>
        <v>13.036805555559113</v>
      </c>
    </row>
    <row r="19" spans="1:24" x14ac:dyDescent="0.35">
      <c r="A19">
        <v>19</v>
      </c>
      <c r="B19" s="9">
        <v>43836.458333333336</v>
      </c>
      <c r="C19" s="10">
        <f>INT(Cardiac_Table[[#This Row],[Hospital Admit Date ]])</f>
        <v>43836</v>
      </c>
      <c r="D19" s="11" t="str">
        <f t="shared" si="0"/>
        <v>11:00</v>
      </c>
      <c r="E19" s="9">
        <v>43837.322916666664</v>
      </c>
      <c r="F19" s="10">
        <f>INT(Cardiac_Table[[#This Row],[Procedure Start Date and Time]])</f>
        <v>43837</v>
      </c>
      <c r="G19" s="12">
        <f>MOD(Cardiac_Table[[#This Row],[Procedure Start Date and Time]],1)</f>
        <v>0.32291666666424135</v>
      </c>
      <c r="H19">
        <v>5</v>
      </c>
      <c r="I19" t="s">
        <v>6</v>
      </c>
      <c r="J19" t="s">
        <v>10</v>
      </c>
      <c r="K19" t="s">
        <v>26</v>
      </c>
      <c r="L19">
        <v>85</v>
      </c>
      <c r="M19">
        <v>11.62</v>
      </c>
      <c r="N19">
        <v>8.48</v>
      </c>
      <c r="O19" t="s">
        <v>15</v>
      </c>
      <c r="P19">
        <v>82</v>
      </c>
      <c r="Q19">
        <v>174</v>
      </c>
      <c r="R19">
        <v>103</v>
      </c>
      <c r="S19">
        <v>55</v>
      </c>
      <c r="T19" t="s">
        <v>48</v>
      </c>
      <c r="U19">
        <f>IF(Cardiac_Table[[#This Row],[Patient Status at Discharge]]="Died", 1,0)</f>
        <v>0</v>
      </c>
      <c r="V19">
        <f>Cardiac_Table[[#This Row],[Risk of Death % (Model 1)]]/100</f>
        <v>0.1162</v>
      </c>
      <c r="W19">
        <f>Cardiac_Table[[#This Row],[Risk of Death % (Model 2)]]/100</f>
        <v>8.48E-2</v>
      </c>
      <c r="X19" s="18">
        <f>Cardiac_Table[[#This Row],[Procedure Start Date and Time]]-Cardiac_Table[[#This Row],[Hospital Admit Date ]]</f>
        <v>0.86458333332848269</v>
      </c>
    </row>
    <row r="20" spans="1:24" x14ac:dyDescent="0.35">
      <c r="A20">
        <v>20</v>
      </c>
      <c r="B20" s="9">
        <v>43836.584027777775</v>
      </c>
      <c r="C20" s="10">
        <f>INT(Cardiac_Table[[#This Row],[Hospital Admit Date ]])</f>
        <v>43836</v>
      </c>
      <c r="D20" s="11" t="str">
        <f t="shared" si="0"/>
        <v>14:01</v>
      </c>
      <c r="E20" s="9">
        <v>43837.334722222222</v>
      </c>
      <c r="F20" s="10">
        <f>INT(Cardiac_Table[[#This Row],[Procedure Start Date and Time]])</f>
        <v>43837</v>
      </c>
      <c r="G20" s="12">
        <f>MOD(Cardiac_Table[[#This Row],[Procedure Start Date and Time]],1)</f>
        <v>0.33472222222189885</v>
      </c>
      <c r="H20">
        <v>2</v>
      </c>
      <c r="I20" t="s">
        <v>4</v>
      </c>
      <c r="J20" t="s">
        <v>11</v>
      </c>
      <c r="K20" t="s">
        <v>28</v>
      </c>
      <c r="L20">
        <v>76</v>
      </c>
      <c r="M20">
        <v>4.53</v>
      </c>
      <c r="N20">
        <v>3.48</v>
      </c>
      <c r="O20" t="s">
        <v>15</v>
      </c>
      <c r="P20">
        <v>90</v>
      </c>
      <c r="Q20">
        <v>188</v>
      </c>
      <c r="R20">
        <v>85</v>
      </c>
      <c r="S20">
        <v>43</v>
      </c>
      <c r="T20" t="s">
        <v>50</v>
      </c>
      <c r="U20">
        <f>IF(Cardiac_Table[[#This Row],[Patient Status at Discharge]]="Died", 1,0)</f>
        <v>0</v>
      </c>
      <c r="V20">
        <f>Cardiac_Table[[#This Row],[Risk of Death % (Model 1)]]/100</f>
        <v>4.53E-2</v>
      </c>
      <c r="W20">
        <f>Cardiac_Table[[#This Row],[Risk of Death % (Model 2)]]/100</f>
        <v>3.4799999999999998E-2</v>
      </c>
      <c r="X20" s="18">
        <f>Cardiac_Table[[#This Row],[Procedure Start Date and Time]]-Cardiac_Table[[#This Row],[Hospital Admit Date ]]</f>
        <v>0.75069444444670808</v>
      </c>
    </row>
    <row r="21" spans="1:24" x14ac:dyDescent="0.35">
      <c r="A21">
        <v>21</v>
      </c>
      <c r="B21" s="9">
        <v>43830.458333333336</v>
      </c>
      <c r="C21" s="10">
        <f>INT(Cardiac_Table[[#This Row],[Hospital Admit Date ]])</f>
        <v>43830</v>
      </c>
      <c r="D21" s="11" t="str">
        <f t="shared" si="0"/>
        <v>11:00</v>
      </c>
      <c r="E21" s="9">
        <v>43837.336805555555</v>
      </c>
      <c r="F21" s="10">
        <f>INT(Cardiac_Table[[#This Row],[Procedure Start Date and Time]])</f>
        <v>43837</v>
      </c>
      <c r="G21" s="12">
        <f>MOD(Cardiac_Table[[#This Row],[Procedure Start Date and Time]],1)</f>
        <v>0.33680555555474712</v>
      </c>
      <c r="H21">
        <v>3</v>
      </c>
      <c r="I21" t="s">
        <v>6</v>
      </c>
      <c r="J21" t="s">
        <v>11</v>
      </c>
      <c r="K21" t="s">
        <v>23</v>
      </c>
      <c r="L21">
        <v>83</v>
      </c>
      <c r="M21">
        <v>13.8</v>
      </c>
      <c r="N21">
        <v>8.5</v>
      </c>
      <c r="O21" t="s">
        <v>15</v>
      </c>
      <c r="P21">
        <v>80</v>
      </c>
      <c r="Q21">
        <v>173</v>
      </c>
      <c r="R21">
        <v>100</v>
      </c>
      <c r="S21">
        <v>60</v>
      </c>
      <c r="T21" t="s">
        <v>48</v>
      </c>
      <c r="U21">
        <f>IF(Cardiac_Table[[#This Row],[Patient Status at Discharge]]="Died", 1,0)</f>
        <v>0</v>
      </c>
      <c r="V21">
        <f>Cardiac_Table[[#This Row],[Risk of Death % (Model 1)]]/100</f>
        <v>0.13800000000000001</v>
      </c>
      <c r="W21">
        <f>Cardiac_Table[[#This Row],[Risk of Death % (Model 2)]]/100</f>
        <v>8.5000000000000006E-2</v>
      </c>
      <c r="X21" s="18">
        <f>Cardiac_Table[[#This Row],[Procedure Start Date and Time]]-Cardiac_Table[[#This Row],[Hospital Admit Date ]]</f>
        <v>6.8784722222189885</v>
      </c>
    </row>
    <row r="22" spans="1:24" x14ac:dyDescent="0.35">
      <c r="A22">
        <v>22</v>
      </c>
      <c r="B22" s="9">
        <v>43836.581944444442</v>
      </c>
      <c r="C22" s="10">
        <f>INT(Cardiac_Table[[#This Row],[Hospital Admit Date ]])</f>
        <v>43836</v>
      </c>
      <c r="D22" s="11" t="str">
        <f t="shared" si="0"/>
        <v>13:58</v>
      </c>
      <c r="E22" s="9">
        <v>43837.354166666664</v>
      </c>
      <c r="F22" s="10">
        <f>INT(Cardiac_Table[[#This Row],[Procedure Start Date and Time]])</f>
        <v>43837</v>
      </c>
      <c r="G22" s="12">
        <f>MOD(Cardiac_Table[[#This Row],[Procedure Start Date and Time]],1)</f>
        <v>0.35416666666424135</v>
      </c>
      <c r="H22">
        <v>6</v>
      </c>
      <c r="I22" t="s">
        <v>4</v>
      </c>
      <c r="J22" t="s">
        <v>3</v>
      </c>
      <c r="K22" t="s">
        <v>20</v>
      </c>
      <c r="L22">
        <v>72</v>
      </c>
      <c r="M22">
        <v>5.62</v>
      </c>
      <c r="N22">
        <v>1.62</v>
      </c>
      <c r="O22" t="s">
        <v>15</v>
      </c>
      <c r="P22">
        <v>71</v>
      </c>
      <c r="Q22">
        <v>176</v>
      </c>
      <c r="R22">
        <v>88</v>
      </c>
      <c r="S22">
        <v>45</v>
      </c>
      <c r="T22" t="s">
        <v>50</v>
      </c>
      <c r="U22">
        <f>IF(Cardiac_Table[[#This Row],[Patient Status at Discharge]]="Died", 1,0)</f>
        <v>0</v>
      </c>
      <c r="V22">
        <f>Cardiac_Table[[#This Row],[Risk of Death % (Model 1)]]/100</f>
        <v>5.62E-2</v>
      </c>
      <c r="W22">
        <f>Cardiac_Table[[#This Row],[Risk of Death % (Model 2)]]/100</f>
        <v>1.6200000000000003E-2</v>
      </c>
      <c r="X22" s="18">
        <f>Cardiac_Table[[#This Row],[Procedure Start Date and Time]]-Cardiac_Table[[#This Row],[Hospital Admit Date ]]</f>
        <v>0.77222222222189885</v>
      </c>
    </row>
    <row r="23" spans="1:24" x14ac:dyDescent="0.35">
      <c r="A23">
        <v>23</v>
      </c>
      <c r="B23" s="9">
        <v>43830.458333333336</v>
      </c>
      <c r="C23" s="10">
        <f>INT(Cardiac_Table[[#This Row],[Hospital Admit Date ]])</f>
        <v>43830</v>
      </c>
      <c r="D23" s="11" t="str">
        <f t="shared" si="0"/>
        <v>11:00</v>
      </c>
      <c r="E23" s="9">
        <v>43837.618750000001</v>
      </c>
      <c r="F23" s="10">
        <f>INT(Cardiac_Table[[#This Row],[Procedure Start Date and Time]])</f>
        <v>43837</v>
      </c>
      <c r="G23" s="12">
        <f>MOD(Cardiac_Table[[#This Row],[Procedure Start Date and Time]],1)</f>
        <v>0.61875000000145519</v>
      </c>
      <c r="H23">
        <v>6</v>
      </c>
      <c r="I23" t="s">
        <v>6</v>
      </c>
      <c r="J23" t="s">
        <v>11</v>
      </c>
      <c r="K23" t="s">
        <v>20</v>
      </c>
      <c r="L23">
        <v>69</v>
      </c>
      <c r="M23">
        <v>4.6500000000000004</v>
      </c>
      <c r="N23">
        <v>2.4500000000000002</v>
      </c>
      <c r="O23" t="s">
        <v>15</v>
      </c>
      <c r="P23">
        <v>91</v>
      </c>
      <c r="Q23">
        <v>157</v>
      </c>
      <c r="R23">
        <v>59</v>
      </c>
      <c r="S23">
        <v>58</v>
      </c>
      <c r="T23" t="s">
        <v>48</v>
      </c>
      <c r="U23">
        <f>IF(Cardiac_Table[[#This Row],[Patient Status at Discharge]]="Died", 1,0)</f>
        <v>0</v>
      </c>
      <c r="V23">
        <f>Cardiac_Table[[#This Row],[Risk of Death % (Model 1)]]/100</f>
        <v>4.6500000000000007E-2</v>
      </c>
      <c r="W23">
        <f>Cardiac_Table[[#This Row],[Risk of Death % (Model 2)]]/100</f>
        <v>2.4500000000000001E-2</v>
      </c>
      <c r="X23" s="18">
        <f>Cardiac_Table[[#This Row],[Procedure Start Date and Time]]-Cardiac_Table[[#This Row],[Hospital Admit Date ]]</f>
        <v>7.1604166666656965</v>
      </c>
    </row>
    <row r="24" spans="1:24" x14ac:dyDescent="0.35">
      <c r="A24">
        <v>24</v>
      </c>
      <c r="B24" s="9">
        <v>43828.423611111109</v>
      </c>
      <c r="C24" s="10">
        <f>INT(Cardiac_Table[[#This Row],[Hospital Admit Date ]])</f>
        <v>43828</v>
      </c>
      <c r="D24" s="11" t="str">
        <f t="shared" si="0"/>
        <v>10:10</v>
      </c>
      <c r="E24" s="9">
        <v>43838.326388888891</v>
      </c>
      <c r="F24" s="10">
        <f>INT(Cardiac_Table[[#This Row],[Procedure Start Date and Time]])</f>
        <v>43838</v>
      </c>
      <c r="G24" s="12">
        <f>MOD(Cardiac_Table[[#This Row],[Procedure Start Date and Time]],1)</f>
        <v>0.32638888889050577</v>
      </c>
      <c r="H24">
        <v>3</v>
      </c>
      <c r="I24" t="s">
        <v>6</v>
      </c>
      <c r="J24" t="s">
        <v>10</v>
      </c>
      <c r="K24" t="s">
        <v>21</v>
      </c>
      <c r="L24">
        <v>79</v>
      </c>
      <c r="M24">
        <v>8.1300000000000008</v>
      </c>
      <c r="N24">
        <v>2.5099999999999998</v>
      </c>
      <c r="O24" t="s">
        <v>15</v>
      </c>
      <c r="P24">
        <v>103</v>
      </c>
      <c r="Q24">
        <v>174</v>
      </c>
      <c r="R24">
        <v>90</v>
      </c>
      <c r="S24">
        <v>47</v>
      </c>
      <c r="T24" t="s">
        <v>50</v>
      </c>
      <c r="U24">
        <f>IF(Cardiac_Table[[#This Row],[Patient Status at Discharge]]="Died", 1,0)</f>
        <v>0</v>
      </c>
      <c r="V24">
        <f>Cardiac_Table[[#This Row],[Risk of Death % (Model 1)]]/100</f>
        <v>8.1300000000000011E-2</v>
      </c>
      <c r="W24">
        <f>Cardiac_Table[[#This Row],[Risk of Death % (Model 2)]]/100</f>
        <v>2.5099999999999997E-2</v>
      </c>
      <c r="X24" s="18">
        <f>Cardiac_Table[[#This Row],[Procedure Start Date and Time]]-Cardiac_Table[[#This Row],[Hospital Admit Date ]]</f>
        <v>9.9027777777810115</v>
      </c>
    </row>
    <row r="25" spans="1:24" x14ac:dyDescent="0.35">
      <c r="A25">
        <v>25</v>
      </c>
      <c r="B25" s="9">
        <v>43824.572916666664</v>
      </c>
      <c r="C25" s="10">
        <f>INT(Cardiac_Table[[#This Row],[Hospital Admit Date ]])</f>
        <v>43824</v>
      </c>
      <c r="D25" s="11" t="str">
        <f t="shared" si="0"/>
        <v>13:45</v>
      </c>
      <c r="E25" s="9">
        <v>43838.333333333336</v>
      </c>
      <c r="F25" s="10">
        <f>INT(Cardiac_Table[[#This Row],[Procedure Start Date and Time]])</f>
        <v>43838</v>
      </c>
      <c r="G25" s="12">
        <f>MOD(Cardiac_Table[[#This Row],[Procedure Start Date and Time]],1)</f>
        <v>0.33333333333575865</v>
      </c>
      <c r="H25">
        <v>6</v>
      </c>
      <c r="I25" t="s">
        <v>6</v>
      </c>
      <c r="J25" t="s">
        <v>11</v>
      </c>
      <c r="K25" t="s">
        <v>20</v>
      </c>
      <c r="L25">
        <v>75</v>
      </c>
      <c r="M25">
        <v>4.25</v>
      </c>
      <c r="N25">
        <v>1.8</v>
      </c>
      <c r="O25" t="s">
        <v>15</v>
      </c>
      <c r="P25">
        <v>99</v>
      </c>
      <c r="Q25">
        <v>165</v>
      </c>
      <c r="R25">
        <v>70</v>
      </c>
      <c r="S25">
        <v>45</v>
      </c>
      <c r="T25" t="s">
        <v>50</v>
      </c>
      <c r="U25">
        <f>IF(Cardiac_Table[[#This Row],[Patient Status at Discharge]]="Died", 1,0)</f>
        <v>0</v>
      </c>
      <c r="V25">
        <f>Cardiac_Table[[#This Row],[Risk of Death % (Model 1)]]/100</f>
        <v>4.2500000000000003E-2</v>
      </c>
      <c r="W25">
        <f>Cardiac_Table[[#This Row],[Risk of Death % (Model 2)]]/100</f>
        <v>1.8000000000000002E-2</v>
      </c>
      <c r="X25" s="18">
        <f>Cardiac_Table[[#This Row],[Procedure Start Date and Time]]-Cardiac_Table[[#This Row],[Hospital Admit Date ]]</f>
        <v>13.760416666671517</v>
      </c>
    </row>
    <row r="26" spans="1:24" x14ac:dyDescent="0.35">
      <c r="A26">
        <v>26</v>
      </c>
      <c r="B26" s="9">
        <v>43837.450694444444</v>
      </c>
      <c r="C26" s="10">
        <f>INT(Cardiac_Table[[#This Row],[Hospital Admit Date ]])</f>
        <v>43837</v>
      </c>
      <c r="D26" s="11" t="str">
        <f t="shared" si="0"/>
        <v>10:49</v>
      </c>
      <c r="E26" s="9">
        <v>43838.345833333333</v>
      </c>
      <c r="F26" s="10">
        <f>INT(Cardiac_Table[[#This Row],[Procedure Start Date and Time]])</f>
        <v>43838</v>
      </c>
      <c r="G26" s="12">
        <f>MOD(Cardiac_Table[[#This Row],[Procedure Start Date and Time]],1)</f>
        <v>0.34583333333284827</v>
      </c>
      <c r="H26">
        <v>5</v>
      </c>
      <c r="I26" t="s">
        <v>4</v>
      </c>
      <c r="J26" t="s">
        <v>3</v>
      </c>
      <c r="K26" t="s">
        <v>35</v>
      </c>
      <c r="L26">
        <v>74</v>
      </c>
      <c r="M26">
        <v>8.08</v>
      </c>
      <c r="N26">
        <v>1.9</v>
      </c>
      <c r="O26" t="s">
        <v>15</v>
      </c>
      <c r="P26">
        <v>76</v>
      </c>
      <c r="Q26">
        <v>168</v>
      </c>
      <c r="R26">
        <v>73</v>
      </c>
      <c r="S26">
        <v>45</v>
      </c>
      <c r="T26" t="s">
        <v>50</v>
      </c>
      <c r="U26">
        <f>IF(Cardiac_Table[[#This Row],[Patient Status at Discharge]]="Died", 1,0)</f>
        <v>0</v>
      </c>
      <c r="V26">
        <f>Cardiac_Table[[#This Row],[Risk of Death % (Model 1)]]/100</f>
        <v>8.0799999999999997E-2</v>
      </c>
      <c r="W26">
        <f>Cardiac_Table[[#This Row],[Risk of Death % (Model 2)]]/100</f>
        <v>1.9E-2</v>
      </c>
      <c r="X26" s="18">
        <f>Cardiac_Table[[#This Row],[Procedure Start Date and Time]]-Cardiac_Table[[#This Row],[Hospital Admit Date ]]</f>
        <v>0.89513888888905058</v>
      </c>
    </row>
    <row r="27" spans="1:24" x14ac:dyDescent="0.35">
      <c r="A27">
        <v>27</v>
      </c>
      <c r="B27" s="9">
        <v>43838.338888888888</v>
      </c>
      <c r="C27" s="10">
        <f>INT(Cardiac_Table[[#This Row],[Hospital Admit Date ]])</f>
        <v>43838</v>
      </c>
      <c r="D27" s="11" t="str">
        <f t="shared" si="0"/>
        <v>08:08</v>
      </c>
      <c r="E27" s="9">
        <v>43838.580555555556</v>
      </c>
      <c r="F27" s="10">
        <f>INT(Cardiac_Table[[#This Row],[Procedure Start Date and Time]])</f>
        <v>43838</v>
      </c>
      <c r="G27" s="12">
        <f>MOD(Cardiac_Table[[#This Row],[Procedure Start Date and Time]],1)</f>
        <v>0.58055555555620231</v>
      </c>
      <c r="H27">
        <v>5</v>
      </c>
      <c r="I27" t="s">
        <v>4</v>
      </c>
      <c r="J27" t="s">
        <v>3</v>
      </c>
      <c r="K27" t="s">
        <v>35</v>
      </c>
      <c r="L27">
        <v>59</v>
      </c>
      <c r="M27">
        <v>2.44</v>
      </c>
      <c r="N27">
        <v>0.67</v>
      </c>
      <c r="O27" t="s">
        <v>15</v>
      </c>
      <c r="P27">
        <v>89</v>
      </c>
      <c r="Q27">
        <v>170</v>
      </c>
      <c r="R27">
        <v>120</v>
      </c>
      <c r="S27">
        <v>58</v>
      </c>
      <c r="T27" t="s">
        <v>48</v>
      </c>
      <c r="U27">
        <f>IF(Cardiac_Table[[#This Row],[Patient Status at Discharge]]="Died", 1,0)</f>
        <v>0</v>
      </c>
      <c r="V27">
        <f>Cardiac_Table[[#This Row],[Risk of Death % (Model 1)]]/100</f>
        <v>2.4399999999999998E-2</v>
      </c>
      <c r="W27">
        <f>Cardiac_Table[[#This Row],[Risk of Death % (Model 2)]]/100</f>
        <v>6.7000000000000002E-3</v>
      </c>
      <c r="X27" s="18">
        <f>Cardiac_Table[[#This Row],[Procedure Start Date and Time]]-Cardiac_Table[[#This Row],[Hospital Admit Date ]]</f>
        <v>0.24166666666860692</v>
      </c>
    </row>
    <row r="28" spans="1:24" x14ac:dyDescent="0.35">
      <c r="A28">
        <v>28</v>
      </c>
      <c r="B28" s="9">
        <v>43837.572222222225</v>
      </c>
      <c r="C28" s="10">
        <f>INT(Cardiac_Table[[#This Row],[Hospital Admit Date ]])</f>
        <v>43837</v>
      </c>
      <c r="D28" s="11" t="str">
        <f t="shared" si="0"/>
        <v>13:44</v>
      </c>
      <c r="E28" s="9">
        <v>43838.581250000003</v>
      </c>
      <c r="F28" s="10">
        <f>INT(Cardiac_Table[[#This Row],[Procedure Start Date and Time]])</f>
        <v>43838</v>
      </c>
      <c r="G28" s="12">
        <f>MOD(Cardiac_Table[[#This Row],[Procedure Start Date and Time]],1)</f>
        <v>0.58125000000291038</v>
      </c>
      <c r="H28">
        <v>2</v>
      </c>
      <c r="I28" t="s">
        <v>4</v>
      </c>
      <c r="J28" t="s">
        <v>3</v>
      </c>
      <c r="K28" t="s">
        <v>28</v>
      </c>
      <c r="L28">
        <v>68</v>
      </c>
      <c r="M28">
        <v>2.71</v>
      </c>
      <c r="N28">
        <v>0.63</v>
      </c>
      <c r="O28" t="s">
        <v>15</v>
      </c>
      <c r="P28">
        <v>80</v>
      </c>
      <c r="Q28">
        <v>177</v>
      </c>
      <c r="R28">
        <v>88</v>
      </c>
      <c r="S28">
        <v>55</v>
      </c>
      <c r="T28" t="s">
        <v>48</v>
      </c>
      <c r="U28">
        <f>IF(Cardiac_Table[[#This Row],[Patient Status at Discharge]]="Died", 1,0)</f>
        <v>0</v>
      </c>
      <c r="V28">
        <f>Cardiac_Table[[#This Row],[Risk of Death % (Model 1)]]/100</f>
        <v>2.7099999999999999E-2</v>
      </c>
      <c r="W28">
        <f>Cardiac_Table[[#This Row],[Risk of Death % (Model 2)]]/100</f>
        <v>6.3E-3</v>
      </c>
      <c r="X28" s="18">
        <f>Cardiac_Table[[#This Row],[Procedure Start Date and Time]]-Cardiac_Table[[#This Row],[Hospital Admit Date ]]</f>
        <v>1.0090277777781012</v>
      </c>
    </row>
    <row r="29" spans="1:24" x14ac:dyDescent="0.35">
      <c r="A29">
        <v>29</v>
      </c>
      <c r="B29" s="9">
        <v>43838.336805555555</v>
      </c>
      <c r="C29" s="10">
        <f>INT(Cardiac_Table[[#This Row],[Hospital Admit Date ]])</f>
        <v>43838</v>
      </c>
      <c r="D29" s="11" t="str">
        <f t="shared" si="0"/>
        <v>08:05</v>
      </c>
      <c r="E29" s="9">
        <v>43838.604166666664</v>
      </c>
      <c r="F29" s="10">
        <f>INT(Cardiac_Table[[#This Row],[Procedure Start Date and Time]])</f>
        <v>43838</v>
      </c>
      <c r="G29" s="12">
        <f>MOD(Cardiac_Table[[#This Row],[Procedure Start Date and Time]],1)</f>
        <v>0.60416666666424135</v>
      </c>
      <c r="H29">
        <v>6</v>
      </c>
      <c r="I29" t="s">
        <v>4</v>
      </c>
      <c r="J29" t="s">
        <v>3</v>
      </c>
      <c r="K29" t="s">
        <v>20</v>
      </c>
      <c r="L29">
        <v>75</v>
      </c>
      <c r="M29">
        <v>11.71</v>
      </c>
      <c r="N29">
        <v>4.07</v>
      </c>
      <c r="O29" t="s">
        <v>15</v>
      </c>
      <c r="P29">
        <v>72</v>
      </c>
      <c r="Q29">
        <v>172</v>
      </c>
      <c r="R29">
        <v>80</v>
      </c>
      <c r="S29">
        <v>52</v>
      </c>
      <c r="T29" t="s">
        <v>48</v>
      </c>
      <c r="U29">
        <f>IF(Cardiac_Table[[#This Row],[Patient Status at Discharge]]="Died", 1,0)</f>
        <v>0</v>
      </c>
      <c r="V29">
        <f>Cardiac_Table[[#This Row],[Risk of Death % (Model 1)]]/100</f>
        <v>0.11710000000000001</v>
      </c>
      <c r="W29">
        <f>Cardiac_Table[[#This Row],[Risk of Death % (Model 2)]]/100</f>
        <v>4.07E-2</v>
      </c>
      <c r="X29" s="18">
        <f>Cardiac_Table[[#This Row],[Procedure Start Date and Time]]-Cardiac_Table[[#This Row],[Hospital Admit Date ]]</f>
        <v>0.26736111110949423</v>
      </c>
    </row>
    <row r="30" spans="1:24" x14ac:dyDescent="0.35">
      <c r="A30">
        <v>30</v>
      </c>
      <c r="B30" s="9">
        <v>43836.75</v>
      </c>
      <c r="C30" s="10">
        <f>INT(Cardiac_Table[[#This Row],[Hospital Admit Date ]])</f>
        <v>43836</v>
      </c>
      <c r="D30" s="11" t="str">
        <f t="shared" si="0"/>
        <v>18:00</v>
      </c>
      <c r="E30" s="9">
        <v>43838.67291666667</v>
      </c>
      <c r="F30" s="10">
        <f>INT(Cardiac_Table[[#This Row],[Procedure Start Date and Time]])</f>
        <v>43838</v>
      </c>
      <c r="G30" s="12">
        <f>MOD(Cardiac_Table[[#This Row],[Procedure Start Date and Time]],1)</f>
        <v>0.67291666667006211</v>
      </c>
      <c r="H30">
        <v>3</v>
      </c>
      <c r="I30" t="s">
        <v>6</v>
      </c>
      <c r="J30" t="s">
        <v>10</v>
      </c>
      <c r="K30" t="s">
        <v>21</v>
      </c>
      <c r="L30">
        <v>80</v>
      </c>
      <c r="M30">
        <v>13.41</v>
      </c>
      <c r="N30">
        <v>2.56</v>
      </c>
      <c r="O30" t="s">
        <v>15</v>
      </c>
      <c r="P30">
        <v>80</v>
      </c>
      <c r="Q30">
        <v>17.5</v>
      </c>
      <c r="R30">
        <v>81</v>
      </c>
      <c r="S30">
        <v>55</v>
      </c>
      <c r="T30" t="s">
        <v>48</v>
      </c>
      <c r="U30">
        <f>IF(Cardiac_Table[[#This Row],[Patient Status at Discharge]]="Died", 1,0)</f>
        <v>0</v>
      </c>
      <c r="V30">
        <f>Cardiac_Table[[#This Row],[Risk of Death % (Model 1)]]/100</f>
        <v>0.1341</v>
      </c>
      <c r="W30">
        <f>Cardiac_Table[[#This Row],[Risk of Death % (Model 2)]]/100</f>
        <v>2.5600000000000001E-2</v>
      </c>
      <c r="X30" s="18">
        <f>Cardiac_Table[[#This Row],[Procedure Start Date and Time]]-Cardiac_Table[[#This Row],[Hospital Admit Date ]]</f>
        <v>1.9229166666700621</v>
      </c>
    </row>
    <row r="31" spans="1:24" x14ac:dyDescent="0.35">
      <c r="A31">
        <v>31</v>
      </c>
      <c r="B31" s="9">
        <v>43838.57708333333</v>
      </c>
      <c r="C31" s="10">
        <f>INT(Cardiac_Table[[#This Row],[Hospital Admit Date ]])</f>
        <v>43838</v>
      </c>
      <c r="D31" s="11" t="str">
        <f t="shared" si="0"/>
        <v>13:51</v>
      </c>
      <c r="E31" s="9">
        <v>43839.336805555555</v>
      </c>
      <c r="F31" s="10">
        <f>INT(Cardiac_Table[[#This Row],[Procedure Start Date and Time]])</f>
        <v>43839</v>
      </c>
      <c r="G31" s="12">
        <f>MOD(Cardiac_Table[[#This Row],[Procedure Start Date and Time]],1)</f>
        <v>0.33680555555474712</v>
      </c>
      <c r="H31">
        <v>6</v>
      </c>
      <c r="I31" t="s">
        <v>4</v>
      </c>
      <c r="J31" t="s">
        <v>1</v>
      </c>
      <c r="K31" t="s">
        <v>22</v>
      </c>
      <c r="L31">
        <v>75</v>
      </c>
      <c r="M31">
        <v>45.85</v>
      </c>
      <c r="N31">
        <v>19.77</v>
      </c>
      <c r="O31" t="s">
        <v>13</v>
      </c>
      <c r="P31">
        <v>81</v>
      </c>
      <c r="Q31">
        <v>180</v>
      </c>
      <c r="R31">
        <v>104</v>
      </c>
      <c r="S31">
        <v>60</v>
      </c>
      <c r="T31" t="s">
        <v>48</v>
      </c>
      <c r="U31">
        <f>IF(Cardiac_Table[[#This Row],[Patient Status at Discharge]]="Died", 1,0)</f>
        <v>1</v>
      </c>
      <c r="V31">
        <f>Cardiac_Table[[#This Row],[Risk of Death % (Model 1)]]/100</f>
        <v>0.45850000000000002</v>
      </c>
      <c r="W31">
        <f>Cardiac_Table[[#This Row],[Risk of Death % (Model 2)]]/100</f>
        <v>0.19769999999999999</v>
      </c>
      <c r="X31" s="18">
        <f>Cardiac_Table[[#This Row],[Procedure Start Date and Time]]-Cardiac_Table[[#This Row],[Hospital Admit Date ]]</f>
        <v>0.75972222222480923</v>
      </c>
    </row>
    <row r="32" spans="1:24" x14ac:dyDescent="0.35">
      <c r="A32">
        <v>32</v>
      </c>
      <c r="B32" s="9">
        <v>43830.427083333336</v>
      </c>
      <c r="C32" s="10">
        <f>INT(Cardiac_Table[[#This Row],[Hospital Admit Date ]])</f>
        <v>43830</v>
      </c>
      <c r="D32" s="11" t="str">
        <f t="shared" si="0"/>
        <v>10:15</v>
      </c>
      <c r="E32" s="9">
        <v>43839.342361111114</v>
      </c>
      <c r="F32" s="10">
        <f>INT(Cardiac_Table[[#This Row],[Procedure Start Date and Time]])</f>
        <v>43839</v>
      </c>
      <c r="G32" s="12">
        <f>MOD(Cardiac_Table[[#This Row],[Procedure Start Date and Time]],1)</f>
        <v>0.34236111111385981</v>
      </c>
      <c r="H32">
        <v>5</v>
      </c>
      <c r="I32" t="s">
        <v>6</v>
      </c>
      <c r="J32" t="s">
        <v>10</v>
      </c>
      <c r="K32" t="s">
        <v>34</v>
      </c>
      <c r="L32">
        <v>79</v>
      </c>
      <c r="M32">
        <v>5.5</v>
      </c>
      <c r="N32">
        <v>1.52</v>
      </c>
      <c r="O32" t="s">
        <v>15</v>
      </c>
      <c r="P32">
        <v>180</v>
      </c>
      <c r="Q32">
        <v>178</v>
      </c>
      <c r="R32">
        <v>86</v>
      </c>
      <c r="S32">
        <v>61</v>
      </c>
      <c r="T32" t="s">
        <v>48</v>
      </c>
      <c r="U32">
        <f>IF(Cardiac_Table[[#This Row],[Patient Status at Discharge]]="Died", 1,0)</f>
        <v>0</v>
      </c>
      <c r="V32">
        <f>Cardiac_Table[[#This Row],[Risk of Death % (Model 1)]]/100</f>
        <v>5.5E-2</v>
      </c>
      <c r="W32">
        <f>Cardiac_Table[[#This Row],[Risk of Death % (Model 2)]]/100</f>
        <v>1.52E-2</v>
      </c>
      <c r="X32" s="18">
        <f>Cardiac_Table[[#This Row],[Procedure Start Date and Time]]-Cardiac_Table[[#This Row],[Hospital Admit Date ]]</f>
        <v>8.9152777777781012</v>
      </c>
    </row>
    <row r="33" spans="1:24" x14ac:dyDescent="0.35">
      <c r="A33">
        <v>33</v>
      </c>
      <c r="B33" s="9">
        <v>43838.589583333334</v>
      </c>
      <c r="C33" s="10">
        <f>INT(Cardiac_Table[[#This Row],[Hospital Admit Date ]])</f>
        <v>43838</v>
      </c>
      <c r="D33" s="11" t="str">
        <f t="shared" si="0"/>
        <v>14:09</v>
      </c>
      <c r="E33" s="9">
        <v>43839.592361111114</v>
      </c>
      <c r="F33" s="10">
        <f>INT(Cardiac_Table[[#This Row],[Procedure Start Date and Time]])</f>
        <v>43839</v>
      </c>
      <c r="G33" s="12">
        <f>MOD(Cardiac_Table[[#This Row],[Procedure Start Date and Time]],1)</f>
        <v>0.59236111111385981</v>
      </c>
      <c r="H33">
        <v>2</v>
      </c>
      <c r="I33" t="s">
        <v>4</v>
      </c>
      <c r="J33" t="s">
        <v>10</v>
      </c>
      <c r="K33" t="s">
        <v>21</v>
      </c>
      <c r="L33">
        <v>74</v>
      </c>
      <c r="M33">
        <v>2.36</v>
      </c>
      <c r="N33">
        <v>1.01</v>
      </c>
      <c r="O33" t="s">
        <v>15</v>
      </c>
      <c r="P33">
        <v>66</v>
      </c>
      <c r="Q33">
        <v>182</v>
      </c>
      <c r="R33">
        <v>95</v>
      </c>
      <c r="S33">
        <v>55</v>
      </c>
      <c r="T33" t="s">
        <v>48</v>
      </c>
      <c r="U33">
        <f>IF(Cardiac_Table[[#This Row],[Patient Status at Discharge]]="Died", 1,0)</f>
        <v>0</v>
      </c>
      <c r="V33">
        <f>Cardiac_Table[[#This Row],[Risk of Death % (Model 1)]]/100</f>
        <v>2.3599999999999999E-2</v>
      </c>
      <c r="W33">
        <f>Cardiac_Table[[#This Row],[Risk of Death % (Model 2)]]/100</f>
        <v>1.01E-2</v>
      </c>
      <c r="X33" s="18">
        <f>Cardiac_Table[[#This Row],[Procedure Start Date and Time]]-Cardiac_Table[[#This Row],[Hospital Admit Date ]]</f>
        <v>1.0027777777795563</v>
      </c>
    </row>
    <row r="34" spans="1:24" x14ac:dyDescent="0.35">
      <c r="A34">
        <v>34</v>
      </c>
      <c r="B34" s="9">
        <v>43839.326388888891</v>
      </c>
      <c r="C34" s="10">
        <f>INT(Cardiac_Table[[#This Row],[Hospital Admit Date ]])</f>
        <v>43839</v>
      </c>
      <c r="D34" s="11" t="str">
        <f t="shared" si="0"/>
        <v>07:50</v>
      </c>
      <c r="E34" s="9">
        <v>43839.661805555559</v>
      </c>
      <c r="F34" s="10">
        <f>INT(Cardiac_Table[[#This Row],[Procedure Start Date and Time]])</f>
        <v>43839</v>
      </c>
      <c r="G34" s="12">
        <f>MOD(Cardiac_Table[[#This Row],[Procedure Start Date and Time]],1)</f>
        <v>0.66180555555911269</v>
      </c>
      <c r="H34">
        <v>5</v>
      </c>
      <c r="I34" t="s">
        <v>4</v>
      </c>
      <c r="J34" t="s">
        <v>3</v>
      </c>
      <c r="K34" t="s">
        <v>20</v>
      </c>
      <c r="L34">
        <v>77</v>
      </c>
      <c r="M34">
        <v>7.67</v>
      </c>
      <c r="N34">
        <v>1.77</v>
      </c>
      <c r="O34" t="s">
        <v>15</v>
      </c>
      <c r="P34">
        <v>74</v>
      </c>
      <c r="Q34">
        <v>182</v>
      </c>
      <c r="R34">
        <v>42</v>
      </c>
      <c r="S34">
        <v>72</v>
      </c>
      <c r="T34" t="s">
        <v>48</v>
      </c>
      <c r="U34">
        <f>IF(Cardiac_Table[[#This Row],[Patient Status at Discharge]]="Died", 1,0)</f>
        <v>0</v>
      </c>
      <c r="V34">
        <f>Cardiac_Table[[#This Row],[Risk of Death % (Model 1)]]/100</f>
        <v>7.6700000000000004E-2</v>
      </c>
      <c r="W34">
        <f>Cardiac_Table[[#This Row],[Risk of Death % (Model 2)]]/100</f>
        <v>1.77E-2</v>
      </c>
      <c r="X34" s="18">
        <f>Cardiac_Table[[#This Row],[Procedure Start Date and Time]]-Cardiac_Table[[#This Row],[Hospital Admit Date ]]</f>
        <v>0.33541666666860692</v>
      </c>
    </row>
    <row r="35" spans="1:24" x14ac:dyDescent="0.35">
      <c r="A35">
        <v>35</v>
      </c>
      <c r="B35" s="9">
        <v>43839.458333333336</v>
      </c>
      <c r="C35" s="10">
        <f>INT(Cardiac_Table[[#This Row],[Hospital Admit Date ]])</f>
        <v>43839</v>
      </c>
      <c r="D35" s="11" t="str">
        <f t="shared" si="0"/>
        <v>11:00</v>
      </c>
      <c r="E35" s="9">
        <v>43840.336111111108</v>
      </c>
      <c r="F35" s="10">
        <f>INT(Cardiac_Table[[#This Row],[Procedure Start Date and Time]])</f>
        <v>43840</v>
      </c>
      <c r="G35" s="12">
        <f>MOD(Cardiac_Table[[#This Row],[Procedure Start Date and Time]],1)</f>
        <v>0.33611111110803904</v>
      </c>
      <c r="H35">
        <v>2</v>
      </c>
      <c r="I35" t="s">
        <v>6</v>
      </c>
      <c r="J35" t="s">
        <v>10</v>
      </c>
      <c r="K35" t="s">
        <v>21</v>
      </c>
      <c r="L35">
        <v>76</v>
      </c>
      <c r="M35">
        <v>5.92</v>
      </c>
      <c r="N35">
        <v>1.8</v>
      </c>
      <c r="O35" t="s">
        <v>15</v>
      </c>
      <c r="P35">
        <v>92</v>
      </c>
      <c r="Q35">
        <v>163</v>
      </c>
      <c r="R35">
        <v>80</v>
      </c>
      <c r="S35">
        <v>50</v>
      </c>
      <c r="T35" t="s">
        <v>50</v>
      </c>
      <c r="U35">
        <f>IF(Cardiac_Table[[#This Row],[Patient Status at Discharge]]="Died", 1,0)</f>
        <v>0</v>
      </c>
      <c r="V35">
        <f>Cardiac_Table[[#This Row],[Risk of Death % (Model 1)]]/100</f>
        <v>5.9200000000000003E-2</v>
      </c>
      <c r="W35">
        <f>Cardiac_Table[[#This Row],[Risk of Death % (Model 2)]]/100</f>
        <v>1.8000000000000002E-2</v>
      </c>
      <c r="X35" s="18">
        <f>Cardiac_Table[[#This Row],[Procedure Start Date and Time]]-Cardiac_Table[[#This Row],[Hospital Admit Date ]]</f>
        <v>0.87777777777228039</v>
      </c>
    </row>
    <row r="36" spans="1:24" x14ac:dyDescent="0.35">
      <c r="A36">
        <v>36</v>
      </c>
      <c r="B36" s="9">
        <v>43839.561805555553</v>
      </c>
      <c r="C36" s="10">
        <f>INT(Cardiac_Table[[#This Row],[Hospital Admit Date ]])</f>
        <v>43839</v>
      </c>
      <c r="D36" s="11" t="str">
        <f t="shared" si="0"/>
        <v>13:29</v>
      </c>
      <c r="E36" s="9">
        <v>43840.340277777781</v>
      </c>
      <c r="F36" s="10">
        <f>INT(Cardiac_Table[[#This Row],[Procedure Start Date and Time]])</f>
        <v>43840</v>
      </c>
      <c r="G36" s="12">
        <f>MOD(Cardiac_Table[[#This Row],[Procedure Start Date and Time]],1)</f>
        <v>0.34027777778101154</v>
      </c>
      <c r="H36">
        <v>3</v>
      </c>
      <c r="I36" t="s">
        <v>4</v>
      </c>
      <c r="J36" t="s">
        <v>3</v>
      </c>
      <c r="K36" t="s">
        <v>35</v>
      </c>
      <c r="L36">
        <v>74</v>
      </c>
      <c r="M36">
        <v>5.46</v>
      </c>
      <c r="N36">
        <v>5.2</v>
      </c>
      <c r="O36" t="s">
        <v>15</v>
      </c>
      <c r="P36">
        <v>66</v>
      </c>
      <c r="Q36">
        <v>167</v>
      </c>
      <c r="R36">
        <v>50</v>
      </c>
      <c r="S36">
        <v>55</v>
      </c>
      <c r="T36" t="s">
        <v>48</v>
      </c>
      <c r="U36">
        <f>IF(Cardiac_Table[[#This Row],[Patient Status at Discharge]]="Died", 1,0)</f>
        <v>0</v>
      </c>
      <c r="V36">
        <f>Cardiac_Table[[#This Row],[Risk of Death % (Model 1)]]/100</f>
        <v>5.4600000000000003E-2</v>
      </c>
      <c r="W36">
        <f>Cardiac_Table[[#This Row],[Risk of Death % (Model 2)]]/100</f>
        <v>5.2000000000000005E-2</v>
      </c>
      <c r="X36" s="18">
        <f>Cardiac_Table[[#This Row],[Procedure Start Date and Time]]-Cardiac_Table[[#This Row],[Hospital Admit Date ]]</f>
        <v>0.77847222222771961</v>
      </c>
    </row>
    <row r="37" spans="1:24" x14ac:dyDescent="0.35">
      <c r="A37">
        <v>37</v>
      </c>
      <c r="B37" s="9">
        <v>43839.564583333333</v>
      </c>
      <c r="C37" s="10">
        <f>INT(Cardiac_Table[[#This Row],[Hospital Admit Date ]])</f>
        <v>43839</v>
      </c>
      <c r="D37" s="11" t="str">
        <f t="shared" si="0"/>
        <v>13:33</v>
      </c>
      <c r="E37" s="9">
        <v>43840.350694444445</v>
      </c>
      <c r="F37" s="10">
        <f>INT(Cardiac_Table[[#This Row],[Procedure Start Date and Time]])</f>
        <v>43840</v>
      </c>
      <c r="G37" s="12">
        <f>MOD(Cardiac_Table[[#This Row],[Procedure Start Date and Time]],1)</f>
        <v>0.35069444444525288</v>
      </c>
      <c r="H37">
        <v>5</v>
      </c>
      <c r="I37" t="s">
        <v>4</v>
      </c>
      <c r="J37" t="s">
        <v>10</v>
      </c>
      <c r="K37" t="s">
        <v>22</v>
      </c>
      <c r="L37">
        <v>72</v>
      </c>
      <c r="M37">
        <v>9.18</v>
      </c>
      <c r="N37">
        <v>3.4</v>
      </c>
      <c r="O37" t="s">
        <v>15</v>
      </c>
      <c r="P37">
        <v>70</v>
      </c>
      <c r="Q37">
        <v>160</v>
      </c>
      <c r="R37">
        <v>71</v>
      </c>
      <c r="S37">
        <v>55</v>
      </c>
      <c r="T37" t="s">
        <v>48</v>
      </c>
      <c r="U37">
        <f>IF(Cardiac_Table[[#This Row],[Patient Status at Discharge]]="Died", 1,0)</f>
        <v>0</v>
      </c>
      <c r="V37">
        <f>Cardiac_Table[[#This Row],[Risk of Death % (Model 1)]]/100</f>
        <v>9.1799999999999993E-2</v>
      </c>
      <c r="W37">
        <f>Cardiac_Table[[#This Row],[Risk of Death % (Model 2)]]/100</f>
        <v>3.4000000000000002E-2</v>
      </c>
      <c r="X37" s="18">
        <f>Cardiac_Table[[#This Row],[Procedure Start Date and Time]]-Cardiac_Table[[#This Row],[Hospital Admit Date ]]</f>
        <v>0.78611111111240461</v>
      </c>
    </row>
    <row r="38" spans="1:24" x14ac:dyDescent="0.35">
      <c r="A38">
        <v>38</v>
      </c>
      <c r="B38" s="9">
        <v>43839.597916666666</v>
      </c>
      <c r="C38" s="10">
        <f>INT(Cardiac_Table[[#This Row],[Hospital Admit Date ]])</f>
        <v>43839</v>
      </c>
      <c r="D38" s="11" t="str">
        <f t="shared" si="0"/>
        <v>14:21</v>
      </c>
      <c r="E38" s="9">
        <v>43840.486805555556</v>
      </c>
      <c r="F38" s="10">
        <f>INT(Cardiac_Table[[#This Row],[Procedure Start Date and Time]])</f>
        <v>43840</v>
      </c>
      <c r="G38" s="12">
        <f>MOD(Cardiac_Table[[#This Row],[Procedure Start Date and Time]],1)</f>
        <v>0.48680555555620231</v>
      </c>
      <c r="H38">
        <v>6</v>
      </c>
      <c r="I38" t="s">
        <v>4</v>
      </c>
      <c r="J38" t="s">
        <v>11</v>
      </c>
      <c r="K38" t="s">
        <v>31</v>
      </c>
      <c r="L38">
        <v>78</v>
      </c>
      <c r="M38">
        <v>7.62</v>
      </c>
      <c r="N38">
        <v>3.37</v>
      </c>
      <c r="O38" t="s">
        <v>15</v>
      </c>
      <c r="P38">
        <v>99</v>
      </c>
      <c r="Q38">
        <v>165</v>
      </c>
      <c r="R38">
        <v>93</v>
      </c>
      <c r="S38">
        <v>65</v>
      </c>
      <c r="T38" t="s">
        <v>48</v>
      </c>
      <c r="U38">
        <f>IF(Cardiac_Table[[#This Row],[Patient Status at Discharge]]="Died", 1,0)</f>
        <v>0</v>
      </c>
      <c r="V38">
        <f>Cardiac_Table[[#This Row],[Risk of Death % (Model 1)]]/100</f>
        <v>7.6200000000000004E-2</v>
      </c>
      <c r="W38">
        <f>Cardiac_Table[[#This Row],[Risk of Death % (Model 2)]]/100</f>
        <v>3.3700000000000001E-2</v>
      </c>
      <c r="X38" s="18">
        <f>Cardiac_Table[[#This Row],[Procedure Start Date and Time]]-Cardiac_Table[[#This Row],[Hospital Admit Date ]]</f>
        <v>0.88888888889050577</v>
      </c>
    </row>
    <row r="39" spans="1:24" x14ac:dyDescent="0.35">
      <c r="A39">
        <v>39</v>
      </c>
      <c r="B39" s="9">
        <v>43840.328472222223</v>
      </c>
      <c r="C39" s="10">
        <f>INT(Cardiac_Table[[#This Row],[Hospital Admit Date ]])</f>
        <v>43840</v>
      </c>
      <c r="D39" s="11" t="str">
        <f t="shared" si="0"/>
        <v>07:53</v>
      </c>
      <c r="E39" s="9">
        <v>43840.524305555555</v>
      </c>
      <c r="F39" s="10">
        <f>INT(Cardiac_Table[[#This Row],[Procedure Start Date and Time]])</f>
        <v>43840</v>
      </c>
      <c r="G39" s="12">
        <f>MOD(Cardiac_Table[[#This Row],[Procedure Start Date and Time]],1)</f>
        <v>0.52430555555474712</v>
      </c>
      <c r="H39">
        <v>3</v>
      </c>
      <c r="I39" t="s">
        <v>4</v>
      </c>
      <c r="J39" t="s">
        <v>3</v>
      </c>
      <c r="K39" t="s">
        <v>35</v>
      </c>
      <c r="L39">
        <v>50</v>
      </c>
      <c r="M39">
        <v>1.51</v>
      </c>
      <c r="N39">
        <v>0.8</v>
      </c>
      <c r="O39" t="s">
        <v>15</v>
      </c>
      <c r="P39">
        <v>78</v>
      </c>
      <c r="Q39">
        <v>156</v>
      </c>
      <c r="R39">
        <v>119</v>
      </c>
      <c r="S39">
        <v>65</v>
      </c>
      <c r="T39" t="s">
        <v>48</v>
      </c>
      <c r="U39">
        <f>IF(Cardiac_Table[[#This Row],[Patient Status at Discharge]]="Died", 1,0)</f>
        <v>0</v>
      </c>
      <c r="V39">
        <f>Cardiac_Table[[#This Row],[Risk of Death % (Model 1)]]/100</f>
        <v>1.5100000000000001E-2</v>
      </c>
      <c r="W39">
        <f>Cardiac_Table[[#This Row],[Risk of Death % (Model 2)]]/100</f>
        <v>8.0000000000000002E-3</v>
      </c>
      <c r="X39" s="18">
        <f>Cardiac_Table[[#This Row],[Procedure Start Date and Time]]-Cardiac_Table[[#This Row],[Hospital Admit Date ]]</f>
        <v>0.19583333333139308</v>
      </c>
    </row>
    <row r="40" spans="1:24" x14ac:dyDescent="0.35">
      <c r="A40">
        <v>40</v>
      </c>
      <c r="B40" s="9">
        <v>43840.318749999999</v>
      </c>
      <c r="C40" s="10">
        <f>INT(Cardiac_Table[[#This Row],[Hospital Admit Date ]])</f>
        <v>43840</v>
      </c>
      <c r="D40" s="11" t="str">
        <f t="shared" si="0"/>
        <v>07:39</v>
      </c>
      <c r="E40" s="9">
        <v>43840.579861111109</v>
      </c>
      <c r="F40" s="10">
        <f>INT(Cardiac_Table[[#This Row],[Procedure Start Date and Time]])</f>
        <v>43840</v>
      </c>
      <c r="G40" s="12">
        <f>MOD(Cardiac_Table[[#This Row],[Procedure Start Date and Time]],1)</f>
        <v>0.57986111110949423</v>
      </c>
      <c r="H40">
        <v>2</v>
      </c>
      <c r="I40" t="s">
        <v>4</v>
      </c>
      <c r="J40" t="s">
        <v>10</v>
      </c>
      <c r="K40" t="s">
        <v>21</v>
      </c>
      <c r="L40">
        <v>80</v>
      </c>
      <c r="M40">
        <v>7.71</v>
      </c>
      <c r="N40">
        <v>2.61</v>
      </c>
      <c r="O40" t="s">
        <v>15</v>
      </c>
      <c r="P40">
        <v>79</v>
      </c>
      <c r="Q40">
        <v>174</v>
      </c>
      <c r="R40">
        <v>80</v>
      </c>
      <c r="S40">
        <v>50</v>
      </c>
      <c r="T40" t="s">
        <v>50</v>
      </c>
      <c r="U40">
        <f>IF(Cardiac_Table[[#This Row],[Patient Status at Discharge]]="Died", 1,0)</f>
        <v>0</v>
      </c>
      <c r="V40">
        <f>Cardiac_Table[[#This Row],[Risk of Death % (Model 1)]]/100</f>
        <v>7.7100000000000002E-2</v>
      </c>
      <c r="W40">
        <f>Cardiac_Table[[#This Row],[Risk of Death % (Model 2)]]/100</f>
        <v>2.6099999999999998E-2</v>
      </c>
      <c r="X40" s="18">
        <f>Cardiac_Table[[#This Row],[Procedure Start Date and Time]]-Cardiac_Table[[#This Row],[Hospital Admit Date ]]</f>
        <v>0.26111111111094942</v>
      </c>
    </row>
    <row r="41" spans="1:24" x14ac:dyDescent="0.35">
      <c r="A41">
        <v>41</v>
      </c>
      <c r="B41" s="9">
        <v>43838.87777777778</v>
      </c>
      <c r="C41" s="10">
        <f>INT(Cardiac_Table[[#This Row],[Hospital Admit Date ]])</f>
        <v>43838</v>
      </c>
      <c r="D41" s="11" t="str">
        <f t="shared" si="0"/>
        <v>21:04</v>
      </c>
      <c r="E41" s="9">
        <v>43840.762499999997</v>
      </c>
      <c r="F41" s="10">
        <f>INT(Cardiac_Table[[#This Row],[Procedure Start Date and Time]])</f>
        <v>43840</v>
      </c>
      <c r="G41" s="12">
        <f>MOD(Cardiac_Table[[#This Row],[Procedure Start Date and Time]],1)</f>
        <v>0.76249999999708962</v>
      </c>
      <c r="H41">
        <v>1</v>
      </c>
      <c r="I41" t="s">
        <v>2</v>
      </c>
      <c r="J41" t="s">
        <v>11</v>
      </c>
      <c r="K41" t="s">
        <v>21</v>
      </c>
      <c r="L41">
        <v>76</v>
      </c>
      <c r="M41">
        <v>71.760000000000005</v>
      </c>
      <c r="N41">
        <v>33.46</v>
      </c>
      <c r="O41" t="s">
        <v>13</v>
      </c>
      <c r="P41">
        <v>83</v>
      </c>
      <c r="Q41">
        <v>165</v>
      </c>
      <c r="R41">
        <v>104</v>
      </c>
      <c r="S41">
        <v>55</v>
      </c>
      <c r="T41" t="s">
        <v>48</v>
      </c>
      <c r="U41">
        <f>IF(Cardiac_Table[[#This Row],[Patient Status at Discharge]]="Died", 1,0)</f>
        <v>1</v>
      </c>
      <c r="V41">
        <f>Cardiac_Table[[#This Row],[Risk of Death % (Model 1)]]/100</f>
        <v>0.71760000000000002</v>
      </c>
      <c r="W41">
        <f>Cardiac_Table[[#This Row],[Risk of Death % (Model 2)]]/100</f>
        <v>0.33460000000000001</v>
      </c>
      <c r="X41" s="18">
        <f>Cardiac_Table[[#This Row],[Procedure Start Date and Time]]-Cardiac_Table[[#This Row],[Hospital Admit Date ]]</f>
        <v>1.8847222222175333</v>
      </c>
    </row>
    <row r="42" spans="1:24" x14ac:dyDescent="0.35">
      <c r="A42">
        <v>42</v>
      </c>
      <c r="B42" s="9">
        <v>43840.666666666664</v>
      </c>
      <c r="C42" s="10">
        <f>INT(Cardiac_Table[[#This Row],[Hospital Admit Date ]])</f>
        <v>43840</v>
      </c>
      <c r="D42" s="11" t="str">
        <f t="shared" si="0"/>
        <v>16:00</v>
      </c>
      <c r="E42" s="9">
        <v>43841.329861111109</v>
      </c>
      <c r="F42" s="10">
        <f>INT(Cardiac_Table[[#This Row],[Procedure Start Date and Time]])</f>
        <v>43841</v>
      </c>
      <c r="G42" s="12">
        <f>MOD(Cardiac_Table[[#This Row],[Procedure Start Date and Time]],1)</f>
        <v>0.32986111110949423</v>
      </c>
      <c r="H42">
        <v>2</v>
      </c>
      <c r="I42" t="s">
        <v>4</v>
      </c>
      <c r="J42" t="s">
        <v>3</v>
      </c>
      <c r="K42" t="s">
        <v>20</v>
      </c>
      <c r="L42">
        <v>59</v>
      </c>
      <c r="M42">
        <v>1.51</v>
      </c>
      <c r="N42">
        <v>1.75</v>
      </c>
      <c r="O42" t="s">
        <v>15</v>
      </c>
      <c r="P42">
        <v>99</v>
      </c>
      <c r="Q42">
        <v>180</v>
      </c>
      <c r="R42">
        <v>108</v>
      </c>
      <c r="S42">
        <v>52</v>
      </c>
      <c r="T42" t="s">
        <v>48</v>
      </c>
      <c r="U42">
        <f>IF(Cardiac_Table[[#This Row],[Patient Status at Discharge]]="Died", 1,0)</f>
        <v>0</v>
      </c>
      <c r="V42">
        <f>Cardiac_Table[[#This Row],[Risk of Death % (Model 1)]]/100</f>
        <v>1.5100000000000001E-2</v>
      </c>
      <c r="W42">
        <f>Cardiac_Table[[#This Row],[Risk of Death % (Model 2)]]/100</f>
        <v>1.7500000000000002E-2</v>
      </c>
      <c r="X42" s="18">
        <f>Cardiac_Table[[#This Row],[Procedure Start Date and Time]]-Cardiac_Table[[#This Row],[Hospital Admit Date ]]</f>
        <v>0.66319444444525288</v>
      </c>
    </row>
    <row r="43" spans="1:24" x14ac:dyDescent="0.35">
      <c r="A43">
        <v>43</v>
      </c>
      <c r="B43" s="9">
        <v>43841.35</v>
      </c>
      <c r="C43" s="10">
        <f>INT(Cardiac_Table[[#This Row],[Hospital Admit Date ]])</f>
        <v>43841</v>
      </c>
      <c r="D43" s="11" t="str">
        <f t="shared" si="0"/>
        <v>08:24</v>
      </c>
      <c r="E43" s="9">
        <v>43841.524305555555</v>
      </c>
      <c r="F43" s="10">
        <f>INT(Cardiac_Table[[#This Row],[Procedure Start Date and Time]])</f>
        <v>43841</v>
      </c>
      <c r="G43" s="12">
        <f>MOD(Cardiac_Table[[#This Row],[Procedure Start Date and Time]],1)</f>
        <v>0.52430555555474712</v>
      </c>
      <c r="H43">
        <v>2</v>
      </c>
      <c r="I43" t="s">
        <v>4</v>
      </c>
      <c r="J43" t="s">
        <v>10</v>
      </c>
      <c r="K43" t="s">
        <v>22</v>
      </c>
      <c r="L43">
        <v>59</v>
      </c>
      <c r="M43">
        <v>1.33</v>
      </c>
      <c r="N43">
        <v>0.92</v>
      </c>
      <c r="O43" t="s">
        <v>15</v>
      </c>
      <c r="P43">
        <v>85</v>
      </c>
      <c r="Q43">
        <v>171</v>
      </c>
      <c r="R43">
        <v>92</v>
      </c>
      <c r="S43">
        <v>47</v>
      </c>
      <c r="T43" t="s">
        <v>50</v>
      </c>
      <c r="U43">
        <f>IF(Cardiac_Table[[#This Row],[Patient Status at Discharge]]="Died", 1,0)</f>
        <v>0</v>
      </c>
      <c r="V43">
        <f>Cardiac_Table[[#This Row],[Risk of Death % (Model 1)]]/100</f>
        <v>1.3300000000000001E-2</v>
      </c>
      <c r="W43">
        <f>Cardiac_Table[[#This Row],[Risk of Death % (Model 2)]]/100</f>
        <v>9.1999999999999998E-3</v>
      </c>
      <c r="X43" s="18">
        <f>Cardiac_Table[[#This Row],[Procedure Start Date and Time]]-Cardiac_Table[[#This Row],[Hospital Admit Date ]]</f>
        <v>0.17430555555620231</v>
      </c>
    </row>
    <row r="44" spans="1:24" x14ac:dyDescent="0.35">
      <c r="A44">
        <v>44</v>
      </c>
      <c r="B44" s="9">
        <v>43842.583333333336</v>
      </c>
      <c r="C44" s="10">
        <f>INT(Cardiac_Table[[#This Row],[Hospital Admit Date ]])</f>
        <v>43842</v>
      </c>
      <c r="D44" s="11" t="str">
        <f t="shared" si="0"/>
        <v>14:00</v>
      </c>
      <c r="E44" s="9">
        <v>43843.329861111109</v>
      </c>
      <c r="F44" s="10">
        <f>INT(Cardiac_Table[[#This Row],[Procedure Start Date and Time]])</f>
        <v>43843</v>
      </c>
      <c r="G44" s="12">
        <f>MOD(Cardiac_Table[[#This Row],[Procedure Start Date and Time]],1)</f>
        <v>0.32986111110949423</v>
      </c>
      <c r="H44">
        <v>6</v>
      </c>
      <c r="I44" t="s">
        <v>4</v>
      </c>
      <c r="J44" t="s">
        <v>11</v>
      </c>
      <c r="K44" t="s">
        <v>33</v>
      </c>
      <c r="L44">
        <v>75</v>
      </c>
      <c r="M44">
        <v>7.88</v>
      </c>
      <c r="N44">
        <v>2.48</v>
      </c>
      <c r="O44" t="s">
        <v>15</v>
      </c>
      <c r="P44">
        <v>74</v>
      </c>
      <c r="Q44">
        <v>176</v>
      </c>
      <c r="R44">
        <v>76</v>
      </c>
      <c r="S44">
        <v>60</v>
      </c>
      <c r="T44" t="s">
        <v>48</v>
      </c>
      <c r="U44">
        <f>IF(Cardiac_Table[[#This Row],[Patient Status at Discharge]]="Died", 1,0)</f>
        <v>0</v>
      </c>
      <c r="V44">
        <f>Cardiac_Table[[#This Row],[Risk of Death % (Model 1)]]/100</f>
        <v>7.8799999999999995E-2</v>
      </c>
      <c r="W44">
        <f>Cardiac_Table[[#This Row],[Risk of Death % (Model 2)]]/100</f>
        <v>2.4799999999999999E-2</v>
      </c>
      <c r="X44" s="18">
        <f>Cardiac_Table[[#This Row],[Procedure Start Date and Time]]-Cardiac_Table[[#This Row],[Hospital Admit Date ]]</f>
        <v>0.74652777777373558</v>
      </c>
    </row>
    <row r="45" spans="1:24" x14ac:dyDescent="0.35">
      <c r="A45">
        <v>45</v>
      </c>
      <c r="B45" s="9">
        <v>43838.726388888892</v>
      </c>
      <c r="C45" s="10">
        <f>INT(Cardiac_Table[[#This Row],[Hospital Admit Date ]])</f>
        <v>43838</v>
      </c>
      <c r="D45" s="11" t="str">
        <f t="shared" si="0"/>
        <v>17:26</v>
      </c>
      <c r="E45" s="9">
        <v>43843.329861111109</v>
      </c>
      <c r="F45" s="10">
        <f>INT(Cardiac_Table[[#This Row],[Procedure Start Date and Time]])</f>
        <v>43843</v>
      </c>
      <c r="G45" s="12">
        <f>MOD(Cardiac_Table[[#This Row],[Procedure Start Date and Time]],1)</f>
        <v>0.32986111110949423</v>
      </c>
      <c r="H45">
        <v>5</v>
      </c>
      <c r="I45" t="s">
        <v>6</v>
      </c>
      <c r="J45" t="s">
        <v>10</v>
      </c>
      <c r="K45" t="s">
        <v>32</v>
      </c>
      <c r="L45">
        <v>83</v>
      </c>
      <c r="M45">
        <v>11.82</v>
      </c>
      <c r="N45">
        <v>9.81</v>
      </c>
      <c r="O45" t="s">
        <v>15</v>
      </c>
      <c r="P45">
        <v>78</v>
      </c>
      <c r="Q45">
        <v>177</v>
      </c>
      <c r="R45">
        <v>74</v>
      </c>
      <c r="S45">
        <v>60</v>
      </c>
      <c r="T45" t="s">
        <v>48</v>
      </c>
      <c r="U45">
        <f>IF(Cardiac_Table[[#This Row],[Patient Status at Discharge]]="Died", 1,0)</f>
        <v>0</v>
      </c>
      <c r="V45">
        <f>Cardiac_Table[[#This Row],[Risk of Death % (Model 1)]]/100</f>
        <v>0.1182</v>
      </c>
      <c r="W45">
        <f>Cardiac_Table[[#This Row],[Risk of Death % (Model 2)]]/100</f>
        <v>9.8100000000000007E-2</v>
      </c>
      <c r="X45" s="18">
        <f>Cardiac_Table[[#This Row],[Procedure Start Date and Time]]-Cardiac_Table[[#This Row],[Hospital Admit Date ]]</f>
        <v>4.6034722222175333</v>
      </c>
    </row>
    <row r="46" spans="1:24" x14ac:dyDescent="0.35">
      <c r="A46">
        <v>46</v>
      </c>
      <c r="B46" s="9">
        <v>43842.583333333336</v>
      </c>
      <c r="C46" s="10">
        <f>INT(Cardiac_Table[[#This Row],[Hospital Admit Date ]])</f>
        <v>43842</v>
      </c>
      <c r="D46" s="11" t="str">
        <f t="shared" si="0"/>
        <v>14:00</v>
      </c>
      <c r="E46" s="9">
        <v>43843.353472222225</v>
      </c>
      <c r="F46" s="10">
        <f>INT(Cardiac_Table[[#This Row],[Procedure Start Date and Time]])</f>
        <v>43843</v>
      </c>
      <c r="G46" s="12">
        <f>MOD(Cardiac_Table[[#This Row],[Procedure Start Date and Time]],1)</f>
        <v>0.35347222222480923</v>
      </c>
      <c r="H46">
        <v>2</v>
      </c>
      <c r="I46" t="s">
        <v>4</v>
      </c>
      <c r="J46" t="s">
        <v>10</v>
      </c>
      <c r="K46" t="s">
        <v>31</v>
      </c>
      <c r="L46">
        <v>64</v>
      </c>
      <c r="M46">
        <v>1.23</v>
      </c>
      <c r="N46">
        <v>0.63</v>
      </c>
      <c r="O46" t="s">
        <v>15</v>
      </c>
      <c r="P46">
        <v>76</v>
      </c>
      <c r="Q46">
        <v>181</v>
      </c>
      <c r="R46">
        <v>88</v>
      </c>
      <c r="S46">
        <v>48</v>
      </c>
      <c r="T46" t="s">
        <v>50</v>
      </c>
      <c r="U46">
        <f>IF(Cardiac_Table[[#This Row],[Patient Status at Discharge]]="Died", 1,0)</f>
        <v>0</v>
      </c>
      <c r="V46">
        <f>Cardiac_Table[[#This Row],[Risk of Death % (Model 1)]]/100</f>
        <v>1.23E-2</v>
      </c>
      <c r="W46">
        <f>Cardiac_Table[[#This Row],[Risk of Death % (Model 2)]]/100</f>
        <v>6.3E-3</v>
      </c>
      <c r="X46" s="18">
        <f>Cardiac_Table[[#This Row],[Procedure Start Date and Time]]-Cardiac_Table[[#This Row],[Hospital Admit Date ]]</f>
        <v>0.77013888888905058</v>
      </c>
    </row>
    <row r="47" spans="1:24" x14ac:dyDescent="0.35">
      <c r="A47">
        <v>47</v>
      </c>
      <c r="B47" s="9">
        <v>43842.583333333336</v>
      </c>
      <c r="C47" s="10">
        <f>INT(Cardiac_Table[[#This Row],[Hospital Admit Date ]])</f>
        <v>43842</v>
      </c>
      <c r="D47" s="11" t="str">
        <f t="shared" si="0"/>
        <v>14:00</v>
      </c>
      <c r="E47" s="9">
        <v>43843.368055555555</v>
      </c>
      <c r="F47" s="10">
        <f>INT(Cardiac_Table[[#This Row],[Procedure Start Date and Time]])</f>
        <v>43843</v>
      </c>
      <c r="G47" s="12">
        <f>MOD(Cardiac_Table[[#This Row],[Procedure Start Date and Time]],1)</f>
        <v>0.36805555555474712</v>
      </c>
      <c r="H47">
        <v>3</v>
      </c>
      <c r="I47" t="s">
        <v>4</v>
      </c>
      <c r="J47" t="s">
        <v>1</v>
      </c>
      <c r="K47" t="s">
        <v>23</v>
      </c>
      <c r="L47">
        <v>75</v>
      </c>
      <c r="M47">
        <v>16.46</v>
      </c>
      <c r="N47">
        <v>3.1</v>
      </c>
      <c r="O47" t="s">
        <v>15</v>
      </c>
      <c r="P47">
        <v>78</v>
      </c>
      <c r="Q47">
        <v>175</v>
      </c>
      <c r="R47">
        <v>116</v>
      </c>
      <c r="S47">
        <v>55</v>
      </c>
      <c r="T47" t="s">
        <v>48</v>
      </c>
      <c r="U47">
        <f>IF(Cardiac_Table[[#This Row],[Patient Status at Discharge]]="Died", 1,0)</f>
        <v>0</v>
      </c>
      <c r="V47">
        <f>Cardiac_Table[[#This Row],[Risk of Death % (Model 1)]]/100</f>
        <v>0.1646</v>
      </c>
      <c r="W47">
        <f>Cardiac_Table[[#This Row],[Risk of Death % (Model 2)]]/100</f>
        <v>3.1E-2</v>
      </c>
      <c r="X47" s="18">
        <f>Cardiac_Table[[#This Row],[Procedure Start Date and Time]]-Cardiac_Table[[#This Row],[Hospital Admit Date ]]</f>
        <v>0.78472222221898846</v>
      </c>
    </row>
    <row r="48" spans="1:24" x14ac:dyDescent="0.35">
      <c r="A48">
        <v>48</v>
      </c>
      <c r="B48" s="9">
        <v>43843.352083333331</v>
      </c>
      <c r="C48" s="10">
        <f>INT(Cardiac_Table[[#This Row],[Hospital Admit Date ]])</f>
        <v>43843</v>
      </c>
      <c r="D48" s="11" t="str">
        <f t="shared" si="0"/>
        <v>08:27</v>
      </c>
      <c r="E48" s="9">
        <v>43843.556944444441</v>
      </c>
      <c r="F48" s="10">
        <f>INT(Cardiac_Table[[#This Row],[Procedure Start Date and Time]])</f>
        <v>43843</v>
      </c>
      <c r="G48" s="12">
        <f>MOD(Cardiac_Table[[#This Row],[Procedure Start Date and Time]],1)</f>
        <v>0.55694444444088731</v>
      </c>
      <c r="H48">
        <v>5</v>
      </c>
      <c r="I48" t="s">
        <v>4</v>
      </c>
      <c r="J48" t="s">
        <v>11</v>
      </c>
      <c r="K48" t="s">
        <v>32</v>
      </c>
      <c r="L48">
        <v>83</v>
      </c>
      <c r="M48">
        <v>7.03</v>
      </c>
      <c r="N48">
        <v>2.4700000000000002</v>
      </c>
      <c r="O48" t="s">
        <v>15</v>
      </c>
      <c r="P48">
        <v>75</v>
      </c>
      <c r="Q48">
        <v>179</v>
      </c>
      <c r="R48">
        <v>77</v>
      </c>
      <c r="S48">
        <v>48</v>
      </c>
      <c r="T48" t="s">
        <v>50</v>
      </c>
      <c r="U48">
        <f>IF(Cardiac_Table[[#This Row],[Patient Status at Discharge]]="Died", 1,0)</f>
        <v>0</v>
      </c>
      <c r="V48">
        <f>Cardiac_Table[[#This Row],[Risk of Death % (Model 1)]]/100</f>
        <v>7.0300000000000001E-2</v>
      </c>
      <c r="W48">
        <f>Cardiac_Table[[#This Row],[Risk of Death % (Model 2)]]/100</f>
        <v>2.4700000000000003E-2</v>
      </c>
      <c r="X48" s="18">
        <f>Cardiac_Table[[#This Row],[Procedure Start Date and Time]]-Cardiac_Table[[#This Row],[Hospital Admit Date ]]</f>
        <v>0.20486111110949423</v>
      </c>
    </row>
    <row r="49" spans="1:24" x14ac:dyDescent="0.35">
      <c r="A49">
        <v>49</v>
      </c>
      <c r="B49" s="9">
        <v>43833.583333333336</v>
      </c>
      <c r="C49" s="10">
        <f>INT(Cardiac_Table[[#This Row],[Hospital Admit Date ]])</f>
        <v>43833</v>
      </c>
      <c r="D49" s="11" t="str">
        <f t="shared" si="0"/>
        <v>14:00</v>
      </c>
      <c r="E49" s="9">
        <v>43843.580555555556</v>
      </c>
      <c r="F49" s="10">
        <f>INT(Cardiac_Table[[#This Row],[Procedure Start Date and Time]])</f>
        <v>43843</v>
      </c>
      <c r="G49" s="12">
        <f>MOD(Cardiac_Table[[#This Row],[Procedure Start Date and Time]],1)</f>
        <v>0.58055555555620231</v>
      </c>
      <c r="H49">
        <v>6</v>
      </c>
      <c r="I49" t="s">
        <v>6</v>
      </c>
      <c r="J49" t="s">
        <v>10</v>
      </c>
      <c r="K49" t="s">
        <v>33</v>
      </c>
      <c r="L49">
        <v>47</v>
      </c>
      <c r="M49">
        <v>2.2799999999999998</v>
      </c>
      <c r="N49">
        <v>1.0900000000000001</v>
      </c>
      <c r="O49" t="s">
        <v>15</v>
      </c>
      <c r="P49">
        <v>78</v>
      </c>
      <c r="Q49">
        <v>145</v>
      </c>
      <c r="R49">
        <v>68</v>
      </c>
      <c r="S49">
        <v>45</v>
      </c>
      <c r="T49" t="s">
        <v>50</v>
      </c>
      <c r="U49">
        <f>IF(Cardiac_Table[[#This Row],[Patient Status at Discharge]]="Died", 1,0)</f>
        <v>0</v>
      </c>
      <c r="V49">
        <f>Cardiac_Table[[#This Row],[Risk of Death % (Model 1)]]/100</f>
        <v>2.2799999999999997E-2</v>
      </c>
      <c r="W49">
        <f>Cardiac_Table[[#This Row],[Risk of Death % (Model 2)]]/100</f>
        <v>1.09E-2</v>
      </c>
      <c r="X49" s="18">
        <f>Cardiac_Table[[#This Row],[Procedure Start Date and Time]]-Cardiac_Table[[#This Row],[Hospital Admit Date ]]</f>
        <v>9.9972222222204437</v>
      </c>
    </row>
    <row r="50" spans="1:24" x14ac:dyDescent="0.35">
      <c r="A50">
        <v>50</v>
      </c>
      <c r="B50" s="9">
        <v>43842.457638888889</v>
      </c>
      <c r="C50" s="10">
        <f>INT(Cardiac_Table[[#This Row],[Hospital Admit Date ]])</f>
        <v>43842</v>
      </c>
      <c r="D50" s="11" t="str">
        <f t="shared" si="0"/>
        <v>10:59</v>
      </c>
      <c r="E50" s="9">
        <v>43843.612500000003</v>
      </c>
      <c r="F50" s="10">
        <f>INT(Cardiac_Table[[#This Row],[Procedure Start Date and Time]])</f>
        <v>43843</v>
      </c>
      <c r="G50" s="12">
        <f>MOD(Cardiac_Table[[#This Row],[Procedure Start Date and Time]],1)</f>
        <v>0.61250000000291038</v>
      </c>
      <c r="H50">
        <v>2</v>
      </c>
      <c r="I50" t="s">
        <v>4</v>
      </c>
      <c r="J50" t="s">
        <v>10</v>
      </c>
      <c r="K50" t="s">
        <v>31</v>
      </c>
      <c r="L50">
        <v>69</v>
      </c>
      <c r="M50">
        <v>1.7</v>
      </c>
      <c r="N50">
        <v>0.65</v>
      </c>
      <c r="O50" t="s">
        <v>15</v>
      </c>
      <c r="P50">
        <v>75</v>
      </c>
      <c r="Q50">
        <v>173</v>
      </c>
      <c r="R50">
        <v>93</v>
      </c>
      <c r="S50">
        <v>60</v>
      </c>
      <c r="T50" t="s">
        <v>48</v>
      </c>
      <c r="U50">
        <f>IF(Cardiac_Table[[#This Row],[Patient Status at Discharge]]="Died", 1,0)</f>
        <v>0</v>
      </c>
      <c r="V50">
        <f>Cardiac_Table[[#This Row],[Risk of Death % (Model 1)]]/100</f>
        <v>1.7000000000000001E-2</v>
      </c>
      <c r="W50">
        <f>Cardiac_Table[[#This Row],[Risk of Death % (Model 2)]]/100</f>
        <v>6.5000000000000006E-3</v>
      </c>
      <c r="X50" s="18">
        <f>Cardiac_Table[[#This Row],[Procedure Start Date and Time]]-Cardiac_Table[[#This Row],[Hospital Admit Date ]]</f>
        <v>1.1548611111138598</v>
      </c>
    </row>
    <row r="51" spans="1:24" x14ac:dyDescent="0.35">
      <c r="A51">
        <v>51</v>
      </c>
      <c r="B51" s="9">
        <v>43844.291666666664</v>
      </c>
      <c r="C51" s="10">
        <f>INT(Cardiac_Table[[#This Row],[Hospital Admit Date ]])</f>
        <v>43844</v>
      </c>
      <c r="D51" s="11" t="str">
        <f t="shared" si="0"/>
        <v>07:00</v>
      </c>
      <c r="E51" s="9">
        <v>43844.32708333333</v>
      </c>
      <c r="F51" s="10">
        <f>INT(Cardiac_Table[[#This Row],[Procedure Start Date and Time]])</f>
        <v>43844</v>
      </c>
      <c r="G51" s="12">
        <f>MOD(Cardiac_Table[[#This Row],[Procedure Start Date and Time]],1)</f>
        <v>0.32708333332993789</v>
      </c>
      <c r="H51">
        <v>2</v>
      </c>
      <c r="I51" t="s">
        <v>4</v>
      </c>
      <c r="J51" t="s">
        <v>11</v>
      </c>
      <c r="K51" t="s">
        <v>28</v>
      </c>
      <c r="L51">
        <v>78</v>
      </c>
      <c r="M51">
        <v>7.01</v>
      </c>
      <c r="N51">
        <v>2.68</v>
      </c>
      <c r="O51" t="s">
        <v>15</v>
      </c>
      <c r="P51">
        <v>83</v>
      </c>
      <c r="Q51">
        <v>175</v>
      </c>
      <c r="R51">
        <v>81</v>
      </c>
      <c r="S51">
        <v>52</v>
      </c>
      <c r="T51" t="s">
        <v>48</v>
      </c>
      <c r="U51">
        <f>IF(Cardiac_Table[[#This Row],[Patient Status at Discharge]]="Died", 1,0)</f>
        <v>0</v>
      </c>
      <c r="V51">
        <f>Cardiac_Table[[#This Row],[Risk of Death % (Model 1)]]/100</f>
        <v>7.0099999999999996E-2</v>
      </c>
      <c r="W51">
        <f>Cardiac_Table[[#This Row],[Risk of Death % (Model 2)]]/100</f>
        <v>2.6800000000000001E-2</v>
      </c>
      <c r="X51" s="18">
        <f>Cardiac_Table[[#This Row],[Procedure Start Date and Time]]-Cardiac_Table[[#This Row],[Hospital Admit Date ]]</f>
        <v>3.5416666665696539E-2</v>
      </c>
    </row>
    <row r="52" spans="1:24" x14ac:dyDescent="0.35">
      <c r="A52">
        <v>52</v>
      </c>
      <c r="B52" s="9">
        <v>43843.584027777775</v>
      </c>
      <c r="C52" s="10">
        <f>INT(Cardiac_Table[[#This Row],[Hospital Admit Date ]])</f>
        <v>43843</v>
      </c>
      <c r="D52" s="11" t="str">
        <f t="shared" si="0"/>
        <v>14:01</v>
      </c>
      <c r="E52" s="9">
        <v>43844.329861111109</v>
      </c>
      <c r="F52" s="10">
        <f>INT(Cardiac_Table[[#This Row],[Procedure Start Date and Time]])</f>
        <v>43844</v>
      </c>
      <c r="G52" s="12">
        <f>MOD(Cardiac_Table[[#This Row],[Procedure Start Date and Time]],1)</f>
        <v>0.32986111110949423</v>
      </c>
      <c r="H52">
        <v>3</v>
      </c>
      <c r="I52" t="s">
        <v>4</v>
      </c>
      <c r="J52" t="s">
        <v>10</v>
      </c>
      <c r="K52" t="s">
        <v>29</v>
      </c>
      <c r="L52">
        <v>77</v>
      </c>
      <c r="M52">
        <v>2.87</v>
      </c>
      <c r="N52">
        <v>0.81</v>
      </c>
      <c r="O52" t="s">
        <v>15</v>
      </c>
      <c r="P52">
        <v>98</v>
      </c>
      <c r="Q52">
        <v>182</v>
      </c>
      <c r="R52">
        <v>97</v>
      </c>
      <c r="S52">
        <v>29</v>
      </c>
      <c r="T52" t="s">
        <v>49</v>
      </c>
      <c r="U52">
        <f>IF(Cardiac_Table[[#This Row],[Patient Status at Discharge]]="Died", 1,0)</f>
        <v>0</v>
      </c>
      <c r="V52">
        <f>Cardiac_Table[[#This Row],[Risk of Death % (Model 1)]]/100</f>
        <v>2.87E-2</v>
      </c>
      <c r="W52">
        <f>Cardiac_Table[[#This Row],[Risk of Death % (Model 2)]]/100</f>
        <v>8.1000000000000013E-3</v>
      </c>
      <c r="X52" s="18">
        <f>Cardiac_Table[[#This Row],[Procedure Start Date and Time]]-Cardiac_Table[[#This Row],[Hospital Admit Date ]]</f>
        <v>0.74583333333430346</v>
      </c>
    </row>
    <row r="53" spans="1:24" x14ac:dyDescent="0.35">
      <c r="A53">
        <v>53</v>
      </c>
      <c r="B53" s="9">
        <v>43843.561805555553</v>
      </c>
      <c r="C53" s="10">
        <f>INT(Cardiac_Table[[#This Row],[Hospital Admit Date ]])</f>
        <v>43843</v>
      </c>
      <c r="D53" s="11" t="str">
        <f t="shared" si="0"/>
        <v>13:29</v>
      </c>
      <c r="E53" s="9">
        <v>43844.333333333336</v>
      </c>
      <c r="F53" s="10">
        <f>INT(Cardiac_Table[[#This Row],[Procedure Start Date and Time]])</f>
        <v>43844</v>
      </c>
      <c r="G53" s="12">
        <f>MOD(Cardiac_Table[[#This Row],[Procedure Start Date and Time]],1)</f>
        <v>0.33333333333575865</v>
      </c>
      <c r="H53">
        <v>6</v>
      </c>
      <c r="I53" t="s">
        <v>4</v>
      </c>
      <c r="J53" t="s">
        <v>3</v>
      </c>
      <c r="K53" t="s">
        <v>20</v>
      </c>
      <c r="L53">
        <v>82</v>
      </c>
      <c r="M53">
        <v>6.61</v>
      </c>
      <c r="N53">
        <v>1.4</v>
      </c>
      <c r="O53" t="s">
        <v>15</v>
      </c>
      <c r="P53">
        <v>97</v>
      </c>
      <c r="Q53">
        <v>178</v>
      </c>
      <c r="R53">
        <v>88</v>
      </c>
      <c r="S53">
        <v>61</v>
      </c>
      <c r="T53" t="s">
        <v>48</v>
      </c>
      <c r="U53">
        <f>IF(Cardiac_Table[[#This Row],[Patient Status at Discharge]]="Died", 1,0)</f>
        <v>0</v>
      </c>
      <c r="V53">
        <f>Cardiac_Table[[#This Row],[Risk of Death % (Model 1)]]/100</f>
        <v>6.6100000000000006E-2</v>
      </c>
      <c r="W53">
        <f>Cardiac_Table[[#This Row],[Risk of Death % (Model 2)]]/100</f>
        <v>1.3999999999999999E-2</v>
      </c>
      <c r="X53" s="18">
        <f>Cardiac_Table[[#This Row],[Procedure Start Date and Time]]-Cardiac_Table[[#This Row],[Hospital Admit Date ]]</f>
        <v>0.77152777778246673</v>
      </c>
    </row>
    <row r="54" spans="1:24" x14ac:dyDescent="0.35">
      <c r="A54">
        <v>54</v>
      </c>
      <c r="B54" s="9">
        <v>43843.458333333336</v>
      </c>
      <c r="C54" s="10">
        <f>INT(Cardiac_Table[[#This Row],[Hospital Admit Date ]])</f>
        <v>43843</v>
      </c>
      <c r="D54" s="11" t="str">
        <f t="shared" si="0"/>
        <v>11:00</v>
      </c>
      <c r="E54" s="9">
        <v>43844.345833333333</v>
      </c>
      <c r="F54" s="10">
        <f>INT(Cardiac_Table[[#This Row],[Procedure Start Date and Time]])</f>
        <v>43844</v>
      </c>
      <c r="G54" s="12">
        <f>MOD(Cardiac_Table[[#This Row],[Procedure Start Date and Time]],1)</f>
        <v>0.34583333333284827</v>
      </c>
      <c r="H54">
        <v>5</v>
      </c>
      <c r="I54" t="s">
        <v>6</v>
      </c>
      <c r="J54" t="s">
        <v>10</v>
      </c>
      <c r="K54" t="s">
        <v>26</v>
      </c>
      <c r="L54">
        <v>61</v>
      </c>
      <c r="M54">
        <v>9.6</v>
      </c>
      <c r="N54">
        <v>4.91</v>
      </c>
      <c r="O54" t="s">
        <v>15</v>
      </c>
      <c r="P54">
        <v>75</v>
      </c>
      <c r="Q54">
        <v>171</v>
      </c>
      <c r="R54">
        <v>70</v>
      </c>
      <c r="S54">
        <v>45</v>
      </c>
      <c r="T54" t="s">
        <v>50</v>
      </c>
      <c r="U54">
        <f>IF(Cardiac_Table[[#This Row],[Patient Status at Discharge]]="Died", 1,0)</f>
        <v>0</v>
      </c>
      <c r="V54">
        <f>Cardiac_Table[[#This Row],[Risk of Death % (Model 1)]]/100</f>
        <v>9.6000000000000002E-2</v>
      </c>
      <c r="W54">
        <f>Cardiac_Table[[#This Row],[Risk of Death % (Model 2)]]/100</f>
        <v>4.9100000000000005E-2</v>
      </c>
      <c r="X54" s="18">
        <f>Cardiac_Table[[#This Row],[Procedure Start Date and Time]]-Cardiac_Table[[#This Row],[Hospital Admit Date ]]</f>
        <v>0.88749999999708962</v>
      </c>
    </row>
    <row r="55" spans="1:24" x14ac:dyDescent="0.35">
      <c r="A55">
        <v>55</v>
      </c>
      <c r="B55" s="9">
        <v>43844.790972222225</v>
      </c>
      <c r="C55" s="10">
        <f>INT(Cardiac_Table[[#This Row],[Hospital Admit Date ]])</f>
        <v>43844</v>
      </c>
      <c r="D55" s="11" t="str">
        <f t="shared" si="0"/>
        <v>18:59</v>
      </c>
      <c r="E55" s="9">
        <v>43844.798611111109</v>
      </c>
      <c r="F55" s="10">
        <f>INT(Cardiac_Table[[#This Row],[Procedure Start Date and Time]])</f>
        <v>43844</v>
      </c>
      <c r="G55" s="12">
        <f>MOD(Cardiac_Table[[#This Row],[Procedure Start Date and Time]],1)</f>
        <v>0.79861111110949423</v>
      </c>
      <c r="H55">
        <v>5</v>
      </c>
      <c r="I55" t="s">
        <v>2</v>
      </c>
      <c r="J55" t="s">
        <v>10</v>
      </c>
      <c r="K55" t="s">
        <v>30</v>
      </c>
      <c r="L55">
        <v>73</v>
      </c>
      <c r="M55">
        <v>29.14</v>
      </c>
      <c r="N55">
        <v>5.31</v>
      </c>
      <c r="O55" t="s">
        <v>15</v>
      </c>
      <c r="P55">
        <v>84</v>
      </c>
      <c r="Q55">
        <v>162</v>
      </c>
      <c r="R55">
        <v>64</v>
      </c>
      <c r="S55">
        <v>42</v>
      </c>
      <c r="T55" t="s">
        <v>50</v>
      </c>
      <c r="U55">
        <f>IF(Cardiac_Table[[#This Row],[Patient Status at Discharge]]="Died", 1,0)</f>
        <v>0</v>
      </c>
      <c r="V55">
        <f>Cardiac_Table[[#This Row],[Risk of Death % (Model 1)]]/100</f>
        <v>0.29139999999999999</v>
      </c>
      <c r="W55">
        <f>Cardiac_Table[[#This Row],[Risk of Death % (Model 2)]]/100</f>
        <v>5.3099999999999994E-2</v>
      </c>
      <c r="X55" s="18">
        <f>Cardiac_Table[[#This Row],[Procedure Start Date and Time]]-Cardiac_Table[[#This Row],[Hospital Admit Date ]]</f>
        <v>7.6388888846850023E-3</v>
      </c>
    </row>
    <row r="56" spans="1:24" x14ac:dyDescent="0.35">
      <c r="A56">
        <v>56</v>
      </c>
      <c r="B56" s="9">
        <v>43842.458333333336</v>
      </c>
      <c r="C56" s="10">
        <f>INT(Cardiac_Table[[#This Row],[Hospital Admit Date ]])</f>
        <v>43842</v>
      </c>
      <c r="D56" s="11" t="str">
        <f t="shared" si="0"/>
        <v>11:00</v>
      </c>
      <c r="E56" s="9">
        <v>43845.329861111109</v>
      </c>
      <c r="F56" s="10">
        <f>INT(Cardiac_Table[[#This Row],[Procedure Start Date and Time]])</f>
        <v>43845</v>
      </c>
      <c r="G56" s="12">
        <f>MOD(Cardiac_Table[[#This Row],[Procedure Start Date and Time]],1)</f>
        <v>0.32986111110949423</v>
      </c>
      <c r="H56">
        <v>3</v>
      </c>
      <c r="I56" t="s">
        <v>6</v>
      </c>
      <c r="J56" t="s">
        <v>10</v>
      </c>
      <c r="K56" t="s">
        <v>30</v>
      </c>
      <c r="L56">
        <v>71</v>
      </c>
      <c r="M56">
        <v>9.09</v>
      </c>
      <c r="N56">
        <v>3.75</v>
      </c>
      <c r="O56" t="s">
        <v>15</v>
      </c>
      <c r="P56">
        <v>92</v>
      </c>
      <c r="Q56">
        <v>164</v>
      </c>
      <c r="R56">
        <v>76</v>
      </c>
      <c r="S56">
        <v>55</v>
      </c>
      <c r="T56" t="s">
        <v>48</v>
      </c>
      <c r="U56">
        <f>IF(Cardiac_Table[[#This Row],[Patient Status at Discharge]]="Died", 1,0)</f>
        <v>0</v>
      </c>
      <c r="V56">
        <f>Cardiac_Table[[#This Row],[Risk of Death % (Model 1)]]/100</f>
        <v>9.0899999999999995E-2</v>
      </c>
      <c r="W56">
        <f>Cardiac_Table[[#This Row],[Risk of Death % (Model 2)]]/100</f>
        <v>3.7499999999999999E-2</v>
      </c>
      <c r="X56" s="18">
        <f>Cardiac_Table[[#This Row],[Procedure Start Date and Time]]-Cardiac_Table[[#This Row],[Hospital Admit Date ]]</f>
        <v>2.8715277777737356</v>
      </c>
    </row>
    <row r="57" spans="1:24" x14ac:dyDescent="0.35">
      <c r="A57">
        <v>57</v>
      </c>
      <c r="B57" s="9">
        <v>43844.455555555556</v>
      </c>
      <c r="C57" s="10">
        <f>INT(Cardiac_Table[[#This Row],[Hospital Admit Date ]])</f>
        <v>43844</v>
      </c>
      <c r="D57" s="11" t="str">
        <f t="shared" si="0"/>
        <v>10:56</v>
      </c>
      <c r="E57" s="9">
        <v>43845.334027777775</v>
      </c>
      <c r="F57" s="10">
        <f>INT(Cardiac_Table[[#This Row],[Procedure Start Date and Time]])</f>
        <v>43845</v>
      </c>
      <c r="G57" s="12">
        <f>MOD(Cardiac_Table[[#This Row],[Procedure Start Date and Time]],1)</f>
        <v>0.33402777777519077</v>
      </c>
      <c r="H57">
        <v>6</v>
      </c>
      <c r="I57" t="s">
        <v>4</v>
      </c>
      <c r="J57" t="s">
        <v>3</v>
      </c>
      <c r="K57" t="s">
        <v>23</v>
      </c>
      <c r="L57">
        <v>83</v>
      </c>
      <c r="M57">
        <v>9.52</v>
      </c>
      <c r="N57">
        <v>1.33</v>
      </c>
      <c r="O57" t="s">
        <v>15</v>
      </c>
      <c r="P57">
        <v>62</v>
      </c>
      <c r="Q57">
        <v>160</v>
      </c>
      <c r="R57">
        <v>79</v>
      </c>
      <c r="S57">
        <v>60</v>
      </c>
      <c r="T57" t="s">
        <v>48</v>
      </c>
      <c r="U57">
        <f>IF(Cardiac_Table[[#This Row],[Patient Status at Discharge]]="Died", 1,0)</f>
        <v>0</v>
      </c>
      <c r="V57">
        <f>Cardiac_Table[[#This Row],[Risk of Death % (Model 1)]]/100</f>
        <v>9.5199999999999993E-2</v>
      </c>
      <c r="W57">
        <f>Cardiac_Table[[#This Row],[Risk of Death % (Model 2)]]/100</f>
        <v>1.3300000000000001E-2</v>
      </c>
      <c r="X57" s="18">
        <f>Cardiac_Table[[#This Row],[Procedure Start Date and Time]]-Cardiac_Table[[#This Row],[Hospital Admit Date ]]</f>
        <v>0.87847222221898846</v>
      </c>
    </row>
    <row r="58" spans="1:24" x14ac:dyDescent="0.35">
      <c r="A58">
        <v>58</v>
      </c>
      <c r="B58" s="9">
        <v>43845.34375</v>
      </c>
      <c r="C58" s="10">
        <f>INT(Cardiac_Table[[#This Row],[Hospital Admit Date ]])</f>
        <v>43845</v>
      </c>
      <c r="D58" s="11" t="str">
        <f t="shared" si="0"/>
        <v>08:15</v>
      </c>
      <c r="E58" s="9">
        <v>43845.545138888891</v>
      </c>
      <c r="F58" s="10">
        <f>INT(Cardiac_Table[[#This Row],[Procedure Start Date and Time]])</f>
        <v>43845</v>
      </c>
      <c r="G58" s="12">
        <f>MOD(Cardiac_Table[[#This Row],[Procedure Start Date and Time]],1)</f>
        <v>0.54513888889050577</v>
      </c>
      <c r="H58">
        <v>3</v>
      </c>
      <c r="I58" t="s">
        <v>4</v>
      </c>
      <c r="J58" t="s">
        <v>10</v>
      </c>
      <c r="K58" t="s">
        <v>31</v>
      </c>
      <c r="L58">
        <v>74</v>
      </c>
      <c r="M58">
        <v>2.36</v>
      </c>
      <c r="N58">
        <v>0.83</v>
      </c>
      <c r="O58" t="s">
        <v>15</v>
      </c>
      <c r="P58">
        <v>152</v>
      </c>
      <c r="Q58">
        <v>148</v>
      </c>
      <c r="R58">
        <v>48</v>
      </c>
      <c r="S58">
        <v>35</v>
      </c>
      <c r="T58" t="s">
        <v>50</v>
      </c>
      <c r="U58">
        <f>IF(Cardiac_Table[[#This Row],[Patient Status at Discharge]]="Died", 1,0)</f>
        <v>0</v>
      </c>
      <c r="V58">
        <f>Cardiac_Table[[#This Row],[Risk of Death % (Model 1)]]/100</f>
        <v>2.3599999999999999E-2</v>
      </c>
      <c r="W58">
        <f>Cardiac_Table[[#This Row],[Risk of Death % (Model 2)]]/100</f>
        <v>8.3000000000000001E-3</v>
      </c>
      <c r="X58" s="18">
        <f>Cardiac_Table[[#This Row],[Procedure Start Date and Time]]-Cardiac_Table[[#This Row],[Hospital Admit Date ]]</f>
        <v>0.20138888889050577</v>
      </c>
    </row>
    <row r="59" spans="1:24" x14ac:dyDescent="0.35">
      <c r="A59">
        <v>59</v>
      </c>
      <c r="B59" s="9">
        <v>43845.334722222222</v>
      </c>
      <c r="C59" s="10">
        <f>INT(Cardiac_Table[[#This Row],[Hospital Admit Date ]])</f>
        <v>43845</v>
      </c>
      <c r="D59" s="11" t="str">
        <f t="shared" si="0"/>
        <v>08:02</v>
      </c>
      <c r="E59" s="9">
        <v>43845.569444444445</v>
      </c>
      <c r="F59" s="10">
        <f>INT(Cardiac_Table[[#This Row],[Procedure Start Date and Time]])</f>
        <v>43845</v>
      </c>
      <c r="G59" s="12">
        <f>MOD(Cardiac_Table[[#This Row],[Procedure Start Date and Time]],1)</f>
        <v>0.56944444444525288</v>
      </c>
      <c r="H59">
        <v>6</v>
      </c>
      <c r="I59" t="s">
        <v>4</v>
      </c>
      <c r="J59" t="s">
        <v>3</v>
      </c>
      <c r="K59" t="s">
        <v>23</v>
      </c>
      <c r="L59">
        <v>62</v>
      </c>
      <c r="M59">
        <v>2.76</v>
      </c>
      <c r="N59">
        <v>0.81</v>
      </c>
      <c r="O59" t="s">
        <v>15</v>
      </c>
      <c r="P59">
        <v>64</v>
      </c>
      <c r="Q59">
        <v>175</v>
      </c>
      <c r="R59">
        <v>98</v>
      </c>
      <c r="S59">
        <v>55</v>
      </c>
      <c r="T59" t="s">
        <v>48</v>
      </c>
      <c r="U59">
        <f>IF(Cardiac_Table[[#This Row],[Patient Status at Discharge]]="Died", 1,0)</f>
        <v>0</v>
      </c>
      <c r="V59">
        <f>Cardiac_Table[[#This Row],[Risk of Death % (Model 1)]]/100</f>
        <v>2.76E-2</v>
      </c>
      <c r="W59">
        <f>Cardiac_Table[[#This Row],[Risk of Death % (Model 2)]]/100</f>
        <v>8.1000000000000013E-3</v>
      </c>
      <c r="X59" s="18">
        <f>Cardiac_Table[[#This Row],[Procedure Start Date and Time]]-Cardiac_Table[[#This Row],[Hospital Admit Date ]]</f>
        <v>0.23472222222335404</v>
      </c>
    </row>
    <row r="60" spans="1:24" x14ac:dyDescent="0.35">
      <c r="A60">
        <v>60</v>
      </c>
      <c r="B60" s="9">
        <v>43844.668055555558</v>
      </c>
      <c r="C60" s="10">
        <f>INT(Cardiac_Table[[#This Row],[Hospital Admit Date ]])</f>
        <v>43844</v>
      </c>
      <c r="D60" s="11" t="str">
        <f t="shared" si="0"/>
        <v>16:02</v>
      </c>
      <c r="E60" s="9">
        <v>43845.600694444445</v>
      </c>
      <c r="F60" s="10">
        <f>INT(Cardiac_Table[[#This Row],[Procedure Start Date and Time]])</f>
        <v>43845</v>
      </c>
      <c r="G60" s="12">
        <f>MOD(Cardiac_Table[[#This Row],[Procedure Start Date and Time]],1)</f>
        <v>0.60069444444525288</v>
      </c>
      <c r="H60">
        <v>5</v>
      </c>
      <c r="I60" t="s">
        <v>2</v>
      </c>
      <c r="J60" t="s">
        <v>10</v>
      </c>
      <c r="K60" t="s">
        <v>30</v>
      </c>
      <c r="L60">
        <v>80</v>
      </c>
      <c r="M60">
        <v>16.170000000000002</v>
      </c>
      <c r="N60">
        <v>7.86</v>
      </c>
      <c r="O60" t="s">
        <v>15</v>
      </c>
      <c r="P60">
        <v>109</v>
      </c>
      <c r="Q60">
        <v>175</v>
      </c>
      <c r="R60">
        <v>101</v>
      </c>
      <c r="S60">
        <v>65</v>
      </c>
      <c r="T60" t="s">
        <v>48</v>
      </c>
      <c r="U60">
        <f>IF(Cardiac_Table[[#This Row],[Patient Status at Discharge]]="Died", 1,0)</f>
        <v>0</v>
      </c>
      <c r="V60">
        <f>Cardiac_Table[[#This Row],[Risk of Death % (Model 1)]]/100</f>
        <v>0.16170000000000001</v>
      </c>
      <c r="W60">
        <f>Cardiac_Table[[#This Row],[Risk of Death % (Model 2)]]/100</f>
        <v>7.8600000000000003E-2</v>
      </c>
      <c r="X60" s="18">
        <f>Cardiac_Table[[#This Row],[Procedure Start Date and Time]]-Cardiac_Table[[#This Row],[Hospital Admit Date ]]</f>
        <v>0.93263888888759539</v>
      </c>
    </row>
    <row r="61" spans="1:24" x14ac:dyDescent="0.35">
      <c r="A61">
        <v>61</v>
      </c>
      <c r="B61" s="9">
        <v>43845.458333333336</v>
      </c>
      <c r="C61" s="10">
        <f>INT(Cardiac_Table[[#This Row],[Hospital Admit Date ]])</f>
        <v>43845</v>
      </c>
      <c r="D61" s="11" t="str">
        <f t="shared" si="0"/>
        <v>11:00</v>
      </c>
      <c r="E61" s="9">
        <v>43846.338194444441</v>
      </c>
      <c r="F61" s="10">
        <f>INT(Cardiac_Table[[#This Row],[Procedure Start Date and Time]])</f>
        <v>43846</v>
      </c>
      <c r="G61" s="12">
        <f>MOD(Cardiac_Table[[#This Row],[Procedure Start Date and Time]],1)</f>
        <v>0.33819444444088731</v>
      </c>
      <c r="H61">
        <v>2</v>
      </c>
      <c r="I61" t="s">
        <v>6</v>
      </c>
      <c r="J61" t="s">
        <v>11</v>
      </c>
      <c r="K61" t="s">
        <v>21</v>
      </c>
      <c r="L61">
        <v>77</v>
      </c>
      <c r="M61">
        <v>10.86</v>
      </c>
      <c r="N61">
        <v>4.08</v>
      </c>
      <c r="O61" t="s">
        <v>15</v>
      </c>
      <c r="P61">
        <v>63</v>
      </c>
      <c r="Q61">
        <v>173</v>
      </c>
      <c r="R61">
        <v>72</v>
      </c>
      <c r="S61">
        <v>40</v>
      </c>
      <c r="T61" t="s">
        <v>50</v>
      </c>
      <c r="U61">
        <f>IF(Cardiac_Table[[#This Row],[Patient Status at Discharge]]="Died", 1,0)</f>
        <v>0</v>
      </c>
      <c r="V61">
        <f>Cardiac_Table[[#This Row],[Risk of Death % (Model 1)]]/100</f>
        <v>0.10859999999999999</v>
      </c>
      <c r="W61">
        <f>Cardiac_Table[[#This Row],[Risk of Death % (Model 2)]]/100</f>
        <v>4.0800000000000003E-2</v>
      </c>
      <c r="X61" s="18">
        <f>Cardiac_Table[[#This Row],[Procedure Start Date and Time]]-Cardiac_Table[[#This Row],[Hospital Admit Date ]]</f>
        <v>0.87986111110512866</v>
      </c>
    </row>
    <row r="62" spans="1:24" x14ac:dyDescent="0.35">
      <c r="A62">
        <v>62</v>
      </c>
      <c r="B62" s="9">
        <v>43845.791666666664</v>
      </c>
      <c r="C62" s="10">
        <f>INT(Cardiac_Table[[#This Row],[Hospital Admit Date ]])</f>
        <v>43845</v>
      </c>
      <c r="D62" s="11" t="str">
        <f t="shared" si="0"/>
        <v>19:00</v>
      </c>
      <c r="E62" s="9">
        <v>43846.341666666667</v>
      </c>
      <c r="F62" s="10">
        <f>INT(Cardiac_Table[[#This Row],[Procedure Start Date and Time]])</f>
        <v>43846</v>
      </c>
      <c r="G62" s="12">
        <f>MOD(Cardiac_Table[[#This Row],[Procedure Start Date and Time]],1)</f>
        <v>0.34166666666715173</v>
      </c>
      <c r="H62">
        <v>1</v>
      </c>
      <c r="I62" t="s">
        <v>4</v>
      </c>
      <c r="J62" t="s">
        <v>1</v>
      </c>
      <c r="K62" t="s">
        <v>33</v>
      </c>
      <c r="L62">
        <v>61</v>
      </c>
      <c r="M62">
        <v>13.18</v>
      </c>
      <c r="N62">
        <v>6.66</v>
      </c>
      <c r="O62" t="s">
        <v>15</v>
      </c>
      <c r="P62">
        <v>133</v>
      </c>
      <c r="Q62">
        <v>174</v>
      </c>
      <c r="R62">
        <v>75</v>
      </c>
      <c r="S62">
        <v>55</v>
      </c>
      <c r="T62" t="s">
        <v>48</v>
      </c>
      <c r="U62">
        <f>IF(Cardiac_Table[[#This Row],[Patient Status at Discharge]]="Died", 1,0)</f>
        <v>0</v>
      </c>
      <c r="V62">
        <f>Cardiac_Table[[#This Row],[Risk of Death % (Model 1)]]/100</f>
        <v>0.1318</v>
      </c>
      <c r="W62">
        <f>Cardiac_Table[[#This Row],[Risk of Death % (Model 2)]]/100</f>
        <v>6.6600000000000006E-2</v>
      </c>
      <c r="X62" s="18">
        <f>Cardiac_Table[[#This Row],[Procedure Start Date and Time]]-Cardiac_Table[[#This Row],[Hospital Admit Date ]]</f>
        <v>0.55000000000291038</v>
      </c>
    </row>
    <row r="63" spans="1:24" x14ac:dyDescent="0.35">
      <c r="A63">
        <v>63</v>
      </c>
      <c r="B63" s="9">
        <v>43845.576388888891</v>
      </c>
      <c r="C63" s="10">
        <f>INT(Cardiac_Table[[#This Row],[Hospital Admit Date ]])</f>
        <v>43845</v>
      </c>
      <c r="D63" s="11" t="str">
        <f t="shared" si="0"/>
        <v>13:50</v>
      </c>
      <c r="E63" s="9">
        <v>43846.345138888886</v>
      </c>
      <c r="F63" s="10">
        <f>INT(Cardiac_Table[[#This Row],[Procedure Start Date and Time]])</f>
        <v>43846</v>
      </c>
      <c r="G63" s="12">
        <f>MOD(Cardiac_Table[[#This Row],[Procedure Start Date and Time]],1)</f>
        <v>0.34513888888614019</v>
      </c>
      <c r="H63">
        <v>6</v>
      </c>
      <c r="I63" t="s">
        <v>4</v>
      </c>
      <c r="J63" t="s">
        <v>3</v>
      </c>
      <c r="K63" t="s">
        <v>22</v>
      </c>
      <c r="L63">
        <v>58</v>
      </c>
      <c r="M63">
        <v>2.08</v>
      </c>
      <c r="N63">
        <v>0.69</v>
      </c>
      <c r="O63" t="s">
        <v>15</v>
      </c>
      <c r="P63">
        <v>109</v>
      </c>
      <c r="Q63">
        <v>166</v>
      </c>
      <c r="R63">
        <v>97</v>
      </c>
      <c r="S63">
        <v>60</v>
      </c>
      <c r="T63" t="s">
        <v>48</v>
      </c>
      <c r="U63">
        <f>IF(Cardiac_Table[[#This Row],[Patient Status at Discharge]]="Died", 1,0)</f>
        <v>0</v>
      </c>
      <c r="V63">
        <f>Cardiac_Table[[#This Row],[Risk of Death % (Model 1)]]/100</f>
        <v>2.0799999999999999E-2</v>
      </c>
      <c r="W63">
        <f>Cardiac_Table[[#This Row],[Risk of Death % (Model 2)]]/100</f>
        <v>6.8999999999999999E-3</v>
      </c>
      <c r="X63" s="18">
        <f>Cardiac_Table[[#This Row],[Procedure Start Date and Time]]-Cardiac_Table[[#This Row],[Hospital Admit Date ]]</f>
        <v>0.76874999999563443</v>
      </c>
    </row>
    <row r="64" spans="1:24" x14ac:dyDescent="0.35">
      <c r="A64">
        <v>64</v>
      </c>
      <c r="B64" s="9">
        <v>43845.445138888892</v>
      </c>
      <c r="C64" s="10">
        <f>INT(Cardiac_Table[[#This Row],[Hospital Admit Date ]])</f>
        <v>43845</v>
      </c>
      <c r="D64" s="11" t="str">
        <f t="shared" si="0"/>
        <v>10:41</v>
      </c>
      <c r="E64" s="9">
        <v>43846.345833333333</v>
      </c>
      <c r="F64" s="10">
        <f>INT(Cardiac_Table[[#This Row],[Procedure Start Date and Time]])</f>
        <v>43846</v>
      </c>
      <c r="G64" s="12">
        <f>MOD(Cardiac_Table[[#This Row],[Procedure Start Date and Time]],1)</f>
        <v>0.34583333333284827</v>
      </c>
      <c r="H64">
        <v>5</v>
      </c>
      <c r="I64" t="s">
        <v>4</v>
      </c>
      <c r="J64" t="s">
        <v>11</v>
      </c>
      <c r="K64" t="s">
        <v>32</v>
      </c>
      <c r="L64">
        <v>79</v>
      </c>
      <c r="M64">
        <v>14.08</v>
      </c>
      <c r="N64">
        <v>3.23</v>
      </c>
      <c r="O64" t="s">
        <v>15</v>
      </c>
      <c r="P64">
        <v>137</v>
      </c>
      <c r="Q64">
        <v>171</v>
      </c>
      <c r="R64">
        <v>128</v>
      </c>
      <c r="S64">
        <v>55</v>
      </c>
      <c r="T64" t="s">
        <v>48</v>
      </c>
      <c r="U64">
        <f>IF(Cardiac_Table[[#This Row],[Patient Status at Discharge]]="Died", 1,0)</f>
        <v>0</v>
      </c>
      <c r="V64">
        <f>Cardiac_Table[[#This Row],[Risk of Death % (Model 1)]]/100</f>
        <v>0.14080000000000001</v>
      </c>
      <c r="W64">
        <f>Cardiac_Table[[#This Row],[Risk of Death % (Model 2)]]/100</f>
        <v>3.2300000000000002E-2</v>
      </c>
      <c r="X64" s="18">
        <f>Cardiac_Table[[#This Row],[Procedure Start Date and Time]]-Cardiac_Table[[#This Row],[Hospital Admit Date ]]</f>
        <v>0.90069444444088731</v>
      </c>
    </row>
    <row r="65" spans="1:24" x14ac:dyDescent="0.35">
      <c r="A65">
        <v>65</v>
      </c>
      <c r="B65" s="9">
        <v>43844.336805555555</v>
      </c>
      <c r="C65" s="10">
        <f>INT(Cardiac_Table[[#This Row],[Hospital Admit Date ]])</f>
        <v>43844</v>
      </c>
      <c r="D65" s="11" t="str">
        <f t="shared" si="0"/>
        <v>08:05</v>
      </c>
      <c r="E65" s="9">
        <v>43846.359722222223</v>
      </c>
      <c r="F65" s="10">
        <f>INT(Cardiac_Table[[#This Row],[Procedure Start Date and Time]])</f>
        <v>43846</v>
      </c>
      <c r="G65" s="12">
        <f>MOD(Cardiac_Table[[#This Row],[Procedure Start Date and Time]],1)</f>
        <v>0.35972222222335404</v>
      </c>
      <c r="H65">
        <v>3</v>
      </c>
      <c r="I65" t="s">
        <v>2</v>
      </c>
      <c r="J65" t="s">
        <v>10</v>
      </c>
      <c r="K65" t="s">
        <v>23</v>
      </c>
      <c r="L65">
        <v>76</v>
      </c>
      <c r="M65">
        <v>70.94</v>
      </c>
      <c r="N65">
        <v>30.17</v>
      </c>
      <c r="O65" t="s">
        <v>15</v>
      </c>
      <c r="P65">
        <v>93</v>
      </c>
      <c r="Q65">
        <v>168</v>
      </c>
      <c r="R65">
        <v>77</v>
      </c>
      <c r="S65">
        <v>60</v>
      </c>
      <c r="T65" t="s">
        <v>48</v>
      </c>
      <c r="U65">
        <f>IF(Cardiac_Table[[#This Row],[Patient Status at Discharge]]="Died", 1,0)</f>
        <v>0</v>
      </c>
      <c r="V65">
        <f>Cardiac_Table[[#This Row],[Risk of Death % (Model 1)]]/100</f>
        <v>0.70940000000000003</v>
      </c>
      <c r="W65">
        <f>Cardiac_Table[[#This Row],[Risk of Death % (Model 2)]]/100</f>
        <v>0.30170000000000002</v>
      </c>
      <c r="X65" s="18">
        <f>Cardiac_Table[[#This Row],[Procedure Start Date and Time]]-Cardiac_Table[[#This Row],[Hospital Admit Date ]]</f>
        <v>2.0229166666686069</v>
      </c>
    </row>
    <row r="66" spans="1:24" x14ac:dyDescent="0.35">
      <c r="A66">
        <v>66</v>
      </c>
      <c r="B66" s="9">
        <v>43845.458333333336</v>
      </c>
      <c r="C66" s="10">
        <f>INT(Cardiac_Table[[#This Row],[Hospital Admit Date ]])</f>
        <v>43845</v>
      </c>
      <c r="D66" s="11" t="str">
        <f t="shared" ref="D66:D129" si="1">TEXT(B66,"HH:MM")</f>
        <v>11:00</v>
      </c>
      <c r="E66" s="9">
        <v>43846.49722222222</v>
      </c>
      <c r="F66" s="10">
        <f>INT(Cardiac_Table[[#This Row],[Procedure Start Date and Time]])</f>
        <v>43846</v>
      </c>
      <c r="G66" s="12">
        <f>MOD(Cardiac_Table[[#This Row],[Procedure Start Date and Time]],1)</f>
        <v>0.49722222222044365</v>
      </c>
      <c r="H66">
        <v>6</v>
      </c>
      <c r="I66" t="s">
        <v>6</v>
      </c>
      <c r="J66" t="s">
        <v>10</v>
      </c>
      <c r="K66" t="s">
        <v>22</v>
      </c>
      <c r="L66">
        <v>78</v>
      </c>
      <c r="M66">
        <v>3.06</v>
      </c>
      <c r="N66">
        <v>1.1399999999999999</v>
      </c>
      <c r="O66" t="s">
        <v>15</v>
      </c>
      <c r="P66">
        <v>91</v>
      </c>
      <c r="Q66">
        <v>166</v>
      </c>
      <c r="R66">
        <v>84</v>
      </c>
      <c r="S66">
        <v>61</v>
      </c>
      <c r="T66" t="s">
        <v>48</v>
      </c>
      <c r="U66">
        <f>IF(Cardiac_Table[[#This Row],[Patient Status at Discharge]]="Died", 1,0)</f>
        <v>0</v>
      </c>
      <c r="V66">
        <f>Cardiac_Table[[#This Row],[Risk of Death % (Model 1)]]/100</f>
        <v>3.0600000000000002E-2</v>
      </c>
      <c r="W66">
        <f>Cardiac_Table[[#This Row],[Risk of Death % (Model 2)]]/100</f>
        <v>1.1399999999999999E-2</v>
      </c>
      <c r="X66" s="18">
        <f>Cardiac_Table[[#This Row],[Procedure Start Date and Time]]-Cardiac_Table[[#This Row],[Hospital Admit Date ]]</f>
        <v>1.038888888884685</v>
      </c>
    </row>
    <row r="67" spans="1:24" x14ac:dyDescent="0.35">
      <c r="A67">
        <v>67</v>
      </c>
      <c r="B67" s="9">
        <v>43845.61041666667</v>
      </c>
      <c r="C67" s="10">
        <f>INT(Cardiac_Table[[#This Row],[Hospital Admit Date ]])</f>
        <v>43845</v>
      </c>
      <c r="D67" s="11" t="str">
        <f t="shared" si="1"/>
        <v>14:39</v>
      </c>
      <c r="E67" s="9">
        <v>43846.530555555553</v>
      </c>
      <c r="F67" s="10">
        <f>INT(Cardiac_Table[[#This Row],[Procedure Start Date and Time]])</f>
        <v>43846</v>
      </c>
      <c r="G67" s="12">
        <f>MOD(Cardiac_Table[[#This Row],[Procedure Start Date and Time]],1)</f>
        <v>0.53055555555329192</v>
      </c>
      <c r="H67">
        <v>3</v>
      </c>
      <c r="I67" t="s">
        <v>4</v>
      </c>
      <c r="J67" t="s">
        <v>3</v>
      </c>
      <c r="K67" t="s">
        <v>23</v>
      </c>
      <c r="L67">
        <v>66</v>
      </c>
      <c r="M67">
        <v>3.57</v>
      </c>
      <c r="N67">
        <v>0.9</v>
      </c>
      <c r="O67" t="s">
        <v>15</v>
      </c>
      <c r="P67">
        <v>98</v>
      </c>
      <c r="Q67">
        <v>185</v>
      </c>
      <c r="R67">
        <v>106</v>
      </c>
      <c r="S67">
        <v>40</v>
      </c>
      <c r="T67" t="s">
        <v>50</v>
      </c>
      <c r="U67">
        <f>IF(Cardiac_Table[[#This Row],[Patient Status at Discharge]]="Died", 1,0)</f>
        <v>0</v>
      </c>
      <c r="V67">
        <f>Cardiac_Table[[#This Row],[Risk of Death % (Model 1)]]/100</f>
        <v>3.5699999999999996E-2</v>
      </c>
      <c r="W67">
        <f>Cardiac_Table[[#This Row],[Risk of Death % (Model 2)]]/100</f>
        <v>9.0000000000000011E-3</v>
      </c>
      <c r="X67" s="18">
        <f>Cardiac_Table[[#This Row],[Procedure Start Date and Time]]-Cardiac_Table[[#This Row],[Hospital Admit Date ]]</f>
        <v>0.92013888888322981</v>
      </c>
    </row>
    <row r="68" spans="1:24" x14ac:dyDescent="0.35">
      <c r="A68">
        <v>68</v>
      </c>
      <c r="B68" s="9">
        <v>43845.272222222222</v>
      </c>
      <c r="C68" s="10">
        <f>INT(Cardiac_Table[[#This Row],[Hospital Admit Date ]])</f>
        <v>43845</v>
      </c>
      <c r="D68" s="11" t="str">
        <f t="shared" si="1"/>
        <v>06:32</v>
      </c>
      <c r="E68" s="9">
        <v>43846.565972222219</v>
      </c>
      <c r="F68" s="10">
        <f>INT(Cardiac_Table[[#This Row],[Procedure Start Date and Time]])</f>
        <v>43846</v>
      </c>
      <c r="G68" s="12">
        <f>MOD(Cardiac_Table[[#This Row],[Procedure Start Date and Time]],1)</f>
        <v>0.56597222221898846</v>
      </c>
      <c r="H68">
        <v>2</v>
      </c>
      <c r="I68" t="s">
        <v>6</v>
      </c>
      <c r="J68" t="s">
        <v>10</v>
      </c>
      <c r="K68" t="s">
        <v>21</v>
      </c>
      <c r="L68">
        <v>64</v>
      </c>
      <c r="M68">
        <v>1.23</v>
      </c>
      <c r="N68">
        <v>0.86</v>
      </c>
      <c r="O68" t="s">
        <v>15</v>
      </c>
      <c r="P68">
        <v>75</v>
      </c>
      <c r="Q68">
        <v>168</v>
      </c>
      <c r="R68">
        <v>75</v>
      </c>
      <c r="S68">
        <v>50</v>
      </c>
      <c r="T68" t="s">
        <v>50</v>
      </c>
      <c r="U68">
        <f>IF(Cardiac_Table[[#This Row],[Patient Status at Discharge]]="Died", 1,0)</f>
        <v>0</v>
      </c>
      <c r="V68">
        <f>Cardiac_Table[[#This Row],[Risk of Death % (Model 1)]]/100</f>
        <v>1.23E-2</v>
      </c>
      <c r="W68">
        <f>Cardiac_Table[[#This Row],[Risk of Death % (Model 2)]]/100</f>
        <v>8.6E-3</v>
      </c>
      <c r="X68" s="18">
        <f>Cardiac_Table[[#This Row],[Procedure Start Date and Time]]-Cardiac_Table[[#This Row],[Hospital Admit Date ]]</f>
        <v>1.2937499999970896</v>
      </c>
    </row>
    <row r="69" spans="1:24" x14ac:dyDescent="0.35">
      <c r="A69">
        <v>69</v>
      </c>
      <c r="B69" s="9">
        <v>43844.445833333331</v>
      </c>
      <c r="C69" s="10">
        <f>INT(Cardiac_Table[[#This Row],[Hospital Admit Date ]])</f>
        <v>43844</v>
      </c>
      <c r="D69" s="11" t="str">
        <f t="shared" si="1"/>
        <v>10:42</v>
      </c>
      <c r="E69" s="9">
        <v>43847.332638888889</v>
      </c>
      <c r="F69" s="10">
        <f>INT(Cardiac_Table[[#This Row],[Procedure Start Date and Time]])</f>
        <v>43847</v>
      </c>
      <c r="G69" s="12">
        <f>MOD(Cardiac_Table[[#This Row],[Procedure Start Date and Time]],1)</f>
        <v>0.33263888888905058</v>
      </c>
      <c r="H69">
        <v>3</v>
      </c>
      <c r="I69" t="s">
        <v>6</v>
      </c>
      <c r="J69" t="s">
        <v>3</v>
      </c>
      <c r="K69" t="s">
        <v>35</v>
      </c>
      <c r="L69">
        <v>78</v>
      </c>
      <c r="M69">
        <v>5.14</v>
      </c>
      <c r="N69">
        <v>1.1399999999999999</v>
      </c>
      <c r="O69" t="s">
        <v>15</v>
      </c>
      <c r="P69">
        <v>71</v>
      </c>
      <c r="Q69">
        <v>166</v>
      </c>
      <c r="R69">
        <v>81</v>
      </c>
      <c r="S69">
        <v>55</v>
      </c>
      <c r="T69" t="s">
        <v>48</v>
      </c>
      <c r="U69">
        <f>IF(Cardiac_Table[[#This Row],[Patient Status at Discharge]]="Died", 1,0)</f>
        <v>0</v>
      </c>
      <c r="V69">
        <f>Cardiac_Table[[#This Row],[Risk of Death % (Model 1)]]/100</f>
        <v>5.1399999999999994E-2</v>
      </c>
      <c r="W69">
        <f>Cardiac_Table[[#This Row],[Risk of Death % (Model 2)]]/100</f>
        <v>1.1399999999999999E-2</v>
      </c>
      <c r="X69" s="18">
        <f>Cardiac_Table[[#This Row],[Procedure Start Date and Time]]-Cardiac_Table[[#This Row],[Hospital Admit Date ]]</f>
        <v>2.8868055555576575</v>
      </c>
    </row>
    <row r="70" spans="1:24" x14ac:dyDescent="0.35">
      <c r="A70">
        <v>70</v>
      </c>
      <c r="B70" s="9">
        <v>43846.458333333336</v>
      </c>
      <c r="C70" s="10">
        <f>INT(Cardiac_Table[[#This Row],[Hospital Admit Date ]])</f>
        <v>43846</v>
      </c>
      <c r="D70" s="11" t="str">
        <f t="shared" si="1"/>
        <v>11:00</v>
      </c>
      <c r="E70" s="9">
        <v>43847.338194444441</v>
      </c>
      <c r="F70" s="10">
        <f>INT(Cardiac_Table[[#This Row],[Procedure Start Date and Time]])</f>
        <v>43847</v>
      </c>
      <c r="G70" s="12">
        <f>MOD(Cardiac_Table[[#This Row],[Procedure Start Date and Time]],1)</f>
        <v>0.33819444444088731</v>
      </c>
      <c r="H70">
        <v>5</v>
      </c>
      <c r="I70" t="s">
        <v>6</v>
      </c>
      <c r="J70" t="s">
        <v>10</v>
      </c>
      <c r="K70" t="s">
        <v>33</v>
      </c>
      <c r="L70">
        <v>57</v>
      </c>
      <c r="M70">
        <v>0.88</v>
      </c>
      <c r="N70">
        <v>0.77</v>
      </c>
      <c r="O70" t="s">
        <v>15</v>
      </c>
      <c r="P70">
        <v>68</v>
      </c>
      <c r="Q70">
        <v>179</v>
      </c>
      <c r="R70">
        <v>79</v>
      </c>
      <c r="S70">
        <v>63</v>
      </c>
      <c r="T70" t="s">
        <v>48</v>
      </c>
      <c r="U70">
        <f>IF(Cardiac_Table[[#This Row],[Patient Status at Discharge]]="Died", 1,0)</f>
        <v>0</v>
      </c>
      <c r="V70">
        <f>Cardiac_Table[[#This Row],[Risk of Death % (Model 1)]]/100</f>
        <v>8.8000000000000005E-3</v>
      </c>
      <c r="W70">
        <f>Cardiac_Table[[#This Row],[Risk of Death % (Model 2)]]/100</f>
        <v>7.7000000000000002E-3</v>
      </c>
      <c r="X70" s="18">
        <f>Cardiac_Table[[#This Row],[Procedure Start Date and Time]]-Cardiac_Table[[#This Row],[Hospital Admit Date ]]</f>
        <v>0.87986111110512866</v>
      </c>
    </row>
    <row r="71" spans="1:24" x14ac:dyDescent="0.35">
      <c r="A71">
        <v>71</v>
      </c>
      <c r="B71" s="9">
        <v>43843.448611111111</v>
      </c>
      <c r="C71" s="10">
        <f>INT(Cardiac_Table[[#This Row],[Hospital Admit Date ]])</f>
        <v>43843</v>
      </c>
      <c r="D71" s="11" t="str">
        <f t="shared" si="1"/>
        <v>10:46</v>
      </c>
      <c r="E71" s="9">
        <v>43847.345138888886</v>
      </c>
      <c r="F71" s="10">
        <f>INT(Cardiac_Table[[#This Row],[Procedure Start Date and Time]])</f>
        <v>43847</v>
      </c>
      <c r="G71" s="12">
        <f>MOD(Cardiac_Table[[#This Row],[Procedure Start Date and Time]],1)</f>
        <v>0.34513888888614019</v>
      </c>
      <c r="H71">
        <v>2</v>
      </c>
      <c r="I71" t="s">
        <v>6</v>
      </c>
      <c r="J71" t="s">
        <v>11</v>
      </c>
      <c r="K71" t="s">
        <v>21</v>
      </c>
      <c r="L71">
        <v>81</v>
      </c>
      <c r="M71">
        <v>6.21</v>
      </c>
      <c r="N71">
        <v>3.81</v>
      </c>
      <c r="O71" t="s">
        <v>15</v>
      </c>
      <c r="P71">
        <v>63</v>
      </c>
      <c r="Q71">
        <v>173</v>
      </c>
      <c r="R71">
        <v>68</v>
      </c>
      <c r="S71">
        <v>65</v>
      </c>
      <c r="T71" t="s">
        <v>48</v>
      </c>
      <c r="U71">
        <f>IF(Cardiac_Table[[#This Row],[Patient Status at Discharge]]="Died", 1,0)</f>
        <v>0</v>
      </c>
      <c r="V71">
        <f>Cardiac_Table[[#This Row],[Risk of Death % (Model 1)]]/100</f>
        <v>6.2100000000000002E-2</v>
      </c>
      <c r="W71">
        <f>Cardiac_Table[[#This Row],[Risk of Death % (Model 2)]]/100</f>
        <v>3.8100000000000002E-2</v>
      </c>
      <c r="X71" s="18">
        <f>Cardiac_Table[[#This Row],[Procedure Start Date and Time]]-Cardiac_Table[[#This Row],[Hospital Admit Date ]]</f>
        <v>3.8965277777751908</v>
      </c>
    </row>
    <row r="72" spans="1:24" x14ac:dyDescent="0.35">
      <c r="A72">
        <v>72</v>
      </c>
      <c r="B72" s="9">
        <v>43846.574999999997</v>
      </c>
      <c r="C72" s="10">
        <f>INT(Cardiac_Table[[#This Row],[Hospital Admit Date ]])</f>
        <v>43846</v>
      </c>
      <c r="D72" s="11" t="str">
        <f t="shared" si="1"/>
        <v>13:48</v>
      </c>
      <c r="E72" s="9">
        <v>43847.489583333336</v>
      </c>
      <c r="F72" s="10">
        <f>INT(Cardiac_Table[[#This Row],[Procedure Start Date and Time]])</f>
        <v>43847</v>
      </c>
      <c r="G72" s="12">
        <f>MOD(Cardiac_Table[[#This Row],[Procedure Start Date and Time]],1)</f>
        <v>0.48958333333575865</v>
      </c>
      <c r="H72">
        <v>6</v>
      </c>
      <c r="I72" t="s">
        <v>4</v>
      </c>
      <c r="J72" t="s">
        <v>3</v>
      </c>
      <c r="K72" t="s">
        <v>31</v>
      </c>
      <c r="L72">
        <v>75</v>
      </c>
      <c r="M72">
        <v>11.47</v>
      </c>
      <c r="N72">
        <v>6.82</v>
      </c>
      <c r="O72" t="s">
        <v>15</v>
      </c>
      <c r="P72">
        <v>61</v>
      </c>
      <c r="Q72">
        <v>159</v>
      </c>
      <c r="R72">
        <v>71</v>
      </c>
      <c r="S72">
        <v>55</v>
      </c>
      <c r="T72" t="s">
        <v>48</v>
      </c>
      <c r="U72">
        <f>IF(Cardiac_Table[[#This Row],[Patient Status at Discharge]]="Died", 1,0)</f>
        <v>0</v>
      </c>
      <c r="V72">
        <f>Cardiac_Table[[#This Row],[Risk of Death % (Model 1)]]/100</f>
        <v>0.11470000000000001</v>
      </c>
      <c r="W72">
        <f>Cardiac_Table[[#This Row],[Risk of Death % (Model 2)]]/100</f>
        <v>6.8199999999999997E-2</v>
      </c>
      <c r="X72" s="18">
        <f>Cardiac_Table[[#This Row],[Procedure Start Date and Time]]-Cardiac_Table[[#This Row],[Hospital Admit Date ]]</f>
        <v>0.91458333333866904</v>
      </c>
    </row>
    <row r="73" spans="1:24" x14ac:dyDescent="0.35">
      <c r="A73">
        <v>73</v>
      </c>
      <c r="B73" s="9">
        <v>43846.564583333333</v>
      </c>
      <c r="C73" s="10">
        <f>INT(Cardiac_Table[[#This Row],[Hospital Admit Date ]])</f>
        <v>43846</v>
      </c>
      <c r="D73" s="11" t="str">
        <f t="shared" si="1"/>
        <v>13:33</v>
      </c>
      <c r="E73" s="9">
        <v>43847.556250000001</v>
      </c>
      <c r="F73" s="10">
        <f>INT(Cardiac_Table[[#This Row],[Procedure Start Date and Time]])</f>
        <v>43847</v>
      </c>
      <c r="G73" s="12">
        <f>MOD(Cardiac_Table[[#This Row],[Procedure Start Date and Time]],1)</f>
        <v>0.55625000000145519</v>
      </c>
      <c r="H73">
        <v>5</v>
      </c>
      <c r="I73" t="s">
        <v>4</v>
      </c>
      <c r="J73" t="s">
        <v>1</v>
      </c>
      <c r="K73" t="s">
        <v>33</v>
      </c>
      <c r="L73">
        <v>29</v>
      </c>
      <c r="M73">
        <v>4.6500000000000004</v>
      </c>
      <c r="N73">
        <v>1.83</v>
      </c>
      <c r="O73" t="s">
        <v>15</v>
      </c>
      <c r="P73">
        <v>95</v>
      </c>
      <c r="Q73">
        <v>166</v>
      </c>
      <c r="R73">
        <v>84</v>
      </c>
      <c r="S73">
        <v>45</v>
      </c>
      <c r="T73" t="s">
        <v>50</v>
      </c>
      <c r="U73">
        <f>IF(Cardiac_Table[[#This Row],[Patient Status at Discharge]]="Died", 1,0)</f>
        <v>0</v>
      </c>
      <c r="V73">
        <f>Cardiac_Table[[#This Row],[Risk of Death % (Model 1)]]/100</f>
        <v>4.6500000000000007E-2</v>
      </c>
      <c r="W73">
        <f>Cardiac_Table[[#This Row],[Risk of Death % (Model 2)]]/100</f>
        <v>1.83E-2</v>
      </c>
      <c r="X73" s="18">
        <f>Cardiac_Table[[#This Row],[Procedure Start Date and Time]]-Cardiac_Table[[#This Row],[Hospital Admit Date ]]</f>
        <v>0.99166666666860692</v>
      </c>
    </row>
    <row r="74" spans="1:24" x14ac:dyDescent="0.35">
      <c r="A74">
        <v>74</v>
      </c>
      <c r="B74" s="9">
        <v>43846.580555555556</v>
      </c>
      <c r="C74" s="10">
        <f>INT(Cardiac_Table[[#This Row],[Hospital Admit Date ]])</f>
        <v>43846</v>
      </c>
      <c r="D74" s="11" t="str">
        <f t="shared" si="1"/>
        <v>13:56</v>
      </c>
      <c r="E74" s="9">
        <v>43847.61041666667</v>
      </c>
      <c r="F74" s="10">
        <f>INT(Cardiac_Table[[#This Row],[Procedure Start Date and Time]])</f>
        <v>43847</v>
      </c>
      <c r="G74" s="12">
        <f>MOD(Cardiac_Table[[#This Row],[Procedure Start Date and Time]],1)</f>
        <v>0.61041666667006211</v>
      </c>
      <c r="H74">
        <v>3</v>
      </c>
      <c r="I74" t="s">
        <v>4</v>
      </c>
      <c r="J74" t="s">
        <v>3</v>
      </c>
      <c r="K74" t="s">
        <v>35</v>
      </c>
      <c r="L74">
        <v>83</v>
      </c>
      <c r="M74">
        <v>9.52</v>
      </c>
      <c r="N74">
        <v>1.2</v>
      </c>
      <c r="O74" t="s">
        <v>15</v>
      </c>
      <c r="P74">
        <v>126</v>
      </c>
      <c r="Q74">
        <v>178</v>
      </c>
      <c r="R74">
        <v>88</v>
      </c>
      <c r="S74">
        <v>61</v>
      </c>
      <c r="T74" t="s">
        <v>48</v>
      </c>
      <c r="U74">
        <f>IF(Cardiac_Table[[#This Row],[Patient Status at Discharge]]="Died", 1,0)</f>
        <v>0</v>
      </c>
      <c r="V74">
        <f>Cardiac_Table[[#This Row],[Risk of Death % (Model 1)]]/100</f>
        <v>9.5199999999999993E-2</v>
      </c>
      <c r="W74">
        <f>Cardiac_Table[[#This Row],[Risk of Death % (Model 2)]]/100</f>
        <v>1.2E-2</v>
      </c>
      <c r="X74" s="18">
        <f>Cardiac_Table[[#This Row],[Procedure Start Date and Time]]-Cardiac_Table[[#This Row],[Hospital Admit Date ]]</f>
        <v>1.0298611111138598</v>
      </c>
    </row>
    <row r="75" spans="1:24" x14ac:dyDescent="0.35">
      <c r="A75">
        <v>75</v>
      </c>
      <c r="B75" s="9">
        <v>43847.666666666664</v>
      </c>
      <c r="C75" s="10">
        <f>INT(Cardiac_Table[[#This Row],[Hospital Admit Date ]])</f>
        <v>43847</v>
      </c>
      <c r="D75" s="11" t="str">
        <f t="shared" si="1"/>
        <v>16:00</v>
      </c>
      <c r="E75" s="9">
        <v>43848.347222222219</v>
      </c>
      <c r="F75" s="10">
        <f>INT(Cardiac_Table[[#This Row],[Procedure Start Date and Time]])</f>
        <v>43848</v>
      </c>
      <c r="G75" s="12">
        <f>MOD(Cardiac_Table[[#This Row],[Procedure Start Date and Time]],1)</f>
        <v>0.34722222221898846</v>
      </c>
      <c r="H75">
        <v>2</v>
      </c>
      <c r="I75" t="s">
        <v>4</v>
      </c>
      <c r="J75" t="s">
        <v>3</v>
      </c>
      <c r="K75" t="s">
        <v>35</v>
      </c>
      <c r="L75">
        <v>70</v>
      </c>
      <c r="M75">
        <v>3.08</v>
      </c>
      <c r="N75">
        <v>1.54</v>
      </c>
      <c r="O75" t="s">
        <v>15</v>
      </c>
      <c r="P75">
        <v>78</v>
      </c>
      <c r="Q75">
        <v>174</v>
      </c>
      <c r="R75">
        <v>83</v>
      </c>
      <c r="S75">
        <v>55</v>
      </c>
      <c r="T75" t="s">
        <v>48</v>
      </c>
      <c r="U75">
        <f>IF(Cardiac_Table[[#This Row],[Patient Status at Discharge]]="Died", 1,0)</f>
        <v>0</v>
      </c>
      <c r="V75">
        <f>Cardiac_Table[[#This Row],[Risk of Death % (Model 1)]]/100</f>
        <v>3.0800000000000001E-2</v>
      </c>
      <c r="W75">
        <f>Cardiac_Table[[#This Row],[Risk of Death % (Model 2)]]/100</f>
        <v>1.54E-2</v>
      </c>
      <c r="X75" s="18">
        <f>Cardiac_Table[[#This Row],[Procedure Start Date and Time]]-Cardiac_Table[[#This Row],[Hospital Admit Date ]]</f>
        <v>0.68055555555474712</v>
      </c>
    </row>
    <row r="76" spans="1:24" x14ac:dyDescent="0.35">
      <c r="A76">
        <v>76</v>
      </c>
      <c r="B76" s="9">
        <v>43849.541666666664</v>
      </c>
      <c r="C76" s="10">
        <f>INT(Cardiac_Table[[#This Row],[Hospital Admit Date ]])</f>
        <v>43849</v>
      </c>
      <c r="D76" s="11" t="str">
        <f t="shared" si="1"/>
        <v>13:00</v>
      </c>
      <c r="E76" s="9">
        <v>43850.336805555555</v>
      </c>
      <c r="F76" s="10">
        <f>INT(Cardiac_Table[[#This Row],[Procedure Start Date and Time]])</f>
        <v>43850</v>
      </c>
      <c r="G76" s="12">
        <f>MOD(Cardiac_Table[[#This Row],[Procedure Start Date and Time]],1)</f>
        <v>0.33680555555474712</v>
      </c>
      <c r="H76">
        <v>3</v>
      </c>
      <c r="I76" t="s">
        <v>4</v>
      </c>
      <c r="J76" t="s">
        <v>3</v>
      </c>
      <c r="K76" t="s">
        <v>29</v>
      </c>
      <c r="L76">
        <v>74</v>
      </c>
      <c r="M76">
        <v>5.46</v>
      </c>
      <c r="N76">
        <v>1.67</v>
      </c>
      <c r="O76" t="s">
        <v>15</v>
      </c>
      <c r="P76">
        <v>950</v>
      </c>
      <c r="Q76">
        <v>183</v>
      </c>
      <c r="R76">
        <v>87</v>
      </c>
      <c r="S76">
        <v>44</v>
      </c>
      <c r="T76" t="s">
        <v>48</v>
      </c>
      <c r="U76">
        <f>IF(Cardiac_Table[[#This Row],[Patient Status at Discharge]]="Died", 1,0)</f>
        <v>0</v>
      </c>
      <c r="V76">
        <f>Cardiac_Table[[#This Row],[Risk of Death % (Model 1)]]/100</f>
        <v>5.4600000000000003E-2</v>
      </c>
      <c r="W76">
        <f>Cardiac_Table[[#This Row],[Risk of Death % (Model 2)]]/100</f>
        <v>1.67E-2</v>
      </c>
      <c r="X76" s="18">
        <f>Cardiac_Table[[#This Row],[Procedure Start Date and Time]]-Cardiac_Table[[#This Row],[Hospital Admit Date ]]</f>
        <v>0.79513888889050577</v>
      </c>
    </row>
    <row r="77" spans="1:24" x14ac:dyDescent="0.35">
      <c r="A77">
        <v>77</v>
      </c>
      <c r="B77" s="9">
        <v>43849.583333333336</v>
      </c>
      <c r="C77" s="10">
        <f>INT(Cardiac_Table[[#This Row],[Hospital Admit Date ]])</f>
        <v>43849</v>
      </c>
      <c r="D77" s="11" t="str">
        <f t="shared" si="1"/>
        <v>14:00</v>
      </c>
      <c r="E77" s="9">
        <v>43850.336805555555</v>
      </c>
      <c r="F77" s="10">
        <f>INT(Cardiac_Table[[#This Row],[Procedure Start Date and Time]])</f>
        <v>43850</v>
      </c>
      <c r="G77" s="12">
        <f>MOD(Cardiac_Table[[#This Row],[Procedure Start Date and Time]],1)</f>
        <v>0.33680555555474712</v>
      </c>
      <c r="H77">
        <v>6</v>
      </c>
      <c r="I77" t="s">
        <v>4</v>
      </c>
      <c r="J77" t="s">
        <v>10</v>
      </c>
      <c r="K77" t="s">
        <v>23</v>
      </c>
      <c r="L77">
        <v>71</v>
      </c>
      <c r="M77">
        <v>1.94</v>
      </c>
      <c r="N77">
        <v>0.92</v>
      </c>
      <c r="O77" t="s">
        <v>15</v>
      </c>
      <c r="P77">
        <v>78</v>
      </c>
      <c r="Q77">
        <v>162</v>
      </c>
      <c r="R77">
        <v>83</v>
      </c>
      <c r="S77">
        <v>65</v>
      </c>
      <c r="T77" t="s">
        <v>48</v>
      </c>
      <c r="U77">
        <f>IF(Cardiac_Table[[#This Row],[Patient Status at Discharge]]="Died", 1,0)</f>
        <v>0</v>
      </c>
      <c r="V77">
        <f>Cardiac_Table[[#This Row],[Risk of Death % (Model 1)]]/100</f>
        <v>1.9400000000000001E-2</v>
      </c>
      <c r="W77">
        <f>Cardiac_Table[[#This Row],[Risk of Death % (Model 2)]]/100</f>
        <v>9.1999999999999998E-3</v>
      </c>
      <c r="X77" s="18">
        <f>Cardiac_Table[[#This Row],[Procedure Start Date and Time]]-Cardiac_Table[[#This Row],[Hospital Admit Date ]]</f>
        <v>0.75347222221898846</v>
      </c>
    </row>
    <row r="78" spans="1:24" x14ac:dyDescent="0.35">
      <c r="A78">
        <v>78</v>
      </c>
      <c r="B78" s="9">
        <v>43849.583333333336</v>
      </c>
      <c r="C78" s="10">
        <f>INT(Cardiac_Table[[#This Row],[Hospital Admit Date ]])</f>
        <v>43849</v>
      </c>
      <c r="D78" s="11" t="str">
        <f t="shared" si="1"/>
        <v>14:00</v>
      </c>
      <c r="E78" s="9">
        <v>43850.34097222222</v>
      </c>
      <c r="F78" s="10">
        <f>INT(Cardiac_Table[[#This Row],[Procedure Start Date and Time]])</f>
        <v>43850</v>
      </c>
      <c r="G78" s="12">
        <f>MOD(Cardiac_Table[[#This Row],[Procedure Start Date and Time]],1)</f>
        <v>0.34097222222044365</v>
      </c>
      <c r="H78">
        <v>5</v>
      </c>
      <c r="I78" t="s">
        <v>4</v>
      </c>
      <c r="J78" t="s">
        <v>11</v>
      </c>
      <c r="K78" t="s">
        <v>32</v>
      </c>
      <c r="L78">
        <v>60</v>
      </c>
      <c r="M78">
        <v>2.42</v>
      </c>
      <c r="N78">
        <v>1.58</v>
      </c>
      <c r="O78" t="s">
        <v>15</v>
      </c>
      <c r="P78">
        <v>107</v>
      </c>
      <c r="Q78">
        <v>164</v>
      </c>
      <c r="R78">
        <v>82</v>
      </c>
      <c r="S78">
        <v>45</v>
      </c>
      <c r="T78" t="s">
        <v>50</v>
      </c>
      <c r="U78">
        <f>IF(Cardiac_Table[[#This Row],[Patient Status at Discharge]]="Died", 1,0)</f>
        <v>0</v>
      </c>
      <c r="V78">
        <f>Cardiac_Table[[#This Row],[Risk of Death % (Model 1)]]/100</f>
        <v>2.4199999999999999E-2</v>
      </c>
      <c r="W78">
        <f>Cardiac_Table[[#This Row],[Risk of Death % (Model 2)]]/100</f>
        <v>1.5800000000000002E-2</v>
      </c>
      <c r="X78" s="18">
        <f>Cardiac_Table[[#This Row],[Procedure Start Date and Time]]-Cardiac_Table[[#This Row],[Hospital Admit Date ]]</f>
        <v>0.757638888884685</v>
      </c>
    </row>
    <row r="79" spans="1:24" x14ac:dyDescent="0.35">
      <c r="A79">
        <v>79</v>
      </c>
      <c r="B79" s="9">
        <v>43850.324999999997</v>
      </c>
      <c r="C79" s="10">
        <f>INT(Cardiac_Table[[#This Row],[Hospital Admit Date ]])</f>
        <v>43850</v>
      </c>
      <c r="D79" s="11" t="str">
        <f t="shared" si="1"/>
        <v>07:48</v>
      </c>
      <c r="E79" s="9">
        <v>43850.427083333336</v>
      </c>
      <c r="F79" s="10">
        <f>INT(Cardiac_Table[[#This Row],[Procedure Start Date and Time]])</f>
        <v>43850</v>
      </c>
      <c r="G79" s="12">
        <f>MOD(Cardiac_Table[[#This Row],[Procedure Start Date and Time]],1)</f>
        <v>0.42708333333575865</v>
      </c>
      <c r="H79">
        <v>2</v>
      </c>
      <c r="I79" t="s">
        <v>4</v>
      </c>
      <c r="J79" t="s">
        <v>3</v>
      </c>
      <c r="K79" t="s">
        <v>20</v>
      </c>
      <c r="L79">
        <v>87</v>
      </c>
      <c r="M79">
        <v>13.06</v>
      </c>
      <c r="N79">
        <v>3.74</v>
      </c>
      <c r="O79" t="s">
        <v>15</v>
      </c>
      <c r="P79">
        <v>73</v>
      </c>
      <c r="Q79">
        <v>166</v>
      </c>
      <c r="R79">
        <v>61</v>
      </c>
      <c r="S79">
        <v>25</v>
      </c>
      <c r="T79" t="s">
        <v>49</v>
      </c>
      <c r="U79">
        <f>IF(Cardiac_Table[[#This Row],[Patient Status at Discharge]]="Died", 1,0)</f>
        <v>0</v>
      </c>
      <c r="V79">
        <f>Cardiac_Table[[#This Row],[Risk of Death % (Model 1)]]/100</f>
        <v>0.13059999999999999</v>
      </c>
      <c r="W79">
        <f>Cardiac_Table[[#This Row],[Risk of Death % (Model 2)]]/100</f>
        <v>3.7400000000000003E-2</v>
      </c>
      <c r="X79" s="18">
        <f>Cardiac_Table[[#This Row],[Procedure Start Date and Time]]-Cardiac_Table[[#This Row],[Hospital Admit Date ]]</f>
        <v>0.10208333333866904</v>
      </c>
    </row>
    <row r="80" spans="1:24" x14ac:dyDescent="0.35">
      <c r="A80">
        <v>80</v>
      </c>
      <c r="B80" s="9">
        <v>43838.727777777778</v>
      </c>
      <c r="C80" s="10">
        <f>INT(Cardiac_Table[[#This Row],[Hospital Admit Date ]])</f>
        <v>43838</v>
      </c>
      <c r="D80" s="11" t="str">
        <f t="shared" si="1"/>
        <v>17:28</v>
      </c>
      <c r="E80" s="9">
        <v>43850.500694444447</v>
      </c>
      <c r="F80" s="10">
        <f>INT(Cardiac_Table[[#This Row],[Procedure Start Date and Time]])</f>
        <v>43850</v>
      </c>
      <c r="G80" s="12">
        <f>MOD(Cardiac_Table[[#This Row],[Procedure Start Date and Time]],1)</f>
        <v>0.50069444444670808</v>
      </c>
      <c r="H80">
        <v>3</v>
      </c>
      <c r="I80" t="s">
        <v>6</v>
      </c>
      <c r="J80" t="s">
        <v>10</v>
      </c>
      <c r="K80" t="s">
        <v>29</v>
      </c>
      <c r="L80">
        <v>70</v>
      </c>
      <c r="M80">
        <v>3.09</v>
      </c>
      <c r="N80">
        <v>1.18</v>
      </c>
      <c r="O80" t="s">
        <v>15</v>
      </c>
      <c r="P80">
        <v>107</v>
      </c>
      <c r="Q80">
        <v>172</v>
      </c>
      <c r="R80">
        <v>87</v>
      </c>
      <c r="S80">
        <v>47</v>
      </c>
      <c r="T80" t="s">
        <v>50</v>
      </c>
      <c r="U80">
        <f>IF(Cardiac_Table[[#This Row],[Patient Status at Discharge]]="Died", 1,0)</f>
        <v>0</v>
      </c>
      <c r="V80">
        <f>Cardiac_Table[[#This Row],[Risk of Death % (Model 1)]]/100</f>
        <v>3.0899999999999997E-2</v>
      </c>
      <c r="W80">
        <f>Cardiac_Table[[#This Row],[Risk of Death % (Model 2)]]/100</f>
        <v>1.18E-2</v>
      </c>
      <c r="X80" s="18">
        <f>Cardiac_Table[[#This Row],[Procedure Start Date and Time]]-Cardiac_Table[[#This Row],[Hospital Admit Date ]]</f>
        <v>11.772916666668607</v>
      </c>
    </row>
    <row r="81" spans="1:24" x14ac:dyDescent="0.35">
      <c r="A81">
        <v>81</v>
      </c>
      <c r="B81" s="9">
        <v>43850.313888888886</v>
      </c>
      <c r="C81" s="10">
        <f>INT(Cardiac_Table[[#This Row],[Hospital Admit Date ]])</f>
        <v>43850</v>
      </c>
      <c r="D81" s="11" t="str">
        <f t="shared" si="1"/>
        <v>07:32</v>
      </c>
      <c r="E81" s="9">
        <v>43850.546527777777</v>
      </c>
      <c r="F81" s="10">
        <f>INT(Cardiac_Table[[#This Row],[Procedure Start Date and Time]])</f>
        <v>43850</v>
      </c>
      <c r="G81" s="12">
        <f>MOD(Cardiac_Table[[#This Row],[Procedure Start Date and Time]],1)</f>
        <v>0.54652777777664596</v>
      </c>
      <c r="H81">
        <v>5</v>
      </c>
      <c r="I81" t="s">
        <v>4</v>
      </c>
      <c r="J81" t="s">
        <v>11</v>
      </c>
      <c r="K81" t="s">
        <v>32</v>
      </c>
      <c r="L81">
        <v>83</v>
      </c>
      <c r="M81">
        <v>26.63</v>
      </c>
      <c r="N81">
        <v>7.95</v>
      </c>
      <c r="O81" t="s">
        <v>15</v>
      </c>
      <c r="P81">
        <v>95</v>
      </c>
      <c r="Q81">
        <v>171</v>
      </c>
      <c r="R81">
        <v>99</v>
      </c>
      <c r="S81">
        <v>55</v>
      </c>
      <c r="T81" t="s">
        <v>48</v>
      </c>
      <c r="U81">
        <f>IF(Cardiac_Table[[#This Row],[Patient Status at Discharge]]="Died", 1,0)</f>
        <v>0</v>
      </c>
      <c r="V81">
        <f>Cardiac_Table[[#This Row],[Risk of Death % (Model 1)]]/100</f>
        <v>0.26629999999999998</v>
      </c>
      <c r="W81">
        <f>Cardiac_Table[[#This Row],[Risk of Death % (Model 2)]]/100</f>
        <v>7.9500000000000001E-2</v>
      </c>
      <c r="X81" s="18">
        <f>Cardiac_Table[[#This Row],[Procedure Start Date and Time]]-Cardiac_Table[[#This Row],[Hospital Admit Date ]]</f>
        <v>0.23263888889050577</v>
      </c>
    </row>
    <row r="82" spans="1:24" x14ac:dyDescent="0.35">
      <c r="A82">
        <v>82</v>
      </c>
      <c r="B82" s="9">
        <v>43840.604166666664</v>
      </c>
      <c r="C82" s="10">
        <f>INT(Cardiac_Table[[#This Row],[Hospital Admit Date ]])</f>
        <v>43840</v>
      </c>
      <c r="D82" s="11" t="str">
        <f t="shared" si="1"/>
        <v>14:30</v>
      </c>
      <c r="E82" s="9">
        <v>43850.629166666666</v>
      </c>
      <c r="F82" s="10">
        <f>INT(Cardiac_Table[[#This Row],[Procedure Start Date and Time]])</f>
        <v>43850</v>
      </c>
      <c r="G82" s="12">
        <f>MOD(Cardiac_Table[[#This Row],[Procedure Start Date and Time]],1)</f>
        <v>0.62916666666569654</v>
      </c>
      <c r="H82">
        <v>2</v>
      </c>
      <c r="I82" t="s">
        <v>6</v>
      </c>
      <c r="J82" t="s">
        <v>10</v>
      </c>
      <c r="K82" t="s">
        <v>30</v>
      </c>
      <c r="L82">
        <v>52</v>
      </c>
      <c r="M82">
        <v>1.51</v>
      </c>
      <c r="N82">
        <v>0.8</v>
      </c>
      <c r="O82" t="s">
        <v>15</v>
      </c>
      <c r="P82">
        <v>72</v>
      </c>
      <c r="Q82">
        <v>174</v>
      </c>
      <c r="R82">
        <v>75</v>
      </c>
      <c r="S82">
        <v>43</v>
      </c>
      <c r="T82" t="s">
        <v>50</v>
      </c>
      <c r="U82">
        <f>IF(Cardiac_Table[[#This Row],[Patient Status at Discharge]]="Died", 1,0)</f>
        <v>0</v>
      </c>
      <c r="V82">
        <f>Cardiac_Table[[#This Row],[Risk of Death % (Model 1)]]/100</f>
        <v>1.5100000000000001E-2</v>
      </c>
      <c r="W82">
        <f>Cardiac_Table[[#This Row],[Risk of Death % (Model 2)]]/100</f>
        <v>8.0000000000000002E-3</v>
      </c>
      <c r="X82" s="18">
        <f>Cardiac_Table[[#This Row],[Procedure Start Date and Time]]-Cardiac_Table[[#This Row],[Hospital Admit Date ]]</f>
        <v>10.025000000001455</v>
      </c>
    </row>
    <row r="83" spans="1:24" x14ac:dyDescent="0.35">
      <c r="A83">
        <v>83</v>
      </c>
      <c r="B83" s="9">
        <v>43850.55</v>
      </c>
      <c r="C83" s="10">
        <f>INT(Cardiac_Table[[#This Row],[Hospital Admit Date ]])</f>
        <v>43850</v>
      </c>
      <c r="D83" s="11" t="str">
        <f t="shared" si="1"/>
        <v>13:12</v>
      </c>
      <c r="E83" s="9">
        <v>43851.336805555555</v>
      </c>
      <c r="F83" s="10">
        <f>INT(Cardiac_Table[[#This Row],[Procedure Start Date and Time]])</f>
        <v>43851</v>
      </c>
      <c r="G83" s="12">
        <f>MOD(Cardiac_Table[[#This Row],[Procedure Start Date and Time]],1)</f>
        <v>0.33680555555474712</v>
      </c>
      <c r="H83">
        <v>5</v>
      </c>
      <c r="I83" t="s">
        <v>4</v>
      </c>
      <c r="J83" t="s">
        <v>11</v>
      </c>
      <c r="K83" t="s">
        <v>26</v>
      </c>
      <c r="L83">
        <v>68</v>
      </c>
      <c r="M83">
        <v>4.3600000000000003</v>
      </c>
      <c r="N83">
        <v>1.74</v>
      </c>
      <c r="O83" t="s">
        <v>15</v>
      </c>
      <c r="P83">
        <v>67</v>
      </c>
      <c r="Q83">
        <v>178</v>
      </c>
      <c r="R83">
        <v>80</v>
      </c>
      <c r="S83">
        <v>60</v>
      </c>
      <c r="T83" t="s">
        <v>48</v>
      </c>
      <c r="U83">
        <f>IF(Cardiac_Table[[#This Row],[Patient Status at Discharge]]="Died", 1,0)</f>
        <v>0</v>
      </c>
      <c r="V83">
        <f>Cardiac_Table[[#This Row],[Risk of Death % (Model 1)]]/100</f>
        <v>4.36E-2</v>
      </c>
      <c r="W83">
        <f>Cardiac_Table[[#This Row],[Risk of Death % (Model 2)]]/100</f>
        <v>1.7399999999999999E-2</v>
      </c>
      <c r="X83" s="18">
        <f>Cardiac_Table[[#This Row],[Procedure Start Date and Time]]-Cardiac_Table[[#This Row],[Hospital Admit Date ]]</f>
        <v>0.78680555555183673</v>
      </c>
    </row>
    <row r="84" spans="1:24" x14ac:dyDescent="0.35">
      <c r="A84">
        <v>84</v>
      </c>
      <c r="B84" s="9">
        <v>43850.573611111111</v>
      </c>
      <c r="C84" s="10">
        <f>INT(Cardiac_Table[[#This Row],[Hospital Admit Date ]])</f>
        <v>43850</v>
      </c>
      <c r="D84" s="11" t="str">
        <f t="shared" si="1"/>
        <v>13:46</v>
      </c>
      <c r="E84" s="9">
        <v>43851.343055555553</v>
      </c>
      <c r="F84" s="10">
        <f>INT(Cardiac_Table[[#This Row],[Procedure Start Date and Time]])</f>
        <v>43851</v>
      </c>
      <c r="G84" s="12">
        <f>MOD(Cardiac_Table[[#This Row],[Procedure Start Date and Time]],1)</f>
        <v>0.34305555555329192</v>
      </c>
      <c r="H84">
        <v>6</v>
      </c>
      <c r="I84" t="s">
        <v>4</v>
      </c>
      <c r="J84" t="s">
        <v>3</v>
      </c>
      <c r="K84" t="s">
        <v>20</v>
      </c>
      <c r="L84">
        <v>72</v>
      </c>
      <c r="M84">
        <v>5.24</v>
      </c>
      <c r="N84">
        <v>3.13</v>
      </c>
      <c r="O84" t="s">
        <v>15</v>
      </c>
      <c r="P84">
        <v>82</v>
      </c>
      <c r="Q84">
        <v>152</v>
      </c>
      <c r="R84">
        <v>64</v>
      </c>
      <c r="S84">
        <v>55</v>
      </c>
      <c r="T84" t="s">
        <v>48</v>
      </c>
      <c r="U84">
        <f>IF(Cardiac_Table[[#This Row],[Patient Status at Discharge]]="Died", 1,0)</f>
        <v>0</v>
      </c>
      <c r="V84">
        <f>Cardiac_Table[[#This Row],[Risk of Death % (Model 1)]]/100</f>
        <v>5.2400000000000002E-2</v>
      </c>
      <c r="W84">
        <f>Cardiac_Table[[#This Row],[Risk of Death % (Model 2)]]/100</f>
        <v>3.1300000000000001E-2</v>
      </c>
      <c r="X84" s="18">
        <f>Cardiac_Table[[#This Row],[Procedure Start Date and Time]]-Cardiac_Table[[#This Row],[Hospital Admit Date ]]</f>
        <v>0.7694444444423425</v>
      </c>
    </row>
    <row r="85" spans="1:24" x14ac:dyDescent="0.35">
      <c r="A85">
        <v>85</v>
      </c>
      <c r="B85" s="9">
        <v>43851.293055555558</v>
      </c>
      <c r="C85" s="10">
        <f>INT(Cardiac_Table[[#This Row],[Hospital Admit Date ]])</f>
        <v>43851</v>
      </c>
      <c r="D85" s="11" t="str">
        <f t="shared" si="1"/>
        <v>07:02</v>
      </c>
      <c r="E85" s="9">
        <v>43851.347222222219</v>
      </c>
      <c r="F85" s="10">
        <f>INT(Cardiac_Table[[#This Row],[Procedure Start Date and Time]])</f>
        <v>43851</v>
      </c>
      <c r="G85" s="12">
        <f>MOD(Cardiac_Table[[#This Row],[Procedure Start Date and Time]],1)</f>
        <v>0.34722222221898846</v>
      </c>
      <c r="H85">
        <v>2</v>
      </c>
      <c r="I85" t="s">
        <v>4</v>
      </c>
      <c r="J85" t="s">
        <v>3</v>
      </c>
      <c r="K85" t="s">
        <v>28</v>
      </c>
      <c r="L85">
        <v>57</v>
      </c>
      <c r="M85">
        <v>2.27</v>
      </c>
      <c r="N85">
        <v>0.69</v>
      </c>
      <c r="O85" t="s">
        <v>15</v>
      </c>
      <c r="P85">
        <v>80</v>
      </c>
      <c r="Q85">
        <v>164</v>
      </c>
      <c r="R85">
        <v>80</v>
      </c>
      <c r="S85">
        <v>59</v>
      </c>
      <c r="T85" t="s">
        <v>48</v>
      </c>
      <c r="U85">
        <f>IF(Cardiac_Table[[#This Row],[Patient Status at Discharge]]="Died", 1,0)</f>
        <v>0</v>
      </c>
      <c r="V85">
        <f>Cardiac_Table[[#This Row],[Risk of Death % (Model 1)]]/100</f>
        <v>2.2700000000000001E-2</v>
      </c>
      <c r="W85">
        <f>Cardiac_Table[[#This Row],[Risk of Death % (Model 2)]]/100</f>
        <v>6.8999999999999999E-3</v>
      </c>
      <c r="X85" s="18">
        <f>Cardiac_Table[[#This Row],[Procedure Start Date and Time]]-Cardiac_Table[[#This Row],[Hospital Admit Date ]]</f>
        <v>5.4166666661330964E-2</v>
      </c>
    </row>
    <row r="86" spans="1:24" x14ac:dyDescent="0.35">
      <c r="A86">
        <v>86</v>
      </c>
      <c r="B86" s="9">
        <v>43851.324305555558</v>
      </c>
      <c r="C86" s="10">
        <f>INT(Cardiac_Table[[#This Row],[Hospital Admit Date ]])</f>
        <v>43851</v>
      </c>
      <c r="D86" s="11" t="str">
        <f t="shared" si="1"/>
        <v>07:47</v>
      </c>
      <c r="E86" s="9">
        <v>43851.368750000001</v>
      </c>
      <c r="F86" s="10">
        <f>INT(Cardiac_Table[[#This Row],[Procedure Start Date and Time]])</f>
        <v>43851</v>
      </c>
      <c r="G86" s="12">
        <f>MOD(Cardiac_Table[[#This Row],[Procedure Start Date and Time]],1)</f>
        <v>0.36875000000145519</v>
      </c>
      <c r="H86">
        <v>6</v>
      </c>
      <c r="I86" t="s">
        <v>4</v>
      </c>
      <c r="J86" t="s">
        <v>11</v>
      </c>
      <c r="K86" t="s">
        <v>20</v>
      </c>
      <c r="L86">
        <v>55</v>
      </c>
      <c r="M86">
        <v>3.37</v>
      </c>
      <c r="N86">
        <v>1.44</v>
      </c>
      <c r="O86" t="s">
        <v>15</v>
      </c>
      <c r="P86">
        <v>70</v>
      </c>
      <c r="Q86">
        <v>167</v>
      </c>
      <c r="R86">
        <v>86</v>
      </c>
      <c r="S86">
        <v>55</v>
      </c>
      <c r="T86" t="s">
        <v>48</v>
      </c>
      <c r="U86">
        <f>IF(Cardiac_Table[[#This Row],[Patient Status at Discharge]]="Died", 1,0)</f>
        <v>0</v>
      </c>
      <c r="V86">
        <f>Cardiac_Table[[#This Row],[Risk of Death % (Model 1)]]/100</f>
        <v>3.3700000000000001E-2</v>
      </c>
      <c r="W86">
        <f>Cardiac_Table[[#This Row],[Risk of Death % (Model 2)]]/100</f>
        <v>1.44E-2</v>
      </c>
      <c r="X86" s="18">
        <f>Cardiac_Table[[#This Row],[Procedure Start Date and Time]]-Cardiac_Table[[#This Row],[Hospital Admit Date ]]</f>
        <v>4.4444444443797693E-2</v>
      </c>
    </row>
    <row r="87" spans="1:24" x14ac:dyDescent="0.35">
      <c r="A87">
        <v>87</v>
      </c>
      <c r="B87" s="9">
        <v>43844.440972222219</v>
      </c>
      <c r="C87" s="10">
        <f>INT(Cardiac_Table[[#This Row],[Hospital Admit Date ]])</f>
        <v>43844</v>
      </c>
      <c r="D87" s="11" t="str">
        <f t="shared" si="1"/>
        <v>10:35</v>
      </c>
      <c r="E87" s="9">
        <v>43851.373611111114</v>
      </c>
      <c r="F87" s="10">
        <f>INT(Cardiac_Table[[#This Row],[Procedure Start Date and Time]])</f>
        <v>43851</v>
      </c>
      <c r="G87" s="12">
        <f>MOD(Cardiac_Table[[#This Row],[Procedure Start Date and Time]],1)</f>
        <v>0.37361111111385981</v>
      </c>
      <c r="H87">
        <v>3</v>
      </c>
      <c r="I87" t="s">
        <v>6</v>
      </c>
      <c r="J87" t="s">
        <v>10</v>
      </c>
      <c r="K87" t="s">
        <v>23</v>
      </c>
      <c r="L87">
        <v>79</v>
      </c>
      <c r="M87">
        <v>5.23</v>
      </c>
      <c r="N87">
        <v>2.12</v>
      </c>
      <c r="O87" t="s">
        <v>15</v>
      </c>
      <c r="P87">
        <v>74</v>
      </c>
      <c r="Q87">
        <v>176</v>
      </c>
      <c r="R87">
        <v>110</v>
      </c>
      <c r="S87">
        <v>65</v>
      </c>
      <c r="T87" t="s">
        <v>48</v>
      </c>
      <c r="U87">
        <f>IF(Cardiac_Table[[#This Row],[Patient Status at Discharge]]="Died", 1,0)</f>
        <v>0</v>
      </c>
      <c r="V87">
        <f>Cardiac_Table[[#This Row],[Risk of Death % (Model 1)]]/100</f>
        <v>5.2300000000000006E-2</v>
      </c>
      <c r="W87">
        <f>Cardiac_Table[[#This Row],[Risk of Death % (Model 2)]]/100</f>
        <v>2.12E-2</v>
      </c>
      <c r="X87" s="18">
        <f>Cardiac_Table[[#This Row],[Procedure Start Date and Time]]-Cardiac_Table[[#This Row],[Hospital Admit Date ]]</f>
        <v>6.9326388888948713</v>
      </c>
    </row>
    <row r="88" spans="1:24" x14ac:dyDescent="0.35">
      <c r="A88">
        <v>88</v>
      </c>
      <c r="B88" s="9">
        <v>43851.313888888886</v>
      </c>
      <c r="C88" s="10">
        <f>INT(Cardiac_Table[[#This Row],[Hospital Admit Date ]])</f>
        <v>43851</v>
      </c>
      <c r="D88" s="11" t="str">
        <f t="shared" si="1"/>
        <v>07:32</v>
      </c>
      <c r="E88" s="9">
        <v>43851.592361111114</v>
      </c>
      <c r="F88" s="10">
        <f>INT(Cardiac_Table[[#This Row],[Procedure Start Date and Time]])</f>
        <v>43851</v>
      </c>
      <c r="G88" s="12">
        <f>MOD(Cardiac_Table[[#This Row],[Procedure Start Date and Time]],1)</f>
        <v>0.59236111111385981</v>
      </c>
      <c r="H88">
        <v>3</v>
      </c>
      <c r="I88" t="s">
        <v>4</v>
      </c>
      <c r="J88" t="s">
        <v>11</v>
      </c>
      <c r="K88" t="s">
        <v>23</v>
      </c>
      <c r="L88">
        <v>70</v>
      </c>
      <c r="M88">
        <v>4.95</v>
      </c>
      <c r="N88">
        <v>1.84</v>
      </c>
      <c r="O88" t="s">
        <v>15</v>
      </c>
      <c r="P88">
        <v>65</v>
      </c>
      <c r="Q88">
        <v>170</v>
      </c>
      <c r="R88">
        <v>51</v>
      </c>
      <c r="S88">
        <v>50</v>
      </c>
      <c r="T88" t="s">
        <v>50</v>
      </c>
      <c r="U88">
        <f>IF(Cardiac_Table[[#This Row],[Patient Status at Discharge]]="Died", 1,0)</f>
        <v>0</v>
      </c>
      <c r="V88">
        <f>Cardiac_Table[[#This Row],[Risk of Death % (Model 1)]]/100</f>
        <v>4.9500000000000002E-2</v>
      </c>
      <c r="W88">
        <f>Cardiac_Table[[#This Row],[Risk of Death % (Model 2)]]/100</f>
        <v>1.84E-2</v>
      </c>
      <c r="X88" s="18">
        <f>Cardiac_Table[[#This Row],[Procedure Start Date and Time]]-Cardiac_Table[[#This Row],[Hospital Admit Date ]]</f>
        <v>0.27847222222771961</v>
      </c>
    </row>
    <row r="89" spans="1:24" x14ac:dyDescent="0.35">
      <c r="A89">
        <v>89</v>
      </c>
      <c r="B89" s="9">
        <v>43838.708333333336</v>
      </c>
      <c r="C89" s="10">
        <f>INT(Cardiac_Table[[#This Row],[Hospital Admit Date ]])</f>
        <v>43838</v>
      </c>
      <c r="D89" s="11" t="str">
        <f t="shared" si="1"/>
        <v>17:00</v>
      </c>
      <c r="E89" s="9">
        <v>43852.342361111114</v>
      </c>
      <c r="F89" s="10">
        <f>INT(Cardiac_Table[[#This Row],[Procedure Start Date and Time]])</f>
        <v>43852</v>
      </c>
      <c r="G89" s="12">
        <f>MOD(Cardiac_Table[[#This Row],[Procedure Start Date and Time]],1)</f>
        <v>0.34236111111385981</v>
      </c>
      <c r="H89">
        <v>6</v>
      </c>
      <c r="I89" t="s">
        <v>6</v>
      </c>
      <c r="J89" t="s">
        <v>10</v>
      </c>
      <c r="K89" t="s">
        <v>32</v>
      </c>
      <c r="L89">
        <v>72</v>
      </c>
      <c r="M89">
        <v>3.11</v>
      </c>
      <c r="N89">
        <v>1.64</v>
      </c>
      <c r="O89" t="s">
        <v>15</v>
      </c>
      <c r="P89">
        <v>131</v>
      </c>
      <c r="Q89">
        <v>173</v>
      </c>
      <c r="R89">
        <v>88</v>
      </c>
      <c r="S89">
        <v>45</v>
      </c>
      <c r="T89" t="s">
        <v>50</v>
      </c>
      <c r="U89">
        <f>IF(Cardiac_Table[[#This Row],[Patient Status at Discharge]]="Died", 1,0)</f>
        <v>0</v>
      </c>
      <c r="V89">
        <f>Cardiac_Table[[#This Row],[Risk of Death % (Model 1)]]/100</f>
        <v>3.1099999999999999E-2</v>
      </c>
      <c r="W89">
        <f>Cardiac_Table[[#This Row],[Risk of Death % (Model 2)]]/100</f>
        <v>1.6399999999999998E-2</v>
      </c>
      <c r="X89" s="18">
        <f>Cardiac_Table[[#This Row],[Procedure Start Date and Time]]-Cardiac_Table[[#This Row],[Hospital Admit Date ]]</f>
        <v>13.634027777778101</v>
      </c>
    </row>
    <row r="90" spans="1:24" x14ac:dyDescent="0.35">
      <c r="A90">
        <v>90</v>
      </c>
      <c r="B90" s="9">
        <v>43851.559027777781</v>
      </c>
      <c r="C90" s="10">
        <f>INT(Cardiac_Table[[#This Row],[Hospital Admit Date ]])</f>
        <v>43851</v>
      </c>
      <c r="D90" s="11" t="str">
        <f t="shared" si="1"/>
        <v>13:25</v>
      </c>
      <c r="E90" s="9">
        <v>43852.345833333333</v>
      </c>
      <c r="F90" s="10">
        <f>INT(Cardiac_Table[[#This Row],[Procedure Start Date and Time]])</f>
        <v>43852</v>
      </c>
      <c r="G90" s="12">
        <f>MOD(Cardiac_Table[[#This Row],[Procedure Start Date and Time]],1)</f>
        <v>0.34583333333284827</v>
      </c>
      <c r="H90">
        <v>5</v>
      </c>
      <c r="I90" t="s">
        <v>4</v>
      </c>
      <c r="J90" t="s">
        <v>3</v>
      </c>
      <c r="K90" t="s">
        <v>35</v>
      </c>
      <c r="L90">
        <v>72</v>
      </c>
      <c r="M90">
        <v>5.24</v>
      </c>
      <c r="N90">
        <v>2.97</v>
      </c>
      <c r="O90" t="s">
        <v>15</v>
      </c>
      <c r="P90">
        <v>65</v>
      </c>
      <c r="Q90">
        <v>171</v>
      </c>
      <c r="R90">
        <v>100</v>
      </c>
      <c r="S90">
        <v>70</v>
      </c>
      <c r="T90" t="s">
        <v>48</v>
      </c>
      <c r="U90">
        <f>IF(Cardiac_Table[[#This Row],[Patient Status at Discharge]]="Died", 1,0)</f>
        <v>0</v>
      </c>
      <c r="V90">
        <f>Cardiac_Table[[#This Row],[Risk of Death % (Model 1)]]/100</f>
        <v>5.2400000000000002E-2</v>
      </c>
      <c r="W90">
        <f>Cardiac_Table[[#This Row],[Risk of Death % (Model 2)]]/100</f>
        <v>2.9700000000000001E-2</v>
      </c>
      <c r="X90" s="18">
        <f>Cardiac_Table[[#This Row],[Procedure Start Date and Time]]-Cardiac_Table[[#This Row],[Hospital Admit Date ]]</f>
        <v>0.78680555555183673</v>
      </c>
    </row>
    <row r="91" spans="1:24" x14ac:dyDescent="0.35">
      <c r="A91">
        <v>91</v>
      </c>
      <c r="B91" s="9">
        <v>43851.581944444442</v>
      </c>
      <c r="C91" s="10">
        <f>INT(Cardiac_Table[[#This Row],[Hospital Admit Date ]])</f>
        <v>43851</v>
      </c>
      <c r="D91" s="11" t="str">
        <f t="shared" si="1"/>
        <v>13:58</v>
      </c>
      <c r="E91" s="9">
        <v>43852.354166666664</v>
      </c>
      <c r="F91" s="10">
        <f>INT(Cardiac_Table[[#This Row],[Procedure Start Date and Time]])</f>
        <v>43852</v>
      </c>
      <c r="G91" s="12">
        <f>MOD(Cardiac_Table[[#This Row],[Procedure Start Date and Time]],1)</f>
        <v>0.35416666666424135</v>
      </c>
      <c r="H91">
        <v>2</v>
      </c>
      <c r="I91" t="s">
        <v>4</v>
      </c>
      <c r="J91" t="s">
        <v>3</v>
      </c>
      <c r="K91" t="s">
        <v>28</v>
      </c>
      <c r="L91">
        <v>42</v>
      </c>
      <c r="M91">
        <v>1.51</v>
      </c>
      <c r="N91">
        <v>0.68</v>
      </c>
      <c r="O91" t="s">
        <v>15</v>
      </c>
      <c r="P91">
        <v>71</v>
      </c>
      <c r="Q91">
        <v>165</v>
      </c>
      <c r="R91">
        <v>69</v>
      </c>
      <c r="S91">
        <v>54</v>
      </c>
      <c r="T91" t="s">
        <v>48</v>
      </c>
      <c r="U91">
        <f>IF(Cardiac_Table[[#This Row],[Patient Status at Discharge]]="Died", 1,0)</f>
        <v>0</v>
      </c>
      <c r="V91">
        <f>Cardiac_Table[[#This Row],[Risk of Death % (Model 1)]]/100</f>
        <v>1.5100000000000001E-2</v>
      </c>
      <c r="W91">
        <f>Cardiac_Table[[#This Row],[Risk of Death % (Model 2)]]/100</f>
        <v>6.8000000000000005E-3</v>
      </c>
      <c r="X91" s="18">
        <f>Cardiac_Table[[#This Row],[Procedure Start Date and Time]]-Cardiac_Table[[#This Row],[Hospital Admit Date ]]</f>
        <v>0.77222222222189885</v>
      </c>
    </row>
    <row r="92" spans="1:24" x14ac:dyDescent="0.35">
      <c r="A92">
        <v>92</v>
      </c>
      <c r="B92" s="9">
        <v>43852.335416666669</v>
      </c>
      <c r="C92" s="10">
        <f>INT(Cardiac_Table[[#This Row],[Hospital Admit Date ]])</f>
        <v>43852</v>
      </c>
      <c r="D92" s="11" t="str">
        <f t="shared" si="1"/>
        <v>08:03</v>
      </c>
      <c r="E92" s="9">
        <v>43852.447916666664</v>
      </c>
      <c r="F92" s="10">
        <f>INT(Cardiac_Table[[#This Row],[Procedure Start Date and Time]])</f>
        <v>43852</v>
      </c>
      <c r="G92" s="12">
        <f>MOD(Cardiac_Table[[#This Row],[Procedure Start Date and Time]],1)</f>
        <v>0.44791666666424135</v>
      </c>
      <c r="H92">
        <v>3</v>
      </c>
      <c r="I92" t="s">
        <v>4</v>
      </c>
      <c r="J92" t="s">
        <v>1</v>
      </c>
      <c r="K92" t="s">
        <v>20</v>
      </c>
      <c r="L92">
        <v>65</v>
      </c>
      <c r="M92">
        <v>6.78</v>
      </c>
      <c r="N92">
        <v>2.85</v>
      </c>
      <c r="O92" t="s">
        <v>15</v>
      </c>
      <c r="P92">
        <v>76</v>
      </c>
      <c r="Q92">
        <v>175</v>
      </c>
      <c r="R92">
        <v>100</v>
      </c>
      <c r="S92">
        <v>67</v>
      </c>
      <c r="T92" t="s">
        <v>48</v>
      </c>
      <c r="U92">
        <f>IF(Cardiac_Table[[#This Row],[Patient Status at Discharge]]="Died", 1,0)</f>
        <v>0</v>
      </c>
      <c r="V92">
        <f>Cardiac_Table[[#This Row],[Risk of Death % (Model 1)]]/100</f>
        <v>6.7799999999999999E-2</v>
      </c>
      <c r="W92">
        <f>Cardiac_Table[[#This Row],[Risk of Death % (Model 2)]]/100</f>
        <v>2.8500000000000001E-2</v>
      </c>
      <c r="X92" s="18">
        <f>Cardiac_Table[[#This Row],[Procedure Start Date and Time]]-Cardiac_Table[[#This Row],[Hospital Admit Date ]]</f>
        <v>0.11249999999563443</v>
      </c>
    </row>
    <row r="93" spans="1:24" x14ac:dyDescent="0.35">
      <c r="A93">
        <v>93</v>
      </c>
      <c r="B93" s="9">
        <v>43852.324999999997</v>
      </c>
      <c r="C93" s="10">
        <f>INT(Cardiac_Table[[#This Row],[Hospital Admit Date ]])</f>
        <v>43852</v>
      </c>
      <c r="D93" s="11" t="str">
        <f t="shared" si="1"/>
        <v>07:48</v>
      </c>
      <c r="E93" s="9">
        <v>43852.661111111112</v>
      </c>
      <c r="F93" s="10">
        <f>INT(Cardiac_Table[[#This Row],[Procedure Start Date and Time]])</f>
        <v>43852</v>
      </c>
      <c r="G93" s="12">
        <f>MOD(Cardiac_Table[[#This Row],[Procedure Start Date and Time]],1)</f>
        <v>0.66111111111240461</v>
      </c>
      <c r="H93">
        <v>5</v>
      </c>
      <c r="I93" t="s">
        <v>4</v>
      </c>
      <c r="J93" t="s">
        <v>3</v>
      </c>
      <c r="K93" t="s">
        <v>35</v>
      </c>
      <c r="L93">
        <v>83</v>
      </c>
      <c r="M93">
        <v>9.52</v>
      </c>
      <c r="N93">
        <v>3.08</v>
      </c>
      <c r="O93" t="s">
        <v>15</v>
      </c>
      <c r="P93">
        <v>172</v>
      </c>
      <c r="Q93">
        <v>172</v>
      </c>
      <c r="R93">
        <v>85</v>
      </c>
      <c r="S93">
        <v>60</v>
      </c>
      <c r="T93" t="s">
        <v>48</v>
      </c>
      <c r="U93">
        <f>IF(Cardiac_Table[[#This Row],[Patient Status at Discharge]]="Died", 1,0)</f>
        <v>0</v>
      </c>
      <c r="V93">
        <f>Cardiac_Table[[#This Row],[Risk of Death % (Model 1)]]/100</f>
        <v>9.5199999999999993E-2</v>
      </c>
      <c r="W93">
        <f>Cardiac_Table[[#This Row],[Risk of Death % (Model 2)]]/100</f>
        <v>3.0800000000000001E-2</v>
      </c>
      <c r="X93" s="18">
        <f>Cardiac_Table[[#This Row],[Procedure Start Date and Time]]-Cardiac_Table[[#This Row],[Hospital Admit Date ]]</f>
        <v>0.336111111115315</v>
      </c>
    </row>
    <row r="94" spans="1:24" x14ac:dyDescent="0.35">
      <c r="A94">
        <v>94</v>
      </c>
      <c r="B94" s="9">
        <v>43852.565972222219</v>
      </c>
      <c r="C94" s="10">
        <f>INT(Cardiac_Table[[#This Row],[Hospital Admit Date ]])</f>
        <v>43852</v>
      </c>
      <c r="D94" s="11" t="str">
        <f t="shared" si="1"/>
        <v>13:35</v>
      </c>
      <c r="E94" s="9">
        <v>43853.334722222222</v>
      </c>
      <c r="F94" s="10">
        <f>INT(Cardiac_Table[[#This Row],[Procedure Start Date and Time]])</f>
        <v>43853</v>
      </c>
      <c r="G94" s="12">
        <f>MOD(Cardiac_Table[[#This Row],[Procedure Start Date and Time]],1)</f>
        <v>0.33472222222189885</v>
      </c>
      <c r="H94">
        <v>3</v>
      </c>
      <c r="I94" t="s">
        <v>4</v>
      </c>
      <c r="J94" t="s">
        <v>11</v>
      </c>
      <c r="K94" t="s">
        <v>31</v>
      </c>
      <c r="L94">
        <v>70</v>
      </c>
      <c r="M94">
        <v>4.95</v>
      </c>
      <c r="N94">
        <v>2.48</v>
      </c>
      <c r="O94" t="s">
        <v>15</v>
      </c>
      <c r="P94">
        <v>79</v>
      </c>
      <c r="Q94">
        <v>174</v>
      </c>
      <c r="R94">
        <v>91</v>
      </c>
      <c r="S94">
        <v>50</v>
      </c>
      <c r="T94" t="s">
        <v>50</v>
      </c>
      <c r="U94">
        <f>IF(Cardiac_Table[[#This Row],[Patient Status at Discharge]]="Died", 1,0)</f>
        <v>0</v>
      </c>
      <c r="V94">
        <f>Cardiac_Table[[#This Row],[Risk of Death % (Model 1)]]/100</f>
        <v>4.9500000000000002E-2</v>
      </c>
      <c r="W94">
        <f>Cardiac_Table[[#This Row],[Risk of Death % (Model 2)]]/100</f>
        <v>2.4799999999999999E-2</v>
      </c>
      <c r="X94" s="18">
        <f>Cardiac_Table[[#This Row],[Procedure Start Date and Time]]-Cardiac_Table[[#This Row],[Hospital Admit Date ]]</f>
        <v>0.76875000000291038</v>
      </c>
    </row>
    <row r="95" spans="1:24" x14ac:dyDescent="0.35">
      <c r="A95">
        <v>95</v>
      </c>
      <c r="B95" s="9">
        <v>43840.475694444445</v>
      </c>
      <c r="C95" s="10">
        <f>INT(Cardiac_Table[[#This Row],[Hospital Admit Date ]])</f>
        <v>43840</v>
      </c>
      <c r="D95" s="11" t="str">
        <f t="shared" si="1"/>
        <v>11:25</v>
      </c>
      <c r="E95" s="9">
        <v>43853.344444444447</v>
      </c>
      <c r="F95" s="10">
        <f>INT(Cardiac_Table[[#This Row],[Procedure Start Date and Time]])</f>
        <v>43853</v>
      </c>
      <c r="G95" s="12">
        <f>MOD(Cardiac_Table[[#This Row],[Procedure Start Date and Time]],1)</f>
        <v>0.34444444444670808</v>
      </c>
      <c r="H95">
        <v>2</v>
      </c>
      <c r="I95" t="s">
        <v>6</v>
      </c>
      <c r="J95" t="s">
        <v>10</v>
      </c>
      <c r="K95" t="s">
        <v>20</v>
      </c>
      <c r="L95">
        <v>70</v>
      </c>
      <c r="M95">
        <v>19.100000000000001</v>
      </c>
      <c r="N95">
        <v>17.420000000000002</v>
      </c>
      <c r="O95" t="s">
        <v>15</v>
      </c>
      <c r="P95">
        <v>125</v>
      </c>
      <c r="Q95">
        <v>180</v>
      </c>
      <c r="R95">
        <v>105</v>
      </c>
      <c r="S95">
        <v>58</v>
      </c>
      <c r="T95" t="s">
        <v>48</v>
      </c>
      <c r="U95">
        <f>IF(Cardiac_Table[[#This Row],[Patient Status at Discharge]]="Died", 1,0)</f>
        <v>0</v>
      </c>
      <c r="V95">
        <f>Cardiac_Table[[#This Row],[Risk of Death % (Model 1)]]/100</f>
        <v>0.191</v>
      </c>
      <c r="W95">
        <f>Cardiac_Table[[#This Row],[Risk of Death % (Model 2)]]/100</f>
        <v>0.17420000000000002</v>
      </c>
      <c r="X95" s="18">
        <f>Cardiac_Table[[#This Row],[Procedure Start Date and Time]]-Cardiac_Table[[#This Row],[Hospital Admit Date ]]</f>
        <v>12.868750000001455</v>
      </c>
    </row>
    <row r="96" spans="1:24" x14ac:dyDescent="0.35">
      <c r="A96">
        <v>96</v>
      </c>
      <c r="B96" s="9">
        <v>43852.588194444441</v>
      </c>
      <c r="C96" s="10">
        <f>INT(Cardiac_Table[[#This Row],[Hospital Admit Date ]])</f>
        <v>43852</v>
      </c>
      <c r="D96" s="11" t="str">
        <f t="shared" si="1"/>
        <v>14:07</v>
      </c>
      <c r="E96" s="9">
        <v>43853.348611111112</v>
      </c>
      <c r="F96" s="10">
        <f>INT(Cardiac_Table[[#This Row],[Procedure Start Date and Time]])</f>
        <v>43853</v>
      </c>
      <c r="G96" s="12">
        <f>MOD(Cardiac_Table[[#This Row],[Procedure Start Date and Time]],1)</f>
        <v>0.34861111111240461</v>
      </c>
      <c r="H96">
        <v>5</v>
      </c>
      <c r="I96" t="s">
        <v>4</v>
      </c>
      <c r="J96" t="s">
        <v>3</v>
      </c>
      <c r="K96" t="s">
        <v>32</v>
      </c>
      <c r="L96">
        <v>74</v>
      </c>
      <c r="M96">
        <v>8.08</v>
      </c>
      <c r="N96">
        <v>4.37</v>
      </c>
      <c r="O96" t="s">
        <v>15</v>
      </c>
      <c r="P96">
        <v>88</v>
      </c>
      <c r="Q96">
        <v>174</v>
      </c>
      <c r="R96">
        <v>92</v>
      </c>
      <c r="S96">
        <v>44</v>
      </c>
      <c r="T96" t="s">
        <v>50</v>
      </c>
      <c r="U96">
        <f>IF(Cardiac_Table[[#This Row],[Patient Status at Discharge]]="Died", 1,0)</f>
        <v>0</v>
      </c>
      <c r="V96">
        <f>Cardiac_Table[[#This Row],[Risk of Death % (Model 1)]]/100</f>
        <v>8.0799999999999997E-2</v>
      </c>
      <c r="W96">
        <f>Cardiac_Table[[#This Row],[Risk of Death % (Model 2)]]/100</f>
        <v>4.3700000000000003E-2</v>
      </c>
      <c r="X96" s="18">
        <f>Cardiac_Table[[#This Row],[Procedure Start Date and Time]]-Cardiac_Table[[#This Row],[Hospital Admit Date ]]</f>
        <v>0.76041666667151731</v>
      </c>
    </row>
    <row r="97" spans="1:24" x14ac:dyDescent="0.35">
      <c r="A97">
        <v>97</v>
      </c>
      <c r="B97" s="9">
        <v>43852.4375</v>
      </c>
      <c r="C97" s="10">
        <f>INT(Cardiac_Table[[#This Row],[Hospital Admit Date ]])</f>
        <v>43852</v>
      </c>
      <c r="D97" s="11" t="str">
        <f t="shared" si="1"/>
        <v>10:30</v>
      </c>
      <c r="E97" s="9">
        <v>43853.349305555559</v>
      </c>
      <c r="F97" s="10">
        <f>INT(Cardiac_Table[[#This Row],[Procedure Start Date and Time]])</f>
        <v>43853</v>
      </c>
      <c r="G97" s="12">
        <f>MOD(Cardiac_Table[[#This Row],[Procedure Start Date and Time]],1)</f>
        <v>0.34930555555911269</v>
      </c>
      <c r="H97">
        <v>6</v>
      </c>
      <c r="I97" t="s">
        <v>6</v>
      </c>
      <c r="J97" t="s">
        <v>10</v>
      </c>
      <c r="K97" t="s">
        <v>22</v>
      </c>
      <c r="L97">
        <v>77</v>
      </c>
      <c r="M97">
        <v>7.7</v>
      </c>
      <c r="N97">
        <v>2.08</v>
      </c>
      <c r="O97" t="s">
        <v>15</v>
      </c>
      <c r="P97">
        <v>105</v>
      </c>
      <c r="Q97">
        <v>164</v>
      </c>
      <c r="R97">
        <v>86</v>
      </c>
      <c r="S97">
        <v>14</v>
      </c>
      <c r="T97" t="s">
        <v>51</v>
      </c>
      <c r="U97">
        <f>IF(Cardiac_Table[[#This Row],[Patient Status at Discharge]]="Died", 1,0)</f>
        <v>0</v>
      </c>
      <c r="V97">
        <f>Cardiac_Table[[#This Row],[Risk of Death % (Model 1)]]/100</f>
        <v>7.6999999999999999E-2</v>
      </c>
      <c r="W97">
        <f>Cardiac_Table[[#This Row],[Risk of Death % (Model 2)]]/100</f>
        <v>2.0799999999999999E-2</v>
      </c>
      <c r="X97" s="18">
        <f>Cardiac_Table[[#This Row],[Procedure Start Date and Time]]-Cardiac_Table[[#This Row],[Hospital Admit Date ]]</f>
        <v>0.91180555555911269</v>
      </c>
    </row>
    <row r="98" spans="1:24" x14ac:dyDescent="0.35">
      <c r="A98">
        <v>98</v>
      </c>
      <c r="B98" s="9">
        <v>43853.32708333333</v>
      </c>
      <c r="C98" s="10">
        <f>INT(Cardiac_Table[[#This Row],[Hospital Admit Date ]])</f>
        <v>43853</v>
      </c>
      <c r="D98" s="11" t="str">
        <f t="shared" si="1"/>
        <v>07:51</v>
      </c>
      <c r="E98" s="9">
        <v>43853.506944444445</v>
      </c>
      <c r="F98" s="10">
        <f>INT(Cardiac_Table[[#This Row],[Procedure Start Date and Time]])</f>
        <v>43853</v>
      </c>
      <c r="G98" s="12">
        <f>MOD(Cardiac_Table[[#This Row],[Procedure Start Date and Time]],1)</f>
        <v>0.50694444444525288</v>
      </c>
      <c r="H98">
        <v>5</v>
      </c>
      <c r="I98" t="s">
        <v>4</v>
      </c>
      <c r="J98" t="s">
        <v>3</v>
      </c>
      <c r="K98" t="s">
        <v>32</v>
      </c>
      <c r="L98">
        <v>79</v>
      </c>
      <c r="M98">
        <v>41.86</v>
      </c>
      <c r="N98">
        <v>14.21</v>
      </c>
      <c r="O98" t="s">
        <v>15</v>
      </c>
      <c r="P98">
        <v>127</v>
      </c>
      <c r="Q98">
        <v>175</v>
      </c>
      <c r="R98">
        <v>105</v>
      </c>
      <c r="S98">
        <v>45</v>
      </c>
      <c r="T98" t="s">
        <v>50</v>
      </c>
      <c r="U98">
        <f>IF(Cardiac_Table[[#This Row],[Patient Status at Discharge]]="Died", 1,0)</f>
        <v>0</v>
      </c>
      <c r="V98">
        <f>Cardiac_Table[[#This Row],[Risk of Death % (Model 1)]]/100</f>
        <v>0.41859999999999997</v>
      </c>
      <c r="W98">
        <f>Cardiac_Table[[#This Row],[Risk of Death % (Model 2)]]/100</f>
        <v>0.1421</v>
      </c>
      <c r="X98" s="18">
        <f>Cardiac_Table[[#This Row],[Procedure Start Date and Time]]-Cardiac_Table[[#This Row],[Hospital Admit Date ]]</f>
        <v>0.179861111115315</v>
      </c>
    </row>
    <row r="99" spans="1:24" x14ac:dyDescent="0.35">
      <c r="A99">
        <v>99</v>
      </c>
      <c r="B99" s="9">
        <v>43853.333333333336</v>
      </c>
      <c r="C99" s="10">
        <f>INT(Cardiac_Table[[#This Row],[Hospital Admit Date ]])</f>
        <v>43853</v>
      </c>
      <c r="D99" s="11" t="str">
        <f t="shared" si="1"/>
        <v>08:00</v>
      </c>
      <c r="E99" s="9">
        <v>43853.564583333333</v>
      </c>
      <c r="F99" s="10">
        <f>INT(Cardiac_Table[[#This Row],[Procedure Start Date and Time]])</f>
        <v>43853</v>
      </c>
      <c r="G99" s="12">
        <f>MOD(Cardiac_Table[[#This Row],[Procedure Start Date and Time]],1)</f>
        <v>0.56458333333284827</v>
      </c>
      <c r="H99">
        <v>2</v>
      </c>
      <c r="I99" t="s">
        <v>4</v>
      </c>
      <c r="J99" t="s">
        <v>10</v>
      </c>
      <c r="K99" t="s">
        <v>20</v>
      </c>
      <c r="L99">
        <v>52</v>
      </c>
      <c r="M99">
        <v>0.88</v>
      </c>
      <c r="N99">
        <v>0.56000000000000005</v>
      </c>
      <c r="O99" t="s">
        <v>15</v>
      </c>
      <c r="P99">
        <v>70</v>
      </c>
      <c r="Q99">
        <v>158</v>
      </c>
      <c r="R99">
        <v>87</v>
      </c>
      <c r="S99">
        <v>60</v>
      </c>
      <c r="T99" t="s">
        <v>48</v>
      </c>
      <c r="U99">
        <f>IF(Cardiac_Table[[#This Row],[Patient Status at Discharge]]="Died", 1,0)</f>
        <v>0</v>
      </c>
      <c r="V99">
        <f>Cardiac_Table[[#This Row],[Risk of Death % (Model 1)]]/100</f>
        <v>8.8000000000000005E-3</v>
      </c>
      <c r="W99">
        <f>Cardiac_Table[[#This Row],[Risk of Death % (Model 2)]]/100</f>
        <v>5.6000000000000008E-3</v>
      </c>
      <c r="X99" s="18">
        <f>Cardiac_Table[[#This Row],[Procedure Start Date and Time]]-Cardiac_Table[[#This Row],[Hospital Admit Date ]]</f>
        <v>0.23124999999708962</v>
      </c>
    </row>
    <row r="100" spans="1:24" x14ac:dyDescent="0.35">
      <c r="A100">
        <v>100</v>
      </c>
      <c r="B100" s="9">
        <v>43853.593055555553</v>
      </c>
      <c r="C100" s="10">
        <f>INT(Cardiac_Table[[#This Row],[Hospital Admit Date ]])</f>
        <v>43853</v>
      </c>
      <c r="D100" s="11" t="str">
        <f t="shared" si="1"/>
        <v>14:14</v>
      </c>
      <c r="E100" s="9">
        <v>43854.331250000003</v>
      </c>
      <c r="F100" s="10">
        <f>INT(Cardiac_Table[[#This Row],[Procedure Start Date and Time]])</f>
        <v>43854</v>
      </c>
      <c r="G100" s="12">
        <f>MOD(Cardiac_Table[[#This Row],[Procedure Start Date and Time]],1)</f>
        <v>0.33125000000291038</v>
      </c>
      <c r="H100">
        <v>6</v>
      </c>
      <c r="I100" t="s">
        <v>4</v>
      </c>
      <c r="J100" t="s">
        <v>3</v>
      </c>
      <c r="K100" t="s">
        <v>35</v>
      </c>
      <c r="L100">
        <v>73</v>
      </c>
      <c r="M100">
        <v>3.74</v>
      </c>
      <c r="N100">
        <v>0.73</v>
      </c>
      <c r="O100" t="s">
        <v>15</v>
      </c>
      <c r="P100">
        <v>82</v>
      </c>
      <c r="Q100">
        <v>182</v>
      </c>
      <c r="R100">
        <v>81</v>
      </c>
      <c r="S100">
        <v>60</v>
      </c>
      <c r="T100" t="s">
        <v>48</v>
      </c>
      <c r="U100">
        <f>IF(Cardiac_Table[[#This Row],[Patient Status at Discharge]]="Died", 1,0)</f>
        <v>0</v>
      </c>
      <c r="V100">
        <f>Cardiac_Table[[#This Row],[Risk of Death % (Model 1)]]/100</f>
        <v>3.7400000000000003E-2</v>
      </c>
      <c r="W100">
        <f>Cardiac_Table[[#This Row],[Risk of Death % (Model 2)]]/100</f>
        <v>7.3000000000000001E-3</v>
      </c>
      <c r="X100" s="18">
        <f>Cardiac_Table[[#This Row],[Procedure Start Date and Time]]-Cardiac_Table[[#This Row],[Hospital Admit Date ]]</f>
        <v>0.73819444444961846</v>
      </c>
    </row>
    <row r="101" spans="1:24" x14ac:dyDescent="0.35">
      <c r="A101">
        <v>101</v>
      </c>
      <c r="B101" s="9">
        <v>43853.571527777778</v>
      </c>
      <c r="C101" s="10">
        <f>INT(Cardiac_Table[[#This Row],[Hospital Admit Date ]])</f>
        <v>43853</v>
      </c>
      <c r="D101" s="11" t="str">
        <f t="shared" si="1"/>
        <v>13:43</v>
      </c>
      <c r="E101" s="9">
        <v>43854.331944444442</v>
      </c>
      <c r="F101" s="10">
        <f>INT(Cardiac_Table[[#This Row],[Procedure Start Date and Time]])</f>
        <v>43854</v>
      </c>
      <c r="G101" s="12">
        <f>MOD(Cardiac_Table[[#This Row],[Procedure Start Date and Time]],1)</f>
        <v>0.3319444444423425</v>
      </c>
      <c r="H101">
        <v>2</v>
      </c>
      <c r="I101" t="s">
        <v>4</v>
      </c>
      <c r="J101" t="s">
        <v>11</v>
      </c>
      <c r="K101" t="s">
        <v>21</v>
      </c>
      <c r="L101">
        <v>59</v>
      </c>
      <c r="M101">
        <v>2.27</v>
      </c>
      <c r="N101">
        <v>5.8</v>
      </c>
      <c r="O101" t="s">
        <v>15</v>
      </c>
      <c r="P101">
        <v>76</v>
      </c>
      <c r="Q101">
        <v>162</v>
      </c>
      <c r="R101">
        <v>83</v>
      </c>
      <c r="S101">
        <v>49</v>
      </c>
      <c r="T101" t="s">
        <v>50</v>
      </c>
      <c r="U101">
        <f>IF(Cardiac_Table[[#This Row],[Patient Status at Discharge]]="Died", 1,0)</f>
        <v>0</v>
      </c>
      <c r="V101">
        <f>Cardiac_Table[[#This Row],[Risk of Death % (Model 1)]]/100</f>
        <v>2.2700000000000001E-2</v>
      </c>
      <c r="W101">
        <f>Cardiac_Table[[#This Row],[Risk of Death % (Model 2)]]/100</f>
        <v>5.7999999999999996E-2</v>
      </c>
      <c r="X101" s="18">
        <f>Cardiac_Table[[#This Row],[Procedure Start Date and Time]]-Cardiac_Table[[#This Row],[Hospital Admit Date ]]</f>
        <v>0.76041666666424135</v>
      </c>
    </row>
    <row r="102" spans="1:24" x14ac:dyDescent="0.35">
      <c r="A102">
        <v>102</v>
      </c>
      <c r="B102" s="9">
        <v>43853.45208333333</v>
      </c>
      <c r="C102" s="10">
        <f>INT(Cardiac_Table[[#This Row],[Hospital Admit Date ]])</f>
        <v>43853</v>
      </c>
      <c r="D102" s="11" t="str">
        <f t="shared" si="1"/>
        <v>10:51</v>
      </c>
      <c r="E102" s="9">
        <v>43854.338194444441</v>
      </c>
      <c r="F102" s="10">
        <f>INT(Cardiac_Table[[#This Row],[Procedure Start Date and Time]])</f>
        <v>43854</v>
      </c>
      <c r="G102" s="12">
        <f>MOD(Cardiac_Table[[#This Row],[Procedure Start Date and Time]],1)</f>
        <v>0.33819444444088731</v>
      </c>
      <c r="H102">
        <v>5</v>
      </c>
      <c r="I102" t="s">
        <v>4</v>
      </c>
      <c r="J102" t="s">
        <v>3</v>
      </c>
      <c r="K102" t="s">
        <v>22</v>
      </c>
      <c r="L102">
        <v>52</v>
      </c>
      <c r="M102">
        <v>1.51</v>
      </c>
      <c r="N102">
        <v>0.5</v>
      </c>
      <c r="O102" t="s">
        <v>15</v>
      </c>
      <c r="P102">
        <v>84</v>
      </c>
      <c r="Q102">
        <v>166</v>
      </c>
      <c r="R102">
        <v>109</v>
      </c>
      <c r="S102">
        <v>45</v>
      </c>
      <c r="T102" t="s">
        <v>50</v>
      </c>
      <c r="U102">
        <f>IF(Cardiac_Table[[#This Row],[Patient Status at Discharge]]="Died", 1,0)</f>
        <v>0</v>
      </c>
      <c r="V102">
        <f>Cardiac_Table[[#This Row],[Risk of Death % (Model 1)]]/100</f>
        <v>1.5100000000000001E-2</v>
      </c>
      <c r="W102">
        <f>Cardiac_Table[[#This Row],[Risk of Death % (Model 2)]]/100</f>
        <v>5.0000000000000001E-3</v>
      </c>
      <c r="X102" s="18">
        <f>Cardiac_Table[[#This Row],[Procedure Start Date and Time]]-Cardiac_Table[[#This Row],[Hospital Admit Date ]]</f>
        <v>0.88611111111094942</v>
      </c>
    </row>
    <row r="103" spans="1:24" x14ac:dyDescent="0.35">
      <c r="A103">
        <v>103</v>
      </c>
      <c r="B103" s="9">
        <v>43854.29791666667</v>
      </c>
      <c r="C103" s="10">
        <f>INT(Cardiac_Table[[#This Row],[Hospital Admit Date ]])</f>
        <v>43854</v>
      </c>
      <c r="D103" s="11" t="str">
        <f t="shared" si="1"/>
        <v>07:09</v>
      </c>
      <c r="E103" s="9">
        <v>43854.378472222219</v>
      </c>
      <c r="F103" s="10">
        <f>INT(Cardiac_Table[[#This Row],[Procedure Start Date and Time]])</f>
        <v>43854</v>
      </c>
      <c r="G103" s="12">
        <f>MOD(Cardiac_Table[[#This Row],[Procedure Start Date and Time]],1)</f>
        <v>0.37847222221898846</v>
      </c>
      <c r="H103">
        <v>3</v>
      </c>
      <c r="I103" t="s">
        <v>4</v>
      </c>
      <c r="J103" t="s">
        <v>10</v>
      </c>
      <c r="K103" t="s">
        <v>33</v>
      </c>
      <c r="L103">
        <v>48</v>
      </c>
      <c r="M103">
        <v>1.33</v>
      </c>
      <c r="N103">
        <v>0.69</v>
      </c>
      <c r="O103" t="s">
        <v>15</v>
      </c>
      <c r="P103">
        <v>80</v>
      </c>
      <c r="Q103">
        <v>180</v>
      </c>
      <c r="R103">
        <v>97</v>
      </c>
      <c r="S103">
        <v>42</v>
      </c>
      <c r="T103" t="s">
        <v>50</v>
      </c>
      <c r="U103">
        <f>IF(Cardiac_Table[[#This Row],[Patient Status at Discharge]]="Died", 1,0)</f>
        <v>0</v>
      </c>
      <c r="V103">
        <f>Cardiac_Table[[#This Row],[Risk of Death % (Model 1)]]/100</f>
        <v>1.3300000000000001E-2</v>
      </c>
      <c r="W103">
        <f>Cardiac_Table[[#This Row],[Risk of Death % (Model 2)]]/100</f>
        <v>6.8999999999999999E-3</v>
      </c>
      <c r="X103" s="18">
        <f>Cardiac_Table[[#This Row],[Procedure Start Date and Time]]-Cardiac_Table[[#This Row],[Hospital Admit Date ]]</f>
        <v>8.055555554892635E-2</v>
      </c>
    </row>
    <row r="104" spans="1:24" x14ac:dyDescent="0.35">
      <c r="A104">
        <v>104</v>
      </c>
      <c r="B104" s="9">
        <v>43854.333333333336</v>
      </c>
      <c r="C104" s="10">
        <f>INT(Cardiac_Table[[#This Row],[Hospital Admit Date ]])</f>
        <v>43854</v>
      </c>
      <c r="D104" s="11" t="str">
        <f t="shared" si="1"/>
        <v>08:00</v>
      </c>
      <c r="E104" s="9">
        <v>43854.527777777781</v>
      </c>
      <c r="F104" s="10">
        <f>INT(Cardiac_Table[[#This Row],[Procedure Start Date and Time]])</f>
        <v>43854</v>
      </c>
      <c r="G104" s="12">
        <f>MOD(Cardiac_Table[[#This Row],[Procedure Start Date and Time]],1)</f>
        <v>0.52777777778101154</v>
      </c>
      <c r="H104">
        <v>5</v>
      </c>
      <c r="I104" t="s">
        <v>4</v>
      </c>
      <c r="J104" t="s">
        <v>10</v>
      </c>
      <c r="K104" t="s">
        <v>22</v>
      </c>
      <c r="L104">
        <v>78</v>
      </c>
      <c r="M104">
        <v>13.36</v>
      </c>
      <c r="N104">
        <v>4.51</v>
      </c>
      <c r="O104" t="s">
        <v>15</v>
      </c>
      <c r="P104">
        <v>85</v>
      </c>
      <c r="Q104">
        <v>180</v>
      </c>
      <c r="R104">
        <v>118</v>
      </c>
      <c r="S104">
        <v>55</v>
      </c>
      <c r="T104" t="s">
        <v>48</v>
      </c>
      <c r="U104">
        <f>IF(Cardiac_Table[[#This Row],[Patient Status at Discharge]]="Died", 1,0)</f>
        <v>0</v>
      </c>
      <c r="V104">
        <f>Cardiac_Table[[#This Row],[Risk of Death % (Model 1)]]/100</f>
        <v>0.1336</v>
      </c>
      <c r="W104">
        <f>Cardiac_Table[[#This Row],[Risk of Death % (Model 2)]]/100</f>
        <v>4.5100000000000001E-2</v>
      </c>
      <c r="X104" s="18">
        <f>Cardiac_Table[[#This Row],[Procedure Start Date and Time]]-Cardiac_Table[[#This Row],[Hospital Admit Date ]]</f>
        <v>0.19444444444525288</v>
      </c>
    </row>
    <row r="105" spans="1:24" x14ac:dyDescent="0.35">
      <c r="A105">
        <v>105</v>
      </c>
      <c r="B105" s="9">
        <v>43854.299305555556</v>
      </c>
      <c r="C105" s="10">
        <f>INT(Cardiac_Table[[#This Row],[Hospital Admit Date ]])</f>
        <v>43854</v>
      </c>
      <c r="D105" s="11" t="str">
        <f t="shared" si="1"/>
        <v>07:11</v>
      </c>
      <c r="E105" s="9">
        <v>43854.54583333333</v>
      </c>
      <c r="F105" s="10">
        <f>INT(Cardiac_Table[[#This Row],[Procedure Start Date and Time]])</f>
        <v>43854</v>
      </c>
      <c r="G105" s="12">
        <f>MOD(Cardiac_Table[[#This Row],[Procedure Start Date and Time]],1)</f>
        <v>0.54583333332993789</v>
      </c>
      <c r="H105">
        <v>6</v>
      </c>
      <c r="I105" t="s">
        <v>4</v>
      </c>
      <c r="J105" t="s">
        <v>3</v>
      </c>
      <c r="K105" t="s">
        <v>35</v>
      </c>
      <c r="L105">
        <v>68</v>
      </c>
      <c r="M105">
        <v>9.5500000000000007</v>
      </c>
      <c r="N105">
        <v>10.31</v>
      </c>
      <c r="O105" t="s">
        <v>15</v>
      </c>
      <c r="P105">
        <v>95</v>
      </c>
      <c r="Q105">
        <v>175</v>
      </c>
      <c r="R105">
        <v>80</v>
      </c>
      <c r="S105">
        <v>65</v>
      </c>
      <c r="T105" t="s">
        <v>48</v>
      </c>
      <c r="U105">
        <f>IF(Cardiac_Table[[#This Row],[Patient Status at Discharge]]="Died", 1,0)</f>
        <v>0</v>
      </c>
      <c r="V105">
        <f>Cardiac_Table[[#This Row],[Risk of Death % (Model 1)]]/100</f>
        <v>9.5500000000000002E-2</v>
      </c>
      <c r="W105">
        <f>Cardiac_Table[[#This Row],[Risk of Death % (Model 2)]]/100</f>
        <v>0.10310000000000001</v>
      </c>
      <c r="X105" s="18">
        <f>Cardiac_Table[[#This Row],[Procedure Start Date and Time]]-Cardiac_Table[[#This Row],[Hospital Admit Date ]]</f>
        <v>0.24652777777373558</v>
      </c>
    </row>
    <row r="106" spans="1:24" x14ac:dyDescent="0.35">
      <c r="A106">
        <v>107</v>
      </c>
      <c r="B106" s="9">
        <v>43854.666666666664</v>
      </c>
      <c r="C106" s="10">
        <f>INT(Cardiac_Table[[#This Row],[Hospital Admit Date ]])</f>
        <v>43854</v>
      </c>
      <c r="D106" s="11" t="str">
        <f t="shared" si="1"/>
        <v>16:00</v>
      </c>
      <c r="E106" s="9">
        <v>43855.333333333336</v>
      </c>
      <c r="F106" s="10">
        <f>INT(Cardiac_Table[[#This Row],[Procedure Start Date and Time]])</f>
        <v>43855</v>
      </c>
      <c r="G106" s="12">
        <f>MOD(Cardiac_Table[[#This Row],[Procedure Start Date and Time]],1)</f>
        <v>0.33333333333575865</v>
      </c>
      <c r="H106">
        <v>2</v>
      </c>
      <c r="I106" t="s">
        <v>4</v>
      </c>
      <c r="J106" t="s">
        <v>1</v>
      </c>
      <c r="K106" t="s">
        <v>23</v>
      </c>
      <c r="L106">
        <v>68</v>
      </c>
      <c r="M106">
        <v>8.16</v>
      </c>
      <c r="N106">
        <v>5.5</v>
      </c>
      <c r="O106" t="s">
        <v>15</v>
      </c>
      <c r="P106">
        <v>121</v>
      </c>
      <c r="Q106">
        <v>166</v>
      </c>
      <c r="R106">
        <v>67</v>
      </c>
      <c r="S106">
        <v>64</v>
      </c>
      <c r="T106" t="s">
        <v>48</v>
      </c>
      <c r="U106">
        <f>IF(Cardiac_Table[[#This Row],[Patient Status at Discharge]]="Died", 1,0)</f>
        <v>0</v>
      </c>
      <c r="V106">
        <f>Cardiac_Table[[#This Row],[Risk of Death % (Model 1)]]/100</f>
        <v>8.1600000000000006E-2</v>
      </c>
      <c r="W106">
        <f>Cardiac_Table[[#This Row],[Risk of Death % (Model 2)]]/100</f>
        <v>5.5E-2</v>
      </c>
      <c r="X106" s="18">
        <f>Cardiac_Table[[#This Row],[Procedure Start Date and Time]]-Cardiac_Table[[#This Row],[Hospital Admit Date ]]</f>
        <v>0.66666666667151731</v>
      </c>
    </row>
    <row r="107" spans="1:24" x14ac:dyDescent="0.35">
      <c r="A107">
        <v>108</v>
      </c>
      <c r="B107" s="9">
        <v>43854.583333333336</v>
      </c>
      <c r="C107" s="10">
        <f>INT(Cardiac_Table[[#This Row],[Hospital Admit Date ]])</f>
        <v>43854</v>
      </c>
      <c r="D107" s="11" t="str">
        <f t="shared" si="1"/>
        <v>14:00</v>
      </c>
      <c r="E107" s="9">
        <v>43855.333333333336</v>
      </c>
      <c r="F107" s="10">
        <f>INT(Cardiac_Table[[#This Row],[Procedure Start Date and Time]])</f>
        <v>43855</v>
      </c>
      <c r="G107" s="12">
        <f>MOD(Cardiac_Table[[#This Row],[Procedure Start Date and Time]],1)</f>
        <v>0.33333333333575865</v>
      </c>
      <c r="H107">
        <v>5</v>
      </c>
      <c r="I107" t="s">
        <v>4</v>
      </c>
      <c r="J107" t="s">
        <v>10</v>
      </c>
      <c r="K107" t="s">
        <v>25</v>
      </c>
      <c r="L107">
        <v>75</v>
      </c>
      <c r="M107">
        <v>4.0599999999999996</v>
      </c>
      <c r="N107">
        <v>1.03</v>
      </c>
      <c r="O107" t="s">
        <v>15</v>
      </c>
      <c r="P107">
        <v>83</v>
      </c>
      <c r="Q107">
        <v>178</v>
      </c>
      <c r="R107">
        <v>97</v>
      </c>
      <c r="S107">
        <v>55</v>
      </c>
      <c r="T107" t="s">
        <v>48</v>
      </c>
      <c r="U107">
        <f>IF(Cardiac_Table[[#This Row],[Patient Status at Discharge]]="Died", 1,0)</f>
        <v>0</v>
      </c>
      <c r="V107">
        <f>Cardiac_Table[[#This Row],[Risk of Death % (Model 1)]]/100</f>
        <v>4.0599999999999997E-2</v>
      </c>
      <c r="W107">
        <f>Cardiac_Table[[#This Row],[Risk of Death % (Model 2)]]/100</f>
        <v>1.03E-2</v>
      </c>
      <c r="X107" s="18">
        <f>Cardiac_Table[[#This Row],[Procedure Start Date and Time]]-Cardiac_Table[[#This Row],[Hospital Admit Date ]]</f>
        <v>0.75</v>
      </c>
    </row>
    <row r="108" spans="1:24" x14ac:dyDescent="0.35">
      <c r="A108">
        <v>109</v>
      </c>
      <c r="B108" s="9">
        <v>43854.666666666664</v>
      </c>
      <c r="C108" s="10">
        <f>INT(Cardiac_Table[[#This Row],[Hospital Admit Date ]])</f>
        <v>43854</v>
      </c>
      <c r="D108" s="11" t="str">
        <f t="shared" si="1"/>
        <v>16:00</v>
      </c>
      <c r="E108" s="9">
        <v>43855.570833333331</v>
      </c>
      <c r="F108" s="10">
        <f>INT(Cardiac_Table[[#This Row],[Procedure Start Date and Time]])</f>
        <v>43855</v>
      </c>
      <c r="G108" s="12">
        <f>MOD(Cardiac_Table[[#This Row],[Procedure Start Date and Time]],1)</f>
        <v>0.57083333333139308</v>
      </c>
      <c r="H108">
        <v>2</v>
      </c>
      <c r="I108" t="s">
        <v>4</v>
      </c>
      <c r="J108" t="s">
        <v>3</v>
      </c>
      <c r="K108" t="s">
        <v>23</v>
      </c>
      <c r="L108">
        <v>76</v>
      </c>
      <c r="M108">
        <v>14.34</v>
      </c>
      <c r="N108">
        <v>4.18</v>
      </c>
      <c r="O108" t="s">
        <v>15</v>
      </c>
      <c r="P108">
        <v>71</v>
      </c>
      <c r="Q108">
        <v>180</v>
      </c>
      <c r="R108">
        <v>83</v>
      </c>
      <c r="S108">
        <v>45</v>
      </c>
      <c r="T108" t="s">
        <v>50</v>
      </c>
      <c r="U108">
        <f>IF(Cardiac_Table[[#This Row],[Patient Status at Discharge]]="Died", 1,0)</f>
        <v>0</v>
      </c>
      <c r="V108">
        <f>Cardiac_Table[[#This Row],[Risk of Death % (Model 1)]]/100</f>
        <v>0.1434</v>
      </c>
      <c r="W108">
        <f>Cardiac_Table[[#This Row],[Risk of Death % (Model 2)]]/100</f>
        <v>4.1799999999999997E-2</v>
      </c>
      <c r="X108" s="18">
        <f>Cardiac_Table[[#This Row],[Procedure Start Date and Time]]-Cardiac_Table[[#This Row],[Hospital Admit Date ]]</f>
        <v>0.90416666666715173</v>
      </c>
    </row>
    <row r="109" spans="1:24" x14ac:dyDescent="0.35">
      <c r="A109">
        <v>110</v>
      </c>
      <c r="B109" s="9">
        <v>43856.568749999999</v>
      </c>
      <c r="C109" s="10">
        <f>INT(Cardiac_Table[[#This Row],[Hospital Admit Date ]])</f>
        <v>43856</v>
      </c>
      <c r="D109" s="11" t="str">
        <f t="shared" si="1"/>
        <v>13:39</v>
      </c>
      <c r="E109" s="9">
        <v>43857.32916666667</v>
      </c>
      <c r="F109" s="10">
        <f>INT(Cardiac_Table[[#This Row],[Procedure Start Date and Time]])</f>
        <v>43857</v>
      </c>
      <c r="G109" s="12">
        <f>MOD(Cardiac_Table[[#This Row],[Procedure Start Date and Time]],1)</f>
        <v>0.32916666667006211</v>
      </c>
      <c r="H109">
        <v>2</v>
      </c>
      <c r="I109" t="s">
        <v>4</v>
      </c>
      <c r="J109" t="s">
        <v>11</v>
      </c>
      <c r="K109" t="s">
        <v>31</v>
      </c>
      <c r="L109">
        <v>66</v>
      </c>
      <c r="M109">
        <v>2.38</v>
      </c>
      <c r="N109">
        <v>1.1399999999999999</v>
      </c>
      <c r="O109" t="s">
        <v>15</v>
      </c>
      <c r="P109">
        <v>91</v>
      </c>
      <c r="Q109">
        <v>150</v>
      </c>
      <c r="R109">
        <v>63</v>
      </c>
      <c r="S109">
        <v>55</v>
      </c>
      <c r="T109" t="s">
        <v>48</v>
      </c>
      <c r="U109">
        <f>IF(Cardiac_Table[[#This Row],[Patient Status at Discharge]]="Died", 1,0)</f>
        <v>0</v>
      </c>
      <c r="V109">
        <f>Cardiac_Table[[#This Row],[Risk of Death % (Model 1)]]/100</f>
        <v>2.3799999999999998E-2</v>
      </c>
      <c r="W109">
        <f>Cardiac_Table[[#This Row],[Risk of Death % (Model 2)]]/100</f>
        <v>1.1399999999999999E-2</v>
      </c>
      <c r="X109" s="18">
        <f>Cardiac_Table[[#This Row],[Procedure Start Date and Time]]-Cardiac_Table[[#This Row],[Hospital Admit Date ]]</f>
        <v>0.76041666667151731</v>
      </c>
    </row>
    <row r="110" spans="1:24" x14ac:dyDescent="0.35">
      <c r="A110">
        <v>111</v>
      </c>
      <c r="B110" s="9">
        <v>43853.458333333336</v>
      </c>
      <c r="C110" s="10">
        <f>INT(Cardiac_Table[[#This Row],[Hospital Admit Date ]])</f>
        <v>43853</v>
      </c>
      <c r="D110" s="11" t="str">
        <f t="shared" si="1"/>
        <v>11:00</v>
      </c>
      <c r="E110" s="9">
        <v>43857.332638888889</v>
      </c>
      <c r="F110" s="10">
        <f>INT(Cardiac_Table[[#This Row],[Procedure Start Date and Time]])</f>
        <v>43857</v>
      </c>
      <c r="G110" s="12">
        <f>MOD(Cardiac_Table[[#This Row],[Procedure Start Date and Time]],1)</f>
        <v>0.33263888888905058</v>
      </c>
      <c r="H110">
        <v>5</v>
      </c>
      <c r="I110" t="s">
        <v>6</v>
      </c>
      <c r="J110" t="s">
        <v>11</v>
      </c>
      <c r="K110" t="s">
        <v>32</v>
      </c>
      <c r="L110">
        <v>75</v>
      </c>
      <c r="M110">
        <v>9.9499999999999993</v>
      </c>
      <c r="N110">
        <v>5.24</v>
      </c>
      <c r="O110" t="s">
        <v>15</v>
      </c>
      <c r="P110">
        <v>83</v>
      </c>
      <c r="Q110">
        <v>163</v>
      </c>
      <c r="R110">
        <v>85</v>
      </c>
      <c r="S110">
        <v>50</v>
      </c>
      <c r="T110" t="s">
        <v>50</v>
      </c>
      <c r="U110">
        <f>IF(Cardiac_Table[[#This Row],[Patient Status at Discharge]]="Died", 1,0)</f>
        <v>0</v>
      </c>
      <c r="V110">
        <f>Cardiac_Table[[#This Row],[Risk of Death % (Model 1)]]/100</f>
        <v>9.9499999999999991E-2</v>
      </c>
      <c r="W110">
        <f>Cardiac_Table[[#This Row],[Risk of Death % (Model 2)]]/100</f>
        <v>5.2400000000000002E-2</v>
      </c>
      <c r="X110" s="18">
        <f>Cardiac_Table[[#This Row],[Procedure Start Date and Time]]-Cardiac_Table[[#This Row],[Hospital Admit Date ]]</f>
        <v>3.8743055555532919</v>
      </c>
    </row>
    <row r="111" spans="1:24" x14ac:dyDescent="0.35">
      <c r="A111">
        <v>112</v>
      </c>
      <c r="B111" s="9">
        <v>43856.583333333336</v>
      </c>
      <c r="C111" s="10">
        <f>INT(Cardiac_Table[[#This Row],[Hospital Admit Date ]])</f>
        <v>43856</v>
      </c>
      <c r="D111" s="11" t="str">
        <f t="shared" si="1"/>
        <v>14:00</v>
      </c>
      <c r="E111" s="9">
        <v>43857.354166666664</v>
      </c>
      <c r="F111" s="10">
        <f>INT(Cardiac_Table[[#This Row],[Procedure Start Date and Time]])</f>
        <v>43857</v>
      </c>
      <c r="G111" s="12">
        <f>MOD(Cardiac_Table[[#This Row],[Procedure Start Date and Time]],1)</f>
        <v>0.35416666666424135</v>
      </c>
      <c r="H111">
        <v>6</v>
      </c>
      <c r="I111" t="s">
        <v>4</v>
      </c>
      <c r="J111" t="s">
        <v>10</v>
      </c>
      <c r="K111" t="s">
        <v>23</v>
      </c>
      <c r="L111">
        <v>75</v>
      </c>
      <c r="M111">
        <v>7.16</v>
      </c>
      <c r="N111">
        <v>1.71</v>
      </c>
      <c r="O111" t="s">
        <v>15</v>
      </c>
      <c r="P111">
        <v>93</v>
      </c>
      <c r="Q111">
        <v>150</v>
      </c>
      <c r="R111">
        <v>74</v>
      </c>
      <c r="S111">
        <v>60</v>
      </c>
      <c r="T111" t="s">
        <v>48</v>
      </c>
      <c r="U111">
        <f>IF(Cardiac_Table[[#This Row],[Patient Status at Discharge]]="Died", 1,0)</f>
        <v>0</v>
      </c>
      <c r="V111">
        <f>Cardiac_Table[[#This Row],[Risk of Death % (Model 1)]]/100</f>
        <v>7.1599999999999997E-2</v>
      </c>
      <c r="W111">
        <f>Cardiac_Table[[#This Row],[Risk of Death % (Model 2)]]/100</f>
        <v>1.7100000000000001E-2</v>
      </c>
      <c r="X111" s="18">
        <f>Cardiac_Table[[#This Row],[Procedure Start Date and Time]]-Cardiac_Table[[#This Row],[Hospital Admit Date ]]</f>
        <v>0.77083333332848269</v>
      </c>
    </row>
    <row r="112" spans="1:24" x14ac:dyDescent="0.35">
      <c r="A112">
        <v>113</v>
      </c>
      <c r="B112" s="9">
        <v>43856.583333333336</v>
      </c>
      <c r="C112" s="10">
        <f>INT(Cardiac_Table[[#This Row],[Hospital Admit Date ]])</f>
        <v>43856</v>
      </c>
      <c r="D112" s="11" t="str">
        <f t="shared" si="1"/>
        <v>14:00</v>
      </c>
      <c r="E112" s="9">
        <v>43857.442361111112</v>
      </c>
      <c r="F112" s="10">
        <f>INT(Cardiac_Table[[#This Row],[Procedure Start Date and Time]])</f>
        <v>43857</v>
      </c>
      <c r="G112" s="12">
        <f>MOD(Cardiac_Table[[#This Row],[Procedure Start Date and Time]],1)</f>
        <v>0.44236111111240461</v>
      </c>
      <c r="H112">
        <v>3</v>
      </c>
      <c r="I112" t="s">
        <v>4</v>
      </c>
      <c r="J112" t="s">
        <v>11</v>
      </c>
      <c r="K112" t="s">
        <v>33</v>
      </c>
      <c r="L112">
        <v>80</v>
      </c>
      <c r="M112">
        <v>5.83</v>
      </c>
      <c r="N112">
        <v>2.0299999999999998</v>
      </c>
      <c r="O112" t="s">
        <v>15</v>
      </c>
      <c r="P112">
        <v>74</v>
      </c>
      <c r="Q112">
        <v>162</v>
      </c>
      <c r="R112">
        <v>59</v>
      </c>
      <c r="S112">
        <v>52</v>
      </c>
      <c r="T112" t="s">
        <v>48</v>
      </c>
      <c r="U112">
        <f>IF(Cardiac_Table[[#This Row],[Patient Status at Discharge]]="Died", 1,0)</f>
        <v>0</v>
      </c>
      <c r="V112">
        <f>Cardiac_Table[[#This Row],[Risk of Death % (Model 1)]]/100</f>
        <v>5.8299999999999998E-2</v>
      </c>
      <c r="W112">
        <f>Cardiac_Table[[#This Row],[Risk of Death % (Model 2)]]/100</f>
        <v>2.0299999999999999E-2</v>
      </c>
      <c r="X112" s="18">
        <f>Cardiac_Table[[#This Row],[Procedure Start Date and Time]]-Cardiac_Table[[#This Row],[Hospital Admit Date ]]</f>
        <v>0.85902777777664596</v>
      </c>
    </row>
    <row r="113" spans="1:24" x14ac:dyDescent="0.35">
      <c r="A113">
        <v>114</v>
      </c>
      <c r="B113" s="9">
        <v>43857.350694444445</v>
      </c>
      <c r="C113" s="10">
        <f>INT(Cardiac_Table[[#This Row],[Hospital Admit Date ]])</f>
        <v>43857</v>
      </c>
      <c r="D113" s="11" t="str">
        <f t="shared" si="1"/>
        <v>08:25</v>
      </c>
      <c r="E113" s="9">
        <v>43857.527083333334</v>
      </c>
      <c r="F113" s="10">
        <f>INT(Cardiac_Table[[#This Row],[Procedure Start Date and Time]])</f>
        <v>43857</v>
      </c>
      <c r="G113" s="12">
        <f>MOD(Cardiac_Table[[#This Row],[Procedure Start Date and Time]],1)</f>
        <v>0.52708333333430346</v>
      </c>
      <c r="H113">
        <v>6</v>
      </c>
      <c r="I113" t="s">
        <v>6</v>
      </c>
      <c r="J113" t="s">
        <v>3</v>
      </c>
      <c r="K113" t="s">
        <v>23</v>
      </c>
      <c r="L113">
        <v>81</v>
      </c>
      <c r="M113">
        <v>8.44</v>
      </c>
      <c r="N113">
        <v>5.86</v>
      </c>
      <c r="O113" t="s">
        <v>15</v>
      </c>
      <c r="P113">
        <v>80</v>
      </c>
      <c r="Q113">
        <v>176</v>
      </c>
      <c r="R113">
        <v>84</v>
      </c>
      <c r="S113">
        <v>55</v>
      </c>
      <c r="T113" t="s">
        <v>48</v>
      </c>
      <c r="U113">
        <f>IF(Cardiac_Table[[#This Row],[Patient Status at Discharge]]="Died", 1,0)</f>
        <v>0</v>
      </c>
      <c r="V113">
        <f>Cardiac_Table[[#This Row],[Risk of Death % (Model 1)]]/100</f>
        <v>8.4399999999999989E-2</v>
      </c>
      <c r="W113">
        <f>Cardiac_Table[[#This Row],[Risk of Death % (Model 2)]]/100</f>
        <v>5.8600000000000006E-2</v>
      </c>
      <c r="X113" s="18">
        <f>Cardiac_Table[[#This Row],[Procedure Start Date and Time]]-Cardiac_Table[[#This Row],[Hospital Admit Date ]]</f>
        <v>0.17638888888905058</v>
      </c>
    </row>
    <row r="114" spans="1:24" x14ac:dyDescent="0.35">
      <c r="A114">
        <v>115</v>
      </c>
      <c r="B114" s="9">
        <v>43857.328472222223</v>
      </c>
      <c r="C114" s="10">
        <f>INT(Cardiac_Table[[#This Row],[Hospital Admit Date ]])</f>
        <v>43857</v>
      </c>
      <c r="D114" s="11" t="str">
        <f t="shared" si="1"/>
        <v>07:53</v>
      </c>
      <c r="E114" s="9">
        <v>43857.548611111109</v>
      </c>
      <c r="F114" s="10">
        <f>INT(Cardiac_Table[[#This Row],[Procedure Start Date and Time]])</f>
        <v>43857</v>
      </c>
      <c r="G114" s="12">
        <f>MOD(Cardiac_Table[[#This Row],[Procedure Start Date and Time]],1)</f>
        <v>0.54861111110949423</v>
      </c>
      <c r="H114">
        <v>5</v>
      </c>
      <c r="I114" t="s">
        <v>4</v>
      </c>
      <c r="J114" t="s">
        <v>3</v>
      </c>
      <c r="K114" t="s">
        <v>32</v>
      </c>
      <c r="L114">
        <v>57</v>
      </c>
      <c r="M114">
        <v>2.27</v>
      </c>
      <c r="N114">
        <v>0.76</v>
      </c>
      <c r="O114" t="s">
        <v>15</v>
      </c>
      <c r="P114">
        <v>79</v>
      </c>
      <c r="Q114">
        <v>170</v>
      </c>
      <c r="R114">
        <v>82</v>
      </c>
      <c r="S114">
        <v>55</v>
      </c>
      <c r="T114" t="s">
        <v>48</v>
      </c>
      <c r="U114">
        <f>IF(Cardiac_Table[[#This Row],[Patient Status at Discharge]]="Died", 1,0)</f>
        <v>0</v>
      </c>
      <c r="V114">
        <f>Cardiac_Table[[#This Row],[Risk of Death % (Model 1)]]/100</f>
        <v>2.2700000000000001E-2</v>
      </c>
      <c r="W114">
        <f>Cardiac_Table[[#This Row],[Risk of Death % (Model 2)]]/100</f>
        <v>7.6E-3</v>
      </c>
      <c r="X114" s="18">
        <f>Cardiac_Table[[#This Row],[Procedure Start Date and Time]]-Cardiac_Table[[#This Row],[Hospital Admit Date ]]</f>
        <v>0.22013888888614019</v>
      </c>
    </row>
    <row r="115" spans="1:24" x14ac:dyDescent="0.35">
      <c r="A115">
        <v>116</v>
      </c>
      <c r="B115" s="9">
        <v>43857.305555555555</v>
      </c>
      <c r="C115" s="10">
        <f>INT(Cardiac_Table[[#This Row],[Hospital Admit Date ]])</f>
        <v>43857</v>
      </c>
      <c r="D115" s="11" t="str">
        <f t="shared" si="1"/>
        <v>07:20</v>
      </c>
      <c r="E115" s="9">
        <v>43857.612500000003</v>
      </c>
      <c r="F115" s="10">
        <f>INT(Cardiac_Table[[#This Row],[Procedure Start Date and Time]])</f>
        <v>43857</v>
      </c>
      <c r="G115" s="12">
        <f>MOD(Cardiac_Table[[#This Row],[Procedure Start Date and Time]],1)</f>
        <v>0.61250000000291038</v>
      </c>
      <c r="H115">
        <v>2</v>
      </c>
      <c r="I115" t="s">
        <v>4</v>
      </c>
      <c r="J115" t="s">
        <v>3</v>
      </c>
      <c r="K115" t="s">
        <v>31</v>
      </c>
      <c r="L115">
        <v>76</v>
      </c>
      <c r="M115">
        <v>9.1199999999999992</v>
      </c>
      <c r="N115">
        <v>2.41</v>
      </c>
      <c r="O115" t="s">
        <v>15</v>
      </c>
      <c r="P115">
        <v>80</v>
      </c>
      <c r="Q115">
        <v>180</v>
      </c>
      <c r="R115">
        <v>104</v>
      </c>
      <c r="S115">
        <v>55</v>
      </c>
      <c r="T115" t="s">
        <v>48</v>
      </c>
      <c r="U115">
        <f>IF(Cardiac_Table[[#This Row],[Patient Status at Discharge]]="Died", 1,0)</f>
        <v>0</v>
      </c>
      <c r="V115">
        <f>Cardiac_Table[[#This Row],[Risk of Death % (Model 1)]]/100</f>
        <v>9.1199999999999989E-2</v>
      </c>
      <c r="W115">
        <f>Cardiac_Table[[#This Row],[Risk of Death % (Model 2)]]/100</f>
        <v>2.41E-2</v>
      </c>
      <c r="X115" s="18">
        <f>Cardiac_Table[[#This Row],[Procedure Start Date and Time]]-Cardiac_Table[[#This Row],[Hospital Admit Date ]]</f>
        <v>0.30694444444816327</v>
      </c>
    </row>
    <row r="116" spans="1:24" x14ac:dyDescent="0.35">
      <c r="A116">
        <v>117</v>
      </c>
      <c r="B116" s="9">
        <v>43857.3125</v>
      </c>
      <c r="C116" s="10">
        <f>INT(Cardiac_Table[[#This Row],[Hospital Admit Date ]])</f>
        <v>43857</v>
      </c>
      <c r="D116" s="11" t="str">
        <f t="shared" si="1"/>
        <v>07:30</v>
      </c>
      <c r="E116" s="9">
        <v>43857.620138888888</v>
      </c>
      <c r="F116" s="10">
        <f>INT(Cardiac_Table[[#This Row],[Procedure Start Date and Time]])</f>
        <v>43857</v>
      </c>
      <c r="G116" s="12">
        <f>MOD(Cardiac_Table[[#This Row],[Procedure Start Date and Time]],1)</f>
        <v>0.62013888888759539</v>
      </c>
      <c r="H116">
        <v>3</v>
      </c>
      <c r="I116" t="s">
        <v>4</v>
      </c>
      <c r="J116" t="s">
        <v>5</v>
      </c>
      <c r="K116" t="s">
        <v>20</v>
      </c>
      <c r="L116">
        <v>71</v>
      </c>
      <c r="M116">
        <v>1.94</v>
      </c>
      <c r="N116">
        <v>1.58</v>
      </c>
      <c r="O116" t="s">
        <v>15</v>
      </c>
      <c r="P116">
        <v>76</v>
      </c>
      <c r="Q116">
        <v>165</v>
      </c>
      <c r="R116">
        <v>63</v>
      </c>
      <c r="S116">
        <v>25</v>
      </c>
      <c r="T116" t="s">
        <v>49</v>
      </c>
      <c r="U116">
        <f>IF(Cardiac_Table[[#This Row],[Patient Status at Discharge]]="Died", 1,0)</f>
        <v>0</v>
      </c>
      <c r="V116">
        <f>Cardiac_Table[[#This Row],[Risk of Death % (Model 1)]]/100</f>
        <v>1.9400000000000001E-2</v>
      </c>
      <c r="W116">
        <f>Cardiac_Table[[#This Row],[Risk of Death % (Model 2)]]/100</f>
        <v>1.5800000000000002E-2</v>
      </c>
      <c r="X116" s="18">
        <f>Cardiac_Table[[#This Row],[Procedure Start Date and Time]]-Cardiac_Table[[#This Row],[Hospital Admit Date ]]</f>
        <v>0.30763888888759539</v>
      </c>
    </row>
    <row r="117" spans="1:24" x14ac:dyDescent="0.35">
      <c r="A117">
        <v>118</v>
      </c>
      <c r="B117" s="9">
        <v>43852.416666666664</v>
      </c>
      <c r="C117" s="10">
        <f>INT(Cardiac_Table[[#This Row],[Hospital Admit Date ]])</f>
        <v>43852</v>
      </c>
      <c r="D117" s="11" t="str">
        <f t="shared" si="1"/>
        <v>10:00</v>
      </c>
      <c r="E117" s="9">
        <v>43858.340277777781</v>
      </c>
      <c r="F117" s="10">
        <f>INT(Cardiac_Table[[#This Row],[Procedure Start Date and Time]])</f>
        <v>43858</v>
      </c>
      <c r="G117" s="12">
        <f>MOD(Cardiac_Table[[#This Row],[Procedure Start Date and Time]],1)</f>
        <v>0.34027777778101154</v>
      </c>
      <c r="H117">
        <v>5</v>
      </c>
      <c r="I117" t="s">
        <v>6</v>
      </c>
      <c r="J117" t="s">
        <v>10</v>
      </c>
      <c r="K117" t="s">
        <v>26</v>
      </c>
      <c r="L117">
        <v>67</v>
      </c>
      <c r="M117">
        <v>4.1100000000000003</v>
      </c>
      <c r="N117">
        <v>3.17</v>
      </c>
      <c r="O117" t="s">
        <v>15</v>
      </c>
      <c r="P117">
        <v>88</v>
      </c>
      <c r="Q117">
        <v>174</v>
      </c>
      <c r="R117">
        <v>70</v>
      </c>
      <c r="S117">
        <v>55</v>
      </c>
      <c r="T117" t="s">
        <v>48</v>
      </c>
      <c r="U117">
        <f>IF(Cardiac_Table[[#This Row],[Patient Status at Discharge]]="Died", 1,0)</f>
        <v>0</v>
      </c>
      <c r="V117">
        <f>Cardiac_Table[[#This Row],[Risk of Death % (Model 1)]]/100</f>
        <v>4.1100000000000005E-2</v>
      </c>
      <c r="W117">
        <f>Cardiac_Table[[#This Row],[Risk of Death % (Model 2)]]/100</f>
        <v>3.1699999999999999E-2</v>
      </c>
      <c r="X117" s="18">
        <f>Cardiac_Table[[#This Row],[Procedure Start Date and Time]]-Cardiac_Table[[#This Row],[Hospital Admit Date ]]</f>
        <v>5.9236111111167702</v>
      </c>
    </row>
    <row r="118" spans="1:24" x14ac:dyDescent="0.35">
      <c r="A118">
        <v>119</v>
      </c>
      <c r="B118" s="9">
        <v>43857.586111111108</v>
      </c>
      <c r="C118" s="10">
        <f>INT(Cardiac_Table[[#This Row],[Hospital Admit Date ]])</f>
        <v>43857</v>
      </c>
      <c r="D118" s="11" t="str">
        <f t="shared" si="1"/>
        <v>14:04</v>
      </c>
      <c r="E118" s="9">
        <v>43858.34652777778</v>
      </c>
      <c r="F118" s="10">
        <f>INT(Cardiac_Table[[#This Row],[Procedure Start Date and Time]])</f>
        <v>43858</v>
      </c>
      <c r="G118" s="12">
        <f>MOD(Cardiac_Table[[#This Row],[Procedure Start Date and Time]],1)</f>
        <v>0.34652777777955635</v>
      </c>
      <c r="H118">
        <v>3</v>
      </c>
      <c r="I118" t="s">
        <v>4</v>
      </c>
      <c r="J118" t="s">
        <v>10</v>
      </c>
      <c r="K118" t="s">
        <v>29</v>
      </c>
      <c r="L118">
        <v>59</v>
      </c>
      <c r="M118">
        <v>1.33</v>
      </c>
      <c r="N118">
        <v>0.76</v>
      </c>
      <c r="O118" t="s">
        <v>15</v>
      </c>
      <c r="P118">
        <v>73</v>
      </c>
      <c r="Q118">
        <v>173</v>
      </c>
      <c r="R118">
        <v>86</v>
      </c>
      <c r="S118">
        <v>55</v>
      </c>
      <c r="T118" t="s">
        <v>48</v>
      </c>
      <c r="U118">
        <f>IF(Cardiac_Table[[#This Row],[Patient Status at Discharge]]="Died", 1,0)</f>
        <v>0</v>
      </c>
      <c r="V118">
        <f>Cardiac_Table[[#This Row],[Risk of Death % (Model 1)]]/100</f>
        <v>1.3300000000000001E-2</v>
      </c>
      <c r="W118">
        <f>Cardiac_Table[[#This Row],[Risk of Death % (Model 2)]]/100</f>
        <v>7.6E-3</v>
      </c>
      <c r="X118" s="18">
        <f>Cardiac_Table[[#This Row],[Procedure Start Date and Time]]-Cardiac_Table[[#This Row],[Hospital Admit Date ]]</f>
        <v>0.76041666667151731</v>
      </c>
    </row>
    <row r="119" spans="1:24" x14ac:dyDescent="0.35">
      <c r="A119">
        <v>120</v>
      </c>
      <c r="B119" s="9">
        <v>43857.321527777778</v>
      </c>
      <c r="C119" s="10">
        <f>INT(Cardiac_Table[[#This Row],[Hospital Admit Date ]])</f>
        <v>43857</v>
      </c>
      <c r="D119" s="11" t="str">
        <f t="shared" si="1"/>
        <v>07:43</v>
      </c>
      <c r="E119" s="9">
        <v>43858.351388888892</v>
      </c>
      <c r="F119" s="10">
        <f>INT(Cardiac_Table[[#This Row],[Procedure Start Date and Time]])</f>
        <v>43858</v>
      </c>
      <c r="G119" s="12">
        <f>MOD(Cardiac_Table[[#This Row],[Procedure Start Date and Time]],1)</f>
        <v>0.35138888889196096</v>
      </c>
      <c r="H119">
        <v>6</v>
      </c>
      <c r="I119" t="s">
        <v>4</v>
      </c>
      <c r="J119" t="s">
        <v>3</v>
      </c>
      <c r="K119" t="s">
        <v>20</v>
      </c>
      <c r="L119">
        <v>68</v>
      </c>
      <c r="M119">
        <v>7.05</v>
      </c>
      <c r="N119">
        <v>1.9</v>
      </c>
      <c r="O119" t="s">
        <v>15</v>
      </c>
      <c r="P119">
        <v>70</v>
      </c>
      <c r="Q119">
        <v>164</v>
      </c>
      <c r="R119">
        <v>81</v>
      </c>
      <c r="S119">
        <v>55</v>
      </c>
      <c r="T119" t="s">
        <v>48</v>
      </c>
      <c r="U119">
        <f>IF(Cardiac_Table[[#This Row],[Patient Status at Discharge]]="Died", 1,0)</f>
        <v>0</v>
      </c>
      <c r="V119">
        <f>Cardiac_Table[[#This Row],[Risk of Death % (Model 1)]]/100</f>
        <v>7.0499999999999993E-2</v>
      </c>
      <c r="W119">
        <f>Cardiac_Table[[#This Row],[Risk of Death % (Model 2)]]/100</f>
        <v>1.9E-2</v>
      </c>
      <c r="X119" s="18">
        <f>Cardiac_Table[[#This Row],[Procedure Start Date and Time]]-Cardiac_Table[[#This Row],[Hospital Admit Date ]]</f>
        <v>1.0298611111138598</v>
      </c>
    </row>
    <row r="120" spans="1:24" x14ac:dyDescent="0.35">
      <c r="A120">
        <v>121</v>
      </c>
      <c r="B120" s="9">
        <v>43857.583333333336</v>
      </c>
      <c r="C120" s="10">
        <f>INT(Cardiac_Table[[#This Row],[Hospital Admit Date ]])</f>
        <v>43857</v>
      </c>
      <c r="D120" s="11" t="str">
        <f t="shared" si="1"/>
        <v>14:00</v>
      </c>
      <c r="E120" s="9">
        <v>43858.352083333331</v>
      </c>
      <c r="F120" s="10">
        <f>INT(Cardiac_Table[[#This Row],[Procedure Start Date and Time]])</f>
        <v>43858</v>
      </c>
      <c r="G120" s="12">
        <f>MOD(Cardiac_Table[[#This Row],[Procedure Start Date and Time]],1)</f>
        <v>0.35208333333139308</v>
      </c>
      <c r="H120">
        <v>2</v>
      </c>
      <c r="I120" t="s">
        <v>4</v>
      </c>
      <c r="J120" t="s">
        <v>11</v>
      </c>
      <c r="K120" t="s">
        <v>28</v>
      </c>
      <c r="L120">
        <v>84</v>
      </c>
      <c r="M120">
        <v>7.48</v>
      </c>
      <c r="N120">
        <v>2.54</v>
      </c>
      <c r="O120" t="s">
        <v>15</v>
      </c>
      <c r="P120">
        <v>156</v>
      </c>
      <c r="Q120">
        <v>182</v>
      </c>
      <c r="R120">
        <v>98</v>
      </c>
      <c r="S120">
        <v>45</v>
      </c>
      <c r="T120" t="s">
        <v>50</v>
      </c>
      <c r="U120">
        <f>IF(Cardiac_Table[[#This Row],[Patient Status at Discharge]]="Died", 1,0)</f>
        <v>0</v>
      </c>
      <c r="V120">
        <f>Cardiac_Table[[#This Row],[Risk of Death % (Model 1)]]/100</f>
        <v>7.4800000000000005E-2</v>
      </c>
      <c r="W120">
        <f>Cardiac_Table[[#This Row],[Risk of Death % (Model 2)]]/100</f>
        <v>2.5399999999999999E-2</v>
      </c>
      <c r="X120" s="18">
        <f>Cardiac_Table[[#This Row],[Procedure Start Date and Time]]-Cardiac_Table[[#This Row],[Hospital Admit Date ]]</f>
        <v>0.76874999999563443</v>
      </c>
    </row>
    <row r="121" spans="1:24" x14ac:dyDescent="0.35">
      <c r="A121">
        <v>122</v>
      </c>
      <c r="B121" s="9">
        <v>43858.458333333336</v>
      </c>
      <c r="C121" s="10">
        <f>INT(Cardiac_Table[[#This Row],[Hospital Admit Date ]])</f>
        <v>43858</v>
      </c>
      <c r="D121" s="11" t="str">
        <f t="shared" si="1"/>
        <v>11:00</v>
      </c>
      <c r="E121" s="9">
        <v>43859.345833333333</v>
      </c>
      <c r="F121" s="10">
        <f>INT(Cardiac_Table[[#This Row],[Procedure Start Date and Time]])</f>
        <v>43859</v>
      </c>
      <c r="G121" s="12">
        <f>MOD(Cardiac_Table[[#This Row],[Procedure Start Date and Time]],1)</f>
        <v>0.34583333333284827</v>
      </c>
      <c r="H121">
        <v>5</v>
      </c>
      <c r="I121" t="s">
        <v>4</v>
      </c>
      <c r="J121" t="s">
        <v>3</v>
      </c>
      <c r="K121" t="s">
        <v>35</v>
      </c>
      <c r="L121">
        <v>61</v>
      </c>
      <c r="M121">
        <v>1.72</v>
      </c>
      <c r="N121">
        <v>0.89</v>
      </c>
      <c r="O121" t="s">
        <v>15</v>
      </c>
      <c r="P121">
        <v>97</v>
      </c>
      <c r="Q121">
        <v>185</v>
      </c>
      <c r="R121">
        <v>111</v>
      </c>
      <c r="S121">
        <v>55</v>
      </c>
      <c r="T121" t="s">
        <v>48</v>
      </c>
      <c r="U121">
        <f>IF(Cardiac_Table[[#This Row],[Patient Status at Discharge]]="Died", 1,0)</f>
        <v>0</v>
      </c>
      <c r="V121">
        <f>Cardiac_Table[[#This Row],[Risk of Death % (Model 1)]]/100</f>
        <v>1.72E-2</v>
      </c>
      <c r="W121">
        <f>Cardiac_Table[[#This Row],[Risk of Death % (Model 2)]]/100</f>
        <v>8.8999999999999999E-3</v>
      </c>
      <c r="X121" s="18">
        <f>Cardiac_Table[[#This Row],[Procedure Start Date and Time]]-Cardiac_Table[[#This Row],[Hospital Admit Date ]]</f>
        <v>0.88749999999708962</v>
      </c>
    </row>
    <row r="122" spans="1:24" x14ac:dyDescent="0.35">
      <c r="A122">
        <v>123</v>
      </c>
      <c r="B122" s="9">
        <v>43858.5625</v>
      </c>
      <c r="C122" s="10">
        <f>INT(Cardiac_Table[[#This Row],[Hospital Admit Date ]])</f>
        <v>43858</v>
      </c>
      <c r="D122" s="11" t="str">
        <f t="shared" si="1"/>
        <v>13:30</v>
      </c>
      <c r="E122" s="9">
        <v>43859.35</v>
      </c>
      <c r="F122" s="10">
        <f>INT(Cardiac_Table[[#This Row],[Procedure Start Date and Time]])</f>
        <v>43859</v>
      </c>
      <c r="G122" s="12">
        <f>MOD(Cardiac_Table[[#This Row],[Procedure Start Date and Time]],1)</f>
        <v>0.34999999999854481</v>
      </c>
      <c r="H122">
        <v>6</v>
      </c>
      <c r="I122" t="s">
        <v>4</v>
      </c>
      <c r="J122" t="s">
        <v>3</v>
      </c>
      <c r="K122" t="s">
        <v>31</v>
      </c>
      <c r="L122">
        <v>62</v>
      </c>
      <c r="M122">
        <v>2.5299999999999998</v>
      </c>
      <c r="N122">
        <v>1.2</v>
      </c>
      <c r="O122" t="s">
        <v>15</v>
      </c>
      <c r="P122">
        <v>72</v>
      </c>
      <c r="Q122">
        <v>175</v>
      </c>
      <c r="R122">
        <v>64</v>
      </c>
      <c r="S122">
        <v>55</v>
      </c>
      <c r="T122" t="s">
        <v>48</v>
      </c>
      <c r="U122">
        <f>IF(Cardiac_Table[[#This Row],[Patient Status at Discharge]]="Died", 1,0)</f>
        <v>0</v>
      </c>
      <c r="V122">
        <f>Cardiac_Table[[#This Row],[Risk of Death % (Model 1)]]/100</f>
        <v>2.53E-2</v>
      </c>
      <c r="W122">
        <f>Cardiac_Table[[#This Row],[Risk of Death % (Model 2)]]/100</f>
        <v>1.2E-2</v>
      </c>
      <c r="X122" s="18">
        <f>Cardiac_Table[[#This Row],[Procedure Start Date and Time]]-Cardiac_Table[[#This Row],[Hospital Admit Date ]]</f>
        <v>0.78749999999854481</v>
      </c>
    </row>
    <row r="123" spans="1:24" x14ac:dyDescent="0.35">
      <c r="A123">
        <v>124</v>
      </c>
      <c r="B123" s="9">
        <v>43859.28125</v>
      </c>
      <c r="C123" s="10">
        <f>INT(Cardiac_Table[[#This Row],[Hospital Admit Date ]])</f>
        <v>43859</v>
      </c>
      <c r="D123" s="11" t="str">
        <f t="shared" si="1"/>
        <v>06:45</v>
      </c>
      <c r="E123" s="9">
        <v>43859.364583333336</v>
      </c>
      <c r="F123" s="10">
        <f>INT(Cardiac_Table[[#This Row],[Procedure Start Date and Time]])</f>
        <v>43859</v>
      </c>
      <c r="G123" s="12">
        <f>MOD(Cardiac_Table[[#This Row],[Procedure Start Date and Time]],1)</f>
        <v>0.36458333333575865</v>
      </c>
      <c r="H123">
        <v>2</v>
      </c>
      <c r="I123" t="s">
        <v>4</v>
      </c>
      <c r="J123" t="s">
        <v>3</v>
      </c>
      <c r="K123" t="s">
        <v>28</v>
      </c>
      <c r="L123">
        <v>76</v>
      </c>
      <c r="M123">
        <v>6.19</v>
      </c>
      <c r="N123">
        <v>2.54</v>
      </c>
      <c r="O123" t="s">
        <v>15</v>
      </c>
      <c r="P123">
        <v>81</v>
      </c>
      <c r="Q123">
        <v>175</v>
      </c>
      <c r="R123">
        <v>95</v>
      </c>
      <c r="S123">
        <v>40</v>
      </c>
      <c r="T123" t="s">
        <v>50</v>
      </c>
      <c r="U123">
        <f>IF(Cardiac_Table[[#This Row],[Patient Status at Discharge]]="Died", 1,0)</f>
        <v>0</v>
      </c>
      <c r="V123">
        <f>Cardiac_Table[[#This Row],[Risk of Death % (Model 1)]]/100</f>
        <v>6.1900000000000004E-2</v>
      </c>
      <c r="W123">
        <f>Cardiac_Table[[#This Row],[Risk of Death % (Model 2)]]/100</f>
        <v>2.5399999999999999E-2</v>
      </c>
      <c r="X123" s="18">
        <f>Cardiac_Table[[#This Row],[Procedure Start Date and Time]]-Cardiac_Table[[#This Row],[Hospital Admit Date ]]</f>
        <v>8.3333333335758653E-2</v>
      </c>
    </row>
    <row r="124" spans="1:24" x14ac:dyDescent="0.35">
      <c r="A124">
        <v>125</v>
      </c>
      <c r="B124" s="9">
        <v>43860.329861111109</v>
      </c>
      <c r="C124" s="10">
        <f>INT(Cardiac_Table[[#This Row],[Hospital Admit Date ]])</f>
        <v>43860</v>
      </c>
      <c r="D124" s="11" t="str">
        <f t="shared" si="1"/>
        <v>07:55</v>
      </c>
      <c r="E124" s="9">
        <v>43860.366666666669</v>
      </c>
      <c r="F124" s="10">
        <f>INT(Cardiac_Table[[#This Row],[Procedure Start Date and Time]])</f>
        <v>43860</v>
      </c>
      <c r="G124" s="12">
        <f>MOD(Cardiac_Table[[#This Row],[Procedure Start Date and Time]],1)</f>
        <v>0.36666666666860692</v>
      </c>
      <c r="H124">
        <v>3</v>
      </c>
      <c r="I124" t="s">
        <v>4</v>
      </c>
      <c r="J124" t="s">
        <v>3</v>
      </c>
      <c r="K124" t="s">
        <v>23</v>
      </c>
      <c r="L124">
        <v>27</v>
      </c>
      <c r="M124">
        <v>6.39</v>
      </c>
      <c r="N124">
        <v>1.83</v>
      </c>
      <c r="O124" t="s">
        <v>15</v>
      </c>
      <c r="P124">
        <v>82</v>
      </c>
      <c r="Q124">
        <v>155</v>
      </c>
      <c r="R124">
        <v>60</v>
      </c>
      <c r="S124">
        <v>55</v>
      </c>
      <c r="T124" t="s">
        <v>48</v>
      </c>
      <c r="U124">
        <f>IF(Cardiac_Table[[#This Row],[Patient Status at Discharge]]="Died", 1,0)</f>
        <v>0</v>
      </c>
      <c r="V124">
        <f>Cardiac_Table[[#This Row],[Risk of Death % (Model 1)]]/100</f>
        <v>6.3899999999999998E-2</v>
      </c>
      <c r="W124">
        <f>Cardiac_Table[[#This Row],[Risk of Death % (Model 2)]]/100</f>
        <v>1.83E-2</v>
      </c>
      <c r="X124" s="18">
        <f>Cardiac_Table[[#This Row],[Procedure Start Date and Time]]-Cardiac_Table[[#This Row],[Hospital Admit Date ]]</f>
        <v>3.680555555911269E-2</v>
      </c>
    </row>
    <row r="125" spans="1:24" x14ac:dyDescent="0.35">
      <c r="A125">
        <v>126</v>
      </c>
      <c r="B125" s="9">
        <v>43839.611111111109</v>
      </c>
      <c r="C125" s="10">
        <f>INT(Cardiac_Table[[#This Row],[Hospital Admit Date ]])</f>
        <v>43839</v>
      </c>
      <c r="D125" s="11" t="str">
        <f t="shared" si="1"/>
        <v>14:40</v>
      </c>
      <c r="E125" s="9">
        <v>43860.521527777775</v>
      </c>
      <c r="F125" s="10">
        <f>INT(Cardiac_Table[[#This Row],[Procedure Start Date and Time]])</f>
        <v>43860</v>
      </c>
      <c r="G125" s="12">
        <f>MOD(Cardiac_Table[[#This Row],[Procedure Start Date and Time]],1)</f>
        <v>0.52152777777519077</v>
      </c>
      <c r="H125">
        <v>1</v>
      </c>
      <c r="I125" t="s">
        <v>6</v>
      </c>
      <c r="J125" t="s">
        <v>11</v>
      </c>
      <c r="K125" t="s">
        <v>33</v>
      </c>
      <c r="L125">
        <v>78</v>
      </c>
      <c r="M125">
        <v>7.62</v>
      </c>
      <c r="N125">
        <v>3.96</v>
      </c>
      <c r="O125" t="s">
        <v>15</v>
      </c>
      <c r="P125">
        <v>73</v>
      </c>
      <c r="Q125">
        <v>173</v>
      </c>
      <c r="R125">
        <v>74</v>
      </c>
      <c r="S125">
        <v>45</v>
      </c>
      <c r="T125" t="s">
        <v>50</v>
      </c>
      <c r="U125">
        <f>IF(Cardiac_Table[[#This Row],[Patient Status at Discharge]]="Died", 1,0)</f>
        <v>0</v>
      </c>
      <c r="V125">
        <f>Cardiac_Table[[#This Row],[Risk of Death % (Model 1)]]/100</f>
        <v>7.6200000000000004E-2</v>
      </c>
      <c r="W125">
        <f>Cardiac_Table[[#This Row],[Risk of Death % (Model 2)]]/100</f>
        <v>3.9599999999999996E-2</v>
      </c>
      <c r="X125" s="18">
        <f>Cardiac_Table[[#This Row],[Procedure Start Date and Time]]-Cardiac_Table[[#This Row],[Hospital Admit Date ]]</f>
        <v>20.910416666665697</v>
      </c>
    </row>
    <row r="126" spans="1:24" x14ac:dyDescent="0.35">
      <c r="A126">
        <v>127</v>
      </c>
      <c r="B126" s="9">
        <v>43859.419444444444</v>
      </c>
      <c r="C126" s="10">
        <f>INT(Cardiac_Table[[#This Row],[Hospital Admit Date ]])</f>
        <v>43859</v>
      </c>
      <c r="D126" s="11" t="str">
        <f t="shared" si="1"/>
        <v>10:04</v>
      </c>
      <c r="E126" s="9">
        <v>43860.537499999999</v>
      </c>
      <c r="F126" s="10">
        <f>INT(Cardiac_Table[[#This Row],[Procedure Start Date and Time]])</f>
        <v>43860</v>
      </c>
      <c r="G126" s="12">
        <f>MOD(Cardiac_Table[[#This Row],[Procedure Start Date and Time]],1)</f>
        <v>0.53749999999854481</v>
      </c>
      <c r="H126">
        <v>2</v>
      </c>
      <c r="I126" t="s">
        <v>4</v>
      </c>
      <c r="J126" t="s">
        <v>11</v>
      </c>
      <c r="K126" t="s">
        <v>36</v>
      </c>
      <c r="L126">
        <v>68</v>
      </c>
      <c r="M126">
        <v>2.71</v>
      </c>
      <c r="N126">
        <v>4.08</v>
      </c>
      <c r="O126" t="s">
        <v>13</v>
      </c>
      <c r="P126">
        <v>68</v>
      </c>
      <c r="Q126">
        <v>172</v>
      </c>
      <c r="R126">
        <v>86</v>
      </c>
      <c r="S126">
        <v>45</v>
      </c>
      <c r="T126" t="s">
        <v>50</v>
      </c>
      <c r="U126">
        <f>IF(Cardiac_Table[[#This Row],[Patient Status at Discharge]]="Died", 1,0)</f>
        <v>1</v>
      </c>
      <c r="V126">
        <f>Cardiac_Table[[#This Row],[Risk of Death % (Model 1)]]/100</f>
        <v>2.7099999999999999E-2</v>
      </c>
      <c r="W126">
        <f>Cardiac_Table[[#This Row],[Risk of Death % (Model 2)]]/100</f>
        <v>4.0800000000000003E-2</v>
      </c>
      <c r="X126" s="18">
        <f>Cardiac_Table[[#This Row],[Procedure Start Date and Time]]-Cardiac_Table[[#This Row],[Hospital Admit Date ]]</f>
        <v>1.1180555555547471</v>
      </c>
    </row>
    <row r="127" spans="1:24" x14ac:dyDescent="0.35">
      <c r="A127">
        <v>128</v>
      </c>
      <c r="B127" s="9">
        <v>43860.311805555553</v>
      </c>
      <c r="C127" s="10">
        <f>INT(Cardiac_Table[[#This Row],[Hospital Admit Date ]])</f>
        <v>43860</v>
      </c>
      <c r="D127" s="11" t="str">
        <f t="shared" si="1"/>
        <v>07:29</v>
      </c>
      <c r="E127" s="9">
        <v>43860.54791666667</v>
      </c>
      <c r="F127" s="10">
        <f>INT(Cardiac_Table[[#This Row],[Procedure Start Date and Time]])</f>
        <v>43860</v>
      </c>
      <c r="G127" s="12">
        <f>MOD(Cardiac_Table[[#This Row],[Procedure Start Date and Time]],1)</f>
        <v>0.54791666667006211</v>
      </c>
      <c r="H127">
        <v>6</v>
      </c>
      <c r="I127" t="s">
        <v>4</v>
      </c>
      <c r="J127" t="s">
        <v>3</v>
      </c>
      <c r="K127" t="s">
        <v>22</v>
      </c>
      <c r="L127">
        <v>59</v>
      </c>
      <c r="M127">
        <v>1.51</v>
      </c>
      <c r="N127">
        <v>0.75</v>
      </c>
      <c r="O127" t="s">
        <v>15</v>
      </c>
      <c r="P127">
        <v>88</v>
      </c>
      <c r="Q127">
        <v>176</v>
      </c>
      <c r="R127">
        <v>86</v>
      </c>
      <c r="S127">
        <v>55</v>
      </c>
      <c r="T127" t="s">
        <v>48</v>
      </c>
      <c r="U127">
        <f>IF(Cardiac_Table[[#This Row],[Patient Status at Discharge]]="Died", 1,0)</f>
        <v>0</v>
      </c>
      <c r="V127">
        <f>Cardiac_Table[[#This Row],[Risk of Death % (Model 1)]]/100</f>
        <v>1.5100000000000001E-2</v>
      </c>
      <c r="W127">
        <f>Cardiac_Table[[#This Row],[Risk of Death % (Model 2)]]/100</f>
        <v>7.4999999999999997E-3</v>
      </c>
      <c r="X127" s="18">
        <f>Cardiac_Table[[#This Row],[Procedure Start Date and Time]]-Cardiac_Table[[#This Row],[Hospital Admit Date ]]</f>
        <v>0.23611111111677019</v>
      </c>
    </row>
    <row r="128" spans="1:24" x14ac:dyDescent="0.35">
      <c r="A128">
        <v>129</v>
      </c>
      <c r="B128" s="9">
        <v>43859.618750000001</v>
      </c>
      <c r="C128" s="10">
        <f>INT(Cardiac_Table[[#This Row],[Hospital Admit Date ]])</f>
        <v>43859</v>
      </c>
      <c r="D128" s="11" t="str">
        <f t="shared" si="1"/>
        <v>14:51</v>
      </c>
      <c r="E128" s="9">
        <v>43860.555555555555</v>
      </c>
      <c r="F128" s="10">
        <f>INT(Cardiac_Table[[#This Row],[Procedure Start Date and Time]])</f>
        <v>43860</v>
      </c>
      <c r="G128" s="12">
        <f>MOD(Cardiac_Table[[#This Row],[Procedure Start Date and Time]],1)</f>
        <v>0.55555555555474712</v>
      </c>
      <c r="H128">
        <v>5</v>
      </c>
      <c r="I128" t="s">
        <v>6</v>
      </c>
      <c r="J128" t="s">
        <v>3</v>
      </c>
      <c r="K128" t="s">
        <v>32</v>
      </c>
      <c r="L128">
        <v>76</v>
      </c>
      <c r="M128">
        <v>16.57</v>
      </c>
      <c r="N128">
        <v>3.31</v>
      </c>
      <c r="O128" t="s">
        <v>15</v>
      </c>
      <c r="P128">
        <v>95</v>
      </c>
      <c r="Q128">
        <v>175</v>
      </c>
      <c r="R128">
        <v>102</v>
      </c>
      <c r="S128">
        <v>45</v>
      </c>
      <c r="T128" t="s">
        <v>50</v>
      </c>
      <c r="U128">
        <f>IF(Cardiac_Table[[#This Row],[Patient Status at Discharge]]="Died", 1,0)</f>
        <v>0</v>
      </c>
      <c r="V128">
        <f>Cardiac_Table[[#This Row],[Risk of Death % (Model 1)]]/100</f>
        <v>0.16570000000000001</v>
      </c>
      <c r="W128">
        <f>Cardiac_Table[[#This Row],[Risk of Death % (Model 2)]]/100</f>
        <v>3.3099999999999997E-2</v>
      </c>
      <c r="X128" s="18">
        <f>Cardiac_Table[[#This Row],[Procedure Start Date and Time]]-Cardiac_Table[[#This Row],[Hospital Admit Date ]]</f>
        <v>0.93680555555329192</v>
      </c>
    </row>
    <row r="129" spans="1:24" x14ac:dyDescent="0.35">
      <c r="A129">
        <v>130</v>
      </c>
      <c r="B129" s="9">
        <v>43854.708333333336</v>
      </c>
      <c r="C129" s="10">
        <f>INT(Cardiac_Table[[#This Row],[Hospital Admit Date ]])</f>
        <v>43854</v>
      </c>
      <c r="D129" s="11" t="str">
        <f t="shared" si="1"/>
        <v>17:00</v>
      </c>
      <c r="E129" s="9">
        <v>43861.333333333336</v>
      </c>
      <c r="F129" s="10">
        <f>INT(Cardiac_Table[[#This Row],[Procedure Start Date and Time]])</f>
        <v>43861</v>
      </c>
      <c r="G129" s="12">
        <f>MOD(Cardiac_Table[[#This Row],[Procedure Start Date and Time]],1)</f>
        <v>0.33333333333575865</v>
      </c>
      <c r="H129">
        <v>2</v>
      </c>
      <c r="I129" t="s">
        <v>6</v>
      </c>
      <c r="J129" t="s">
        <v>10</v>
      </c>
      <c r="K129" t="s">
        <v>21</v>
      </c>
      <c r="L129">
        <v>68</v>
      </c>
      <c r="M129">
        <v>1.59</v>
      </c>
      <c r="N129">
        <v>1.19</v>
      </c>
      <c r="O129" t="s">
        <v>15</v>
      </c>
      <c r="P129">
        <v>72</v>
      </c>
      <c r="Q129">
        <v>178</v>
      </c>
      <c r="R129">
        <v>76</v>
      </c>
      <c r="S129">
        <v>55</v>
      </c>
      <c r="T129" t="s">
        <v>48</v>
      </c>
      <c r="U129">
        <f>IF(Cardiac_Table[[#This Row],[Patient Status at Discharge]]="Died", 1,0)</f>
        <v>0</v>
      </c>
      <c r="V129">
        <f>Cardiac_Table[[#This Row],[Risk of Death % (Model 1)]]/100</f>
        <v>1.5900000000000001E-2</v>
      </c>
      <c r="W129">
        <f>Cardiac_Table[[#This Row],[Risk of Death % (Model 2)]]/100</f>
        <v>1.1899999999999999E-2</v>
      </c>
      <c r="X129" s="18">
        <f>Cardiac_Table[[#This Row],[Procedure Start Date and Time]]-Cardiac_Table[[#This Row],[Hospital Admit Date ]]</f>
        <v>6.625</v>
      </c>
    </row>
    <row r="130" spans="1:24" x14ac:dyDescent="0.35">
      <c r="A130">
        <v>131</v>
      </c>
      <c r="B130" s="9">
        <v>43860.55972222222</v>
      </c>
      <c r="C130" s="10">
        <f>INT(Cardiac_Table[[#This Row],[Hospital Admit Date ]])</f>
        <v>43860</v>
      </c>
      <c r="D130" s="11" t="str">
        <f t="shared" ref="D130:D193" si="2">TEXT(B130,"HH:MM")</f>
        <v>13:26</v>
      </c>
      <c r="E130" s="9">
        <v>43861.340277777781</v>
      </c>
      <c r="F130" s="10">
        <f>INT(Cardiac_Table[[#This Row],[Procedure Start Date and Time]])</f>
        <v>43861</v>
      </c>
      <c r="G130" s="12">
        <f>MOD(Cardiac_Table[[#This Row],[Procedure Start Date and Time]],1)</f>
        <v>0.34027777778101154</v>
      </c>
      <c r="H130">
        <v>3</v>
      </c>
      <c r="I130" t="s">
        <v>4</v>
      </c>
      <c r="J130" t="s">
        <v>3</v>
      </c>
      <c r="K130" t="s">
        <v>35</v>
      </c>
      <c r="L130">
        <v>84</v>
      </c>
      <c r="M130">
        <v>10.95</v>
      </c>
      <c r="N130">
        <v>4.17</v>
      </c>
      <c r="O130" t="s">
        <v>15</v>
      </c>
      <c r="P130">
        <v>79</v>
      </c>
      <c r="Q130">
        <v>155</v>
      </c>
      <c r="R130">
        <v>64</v>
      </c>
      <c r="S130">
        <v>50</v>
      </c>
      <c r="T130" t="s">
        <v>50</v>
      </c>
      <c r="U130">
        <f>IF(Cardiac_Table[[#This Row],[Patient Status at Discharge]]="Died", 1,0)</f>
        <v>0</v>
      </c>
      <c r="V130">
        <f>Cardiac_Table[[#This Row],[Risk of Death % (Model 1)]]/100</f>
        <v>0.10949999999999999</v>
      </c>
      <c r="W130">
        <f>Cardiac_Table[[#This Row],[Risk of Death % (Model 2)]]/100</f>
        <v>4.1700000000000001E-2</v>
      </c>
      <c r="X130" s="18">
        <f>Cardiac_Table[[#This Row],[Procedure Start Date and Time]]-Cardiac_Table[[#This Row],[Hospital Admit Date ]]</f>
        <v>0.78055555556056788</v>
      </c>
    </row>
    <row r="131" spans="1:24" x14ac:dyDescent="0.35">
      <c r="A131">
        <v>132</v>
      </c>
      <c r="B131" s="9">
        <v>43854.416666666664</v>
      </c>
      <c r="C131" s="10">
        <f>INT(Cardiac_Table[[#This Row],[Hospital Admit Date ]])</f>
        <v>43854</v>
      </c>
      <c r="D131" s="11" t="str">
        <f t="shared" si="2"/>
        <v>10:00</v>
      </c>
      <c r="E131" s="9">
        <v>43861.345138888886</v>
      </c>
      <c r="F131" s="10">
        <f>INT(Cardiac_Table[[#This Row],[Procedure Start Date and Time]])</f>
        <v>43861</v>
      </c>
      <c r="G131" s="12">
        <f>MOD(Cardiac_Table[[#This Row],[Procedure Start Date and Time]],1)</f>
        <v>0.34513888888614019</v>
      </c>
      <c r="H131">
        <v>5</v>
      </c>
      <c r="I131" t="s">
        <v>6</v>
      </c>
      <c r="J131" t="s">
        <v>11</v>
      </c>
      <c r="K131" t="s">
        <v>22</v>
      </c>
      <c r="L131">
        <v>79</v>
      </c>
      <c r="M131">
        <v>16.97</v>
      </c>
      <c r="N131">
        <v>6.13</v>
      </c>
      <c r="O131" t="s">
        <v>15</v>
      </c>
      <c r="P131">
        <v>86</v>
      </c>
      <c r="Q131">
        <v>157</v>
      </c>
      <c r="R131">
        <v>50</v>
      </c>
      <c r="S131">
        <v>57</v>
      </c>
      <c r="T131" t="s">
        <v>48</v>
      </c>
      <c r="U131">
        <f>IF(Cardiac_Table[[#This Row],[Patient Status at Discharge]]="Died", 1,0)</f>
        <v>0</v>
      </c>
      <c r="V131">
        <f>Cardiac_Table[[#This Row],[Risk of Death % (Model 1)]]/100</f>
        <v>0.16969999999999999</v>
      </c>
      <c r="W131">
        <f>Cardiac_Table[[#This Row],[Risk of Death % (Model 2)]]/100</f>
        <v>6.13E-2</v>
      </c>
      <c r="X131" s="18">
        <f>Cardiac_Table[[#This Row],[Procedure Start Date and Time]]-Cardiac_Table[[#This Row],[Hospital Admit Date ]]</f>
        <v>6.9284722222218988</v>
      </c>
    </row>
    <row r="132" spans="1:24" x14ac:dyDescent="0.35">
      <c r="A132">
        <v>133</v>
      </c>
      <c r="B132" s="9">
        <v>43860.458333333336</v>
      </c>
      <c r="C132" s="10">
        <f>INT(Cardiac_Table[[#This Row],[Hospital Admit Date ]])</f>
        <v>43860</v>
      </c>
      <c r="D132" s="11" t="str">
        <f t="shared" si="2"/>
        <v>11:00</v>
      </c>
      <c r="E132" s="9">
        <v>43861.347222222219</v>
      </c>
      <c r="F132" s="10">
        <f>INT(Cardiac_Table[[#This Row],[Procedure Start Date and Time]])</f>
        <v>43861</v>
      </c>
      <c r="G132" s="12">
        <f>MOD(Cardiac_Table[[#This Row],[Procedure Start Date and Time]],1)</f>
        <v>0.34722222221898846</v>
      </c>
      <c r="H132">
        <v>6</v>
      </c>
      <c r="I132" t="s">
        <v>6</v>
      </c>
      <c r="J132" t="s">
        <v>5</v>
      </c>
      <c r="K132" t="s">
        <v>26</v>
      </c>
      <c r="L132">
        <v>74</v>
      </c>
      <c r="M132">
        <v>32.729999999999997</v>
      </c>
      <c r="N132">
        <v>20.98</v>
      </c>
      <c r="O132" t="s">
        <v>13</v>
      </c>
      <c r="P132">
        <v>80</v>
      </c>
      <c r="Q132">
        <v>180</v>
      </c>
      <c r="R132">
        <v>103</v>
      </c>
      <c r="S132">
        <v>67</v>
      </c>
      <c r="T132" t="s">
        <v>48</v>
      </c>
      <c r="U132">
        <f>IF(Cardiac_Table[[#This Row],[Patient Status at Discharge]]="Died", 1,0)</f>
        <v>1</v>
      </c>
      <c r="V132">
        <f>Cardiac_Table[[#This Row],[Risk of Death % (Model 1)]]/100</f>
        <v>0.32729999999999998</v>
      </c>
      <c r="W132">
        <f>Cardiac_Table[[#This Row],[Risk of Death % (Model 2)]]/100</f>
        <v>0.20980000000000001</v>
      </c>
      <c r="X132" s="18">
        <f>Cardiac_Table[[#This Row],[Procedure Start Date and Time]]-Cardiac_Table[[#This Row],[Hospital Admit Date ]]</f>
        <v>0.88888888888322981</v>
      </c>
    </row>
    <row r="133" spans="1:24" x14ac:dyDescent="0.35">
      <c r="A133">
        <v>134</v>
      </c>
      <c r="B133" s="9">
        <v>43860.563888888886</v>
      </c>
      <c r="C133" s="10">
        <f>INT(Cardiac_Table[[#This Row],[Hospital Admit Date ]])</f>
        <v>43860</v>
      </c>
      <c r="D133" s="11" t="str">
        <f t="shared" si="2"/>
        <v>13:32</v>
      </c>
      <c r="E133" s="9">
        <v>43861.569444444445</v>
      </c>
      <c r="F133" s="10">
        <f>INT(Cardiac_Table[[#This Row],[Procedure Start Date and Time]])</f>
        <v>43861</v>
      </c>
      <c r="G133" s="12">
        <f>MOD(Cardiac_Table[[#This Row],[Procedure Start Date and Time]],1)</f>
        <v>0.56944444444525288</v>
      </c>
      <c r="H133">
        <v>6</v>
      </c>
      <c r="I133" t="s">
        <v>4</v>
      </c>
      <c r="J133" t="s">
        <v>11</v>
      </c>
      <c r="K133" t="s">
        <v>31</v>
      </c>
      <c r="L133">
        <v>69</v>
      </c>
      <c r="M133">
        <v>3.98</v>
      </c>
      <c r="N133">
        <v>2.4900000000000002</v>
      </c>
      <c r="O133" t="s">
        <v>15</v>
      </c>
      <c r="P133">
        <v>65</v>
      </c>
      <c r="Q133">
        <v>178</v>
      </c>
      <c r="R133">
        <v>88</v>
      </c>
      <c r="S133">
        <v>44</v>
      </c>
      <c r="T133" t="s">
        <v>50</v>
      </c>
      <c r="U133">
        <f>IF(Cardiac_Table[[#This Row],[Patient Status at Discharge]]="Died", 1,0)</f>
        <v>0</v>
      </c>
      <c r="V133">
        <f>Cardiac_Table[[#This Row],[Risk of Death % (Model 1)]]/100</f>
        <v>3.9800000000000002E-2</v>
      </c>
      <c r="W133">
        <f>Cardiac_Table[[#This Row],[Risk of Death % (Model 2)]]/100</f>
        <v>2.4900000000000002E-2</v>
      </c>
      <c r="X133" s="18">
        <f>Cardiac_Table[[#This Row],[Procedure Start Date and Time]]-Cardiac_Table[[#This Row],[Hospital Admit Date ]]</f>
        <v>1.0055555555591127</v>
      </c>
    </row>
    <row r="134" spans="1:24" x14ac:dyDescent="0.35">
      <c r="A134">
        <v>135</v>
      </c>
      <c r="B134" s="9">
        <v>43861.584027777775</v>
      </c>
      <c r="C134" s="10">
        <f>INT(Cardiac_Table[[#This Row],[Hospital Admit Date ]])</f>
        <v>43861</v>
      </c>
      <c r="D134" s="11" t="str">
        <f t="shared" si="2"/>
        <v>14:01</v>
      </c>
      <c r="E134" s="9">
        <v>43862.331944444442</v>
      </c>
      <c r="F134" s="10">
        <f>INT(Cardiac_Table[[#This Row],[Procedure Start Date and Time]])</f>
        <v>43862</v>
      </c>
      <c r="G134" s="12">
        <f>MOD(Cardiac_Table[[#This Row],[Procedure Start Date and Time]],1)</f>
        <v>0.3319444444423425</v>
      </c>
      <c r="H134">
        <v>2</v>
      </c>
      <c r="I134" t="s">
        <v>4</v>
      </c>
      <c r="J134" t="s">
        <v>11</v>
      </c>
      <c r="K134" t="s">
        <v>22</v>
      </c>
      <c r="L134">
        <v>53</v>
      </c>
      <c r="M134">
        <v>4.37</v>
      </c>
      <c r="N134">
        <v>3.23</v>
      </c>
      <c r="O134" t="s">
        <v>15</v>
      </c>
      <c r="P134">
        <v>67</v>
      </c>
      <c r="Q134">
        <v>188</v>
      </c>
      <c r="R134">
        <v>90</v>
      </c>
      <c r="S134">
        <v>59</v>
      </c>
      <c r="T134" t="s">
        <v>48</v>
      </c>
      <c r="U134">
        <f>IF(Cardiac_Table[[#This Row],[Patient Status at Discharge]]="Died", 1,0)</f>
        <v>0</v>
      </c>
      <c r="V134">
        <f>Cardiac_Table[[#This Row],[Risk of Death % (Model 1)]]/100</f>
        <v>4.3700000000000003E-2</v>
      </c>
      <c r="W134">
        <f>Cardiac_Table[[#This Row],[Risk of Death % (Model 2)]]/100</f>
        <v>3.2300000000000002E-2</v>
      </c>
      <c r="X134" s="18">
        <f>Cardiac_Table[[#This Row],[Procedure Start Date and Time]]-Cardiac_Table[[#This Row],[Hospital Admit Date ]]</f>
        <v>0.74791666666715173</v>
      </c>
    </row>
    <row r="135" spans="1:24" x14ac:dyDescent="0.35">
      <c r="A135">
        <v>136</v>
      </c>
      <c r="B135" s="9">
        <v>43861.536111111112</v>
      </c>
      <c r="C135" s="10">
        <f>INT(Cardiac_Table[[#This Row],[Hospital Admit Date ]])</f>
        <v>43861</v>
      </c>
      <c r="D135" s="11" t="str">
        <f t="shared" si="2"/>
        <v>12:52</v>
      </c>
      <c r="E135" s="9">
        <v>43862.34652777778</v>
      </c>
      <c r="F135" s="10">
        <f>INT(Cardiac_Table[[#This Row],[Procedure Start Date and Time]])</f>
        <v>43862</v>
      </c>
      <c r="G135" s="12">
        <f>MOD(Cardiac_Table[[#This Row],[Procedure Start Date and Time]],1)</f>
        <v>0.34652777777955635</v>
      </c>
      <c r="H135">
        <v>5</v>
      </c>
      <c r="I135" t="s">
        <v>4</v>
      </c>
      <c r="J135" t="s">
        <v>3</v>
      </c>
      <c r="K135" t="s">
        <v>35</v>
      </c>
      <c r="L135">
        <v>79</v>
      </c>
      <c r="M135">
        <v>5.48</v>
      </c>
      <c r="N135">
        <v>5.1100000000000003</v>
      </c>
      <c r="O135" t="s">
        <v>15</v>
      </c>
      <c r="P135">
        <v>145</v>
      </c>
      <c r="Q135">
        <v>179</v>
      </c>
      <c r="R135">
        <v>84</v>
      </c>
      <c r="S135">
        <v>65</v>
      </c>
      <c r="T135" t="s">
        <v>48</v>
      </c>
      <c r="U135">
        <f>IF(Cardiac_Table[[#This Row],[Patient Status at Discharge]]="Died", 1,0)</f>
        <v>0</v>
      </c>
      <c r="V135">
        <f>Cardiac_Table[[#This Row],[Risk of Death % (Model 1)]]/100</f>
        <v>5.4800000000000001E-2</v>
      </c>
      <c r="W135">
        <f>Cardiac_Table[[#This Row],[Risk of Death % (Model 2)]]/100</f>
        <v>5.1100000000000007E-2</v>
      </c>
      <c r="X135" s="18">
        <f>Cardiac_Table[[#This Row],[Procedure Start Date and Time]]-Cardiac_Table[[#This Row],[Hospital Admit Date ]]</f>
        <v>0.81041666666715173</v>
      </c>
    </row>
    <row r="136" spans="1:24" x14ac:dyDescent="0.35">
      <c r="A136">
        <v>137</v>
      </c>
      <c r="B136" s="9">
        <v>43860.524305555555</v>
      </c>
      <c r="C136" s="10">
        <f>INT(Cardiac_Table[[#This Row],[Hospital Admit Date ]])</f>
        <v>43860</v>
      </c>
      <c r="D136" s="11" t="str">
        <f t="shared" si="2"/>
        <v>12:35</v>
      </c>
      <c r="E136" s="9">
        <v>43862.475694444445</v>
      </c>
      <c r="F136" s="10">
        <f>INT(Cardiac_Table[[#This Row],[Procedure Start Date and Time]])</f>
        <v>43862</v>
      </c>
      <c r="G136" s="12">
        <f>MOD(Cardiac_Table[[#This Row],[Procedure Start Date and Time]],1)</f>
        <v>0.47569444444525288</v>
      </c>
      <c r="H136">
        <v>1</v>
      </c>
      <c r="I136" t="s">
        <v>2</v>
      </c>
      <c r="J136" t="s">
        <v>5</v>
      </c>
      <c r="K136" t="s">
        <v>30</v>
      </c>
      <c r="L136">
        <v>56</v>
      </c>
      <c r="M136">
        <v>16.84</v>
      </c>
      <c r="N136">
        <v>14.56</v>
      </c>
      <c r="O136" t="s">
        <v>15</v>
      </c>
      <c r="P136">
        <v>92</v>
      </c>
      <c r="Q136">
        <v>177</v>
      </c>
      <c r="R136">
        <v>72</v>
      </c>
      <c r="S136">
        <v>55</v>
      </c>
      <c r="T136" t="s">
        <v>48</v>
      </c>
      <c r="U136">
        <f>IF(Cardiac_Table[[#This Row],[Patient Status at Discharge]]="Died", 1,0)</f>
        <v>0</v>
      </c>
      <c r="V136">
        <f>Cardiac_Table[[#This Row],[Risk of Death % (Model 1)]]/100</f>
        <v>0.16839999999999999</v>
      </c>
      <c r="W136">
        <f>Cardiac_Table[[#This Row],[Risk of Death % (Model 2)]]/100</f>
        <v>0.14560000000000001</v>
      </c>
      <c r="X136" s="18">
        <f>Cardiac_Table[[#This Row],[Procedure Start Date and Time]]-Cardiac_Table[[#This Row],[Hospital Admit Date ]]</f>
        <v>1.9513888888905058</v>
      </c>
    </row>
    <row r="137" spans="1:24" x14ac:dyDescent="0.35">
      <c r="A137">
        <v>138</v>
      </c>
      <c r="B137" s="9">
        <v>43861.579861111109</v>
      </c>
      <c r="C137" s="10">
        <f>INT(Cardiac_Table[[#This Row],[Hospital Admit Date ]])</f>
        <v>43861</v>
      </c>
      <c r="D137" s="11" t="str">
        <f t="shared" si="2"/>
        <v>13:55</v>
      </c>
      <c r="E137" s="9">
        <v>43862.534722222219</v>
      </c>
      <c r="F137" s="10">
        <f>INT(Cardiac_Table[[#This Row],[Procedure Start Date and Time]])</f>
        <v>43862</v>
      </c>
      <c r="G137" s="12">
        <f>MOD(Cardiac_Table[[#This Row],[Procedure Start Date and Time]],1)</f>
        <v>0.53472222221898846</v>
      </c>
      <c r="H137">
        <v>2</v>
      </c>
      <c r="I137" t="s">
        <v>4</v>
      </c>
      <c r="J137" t="s">
        <v>3</v>
      </c>
      <c r="K137" t="s">
        <v>22</v>
      </c>
      <c r="L137">
        <v>65</v>
      </c>
      <c r="M137">
        <v>2.23</v>
      </c>
      <c r="N137">
        <v>0.64</v>
      </c>
      <c r="O137" t="s">
        <v>15</v>
      </c>
      <c r="P137">
        <v>85</v>
      </c>
      <c r="Q137">
        <v>164</v>
      </c>
      <c r="R137">
        <v>86</v>
      </c>
      <c r="S137">
        <v>55</v>
      </c>
      <c r="T137" t="s">
        <v>48</v>
      </c>
      <c r="U137">
        <f>IF(Cardiac_Table[[#This Row],[Patient Status at Discharge]]="Died", 1,0)</f>
        <v>0</v>
      </c>
      <c r="V137">
        <f>Cardiac_Table[[#This Row],[Risk of Death % (Model 1)]]/100</f>
        <v>2.23E-2</v>
      </c>
      <c r="W137">
        <f>Cardiac_Table[[#This Row],[Risk of Death % (Model 2)]]/100</f>
        <v>6.4000000000000003E-3</v>
      </c>
      <c r="X137" s="18">
        <f>Cardiac_Table[[#This Row],[Procedure Start Date and Time]]-Cardiac_Table[[#This Row],[Hospital Admit Date ]]</f>
        <v>0.95486111110949423</v>
      </c>
    </row>
    <row r="138" spans="1:24" x14ac:dyDescent="0.35">
      <c r="A138">
        <v>139</v>
      </c>
      <c r="B138" s="9">
        <v>43861.646527777775</v>
      </c>
      <c r="C138" s="10">
        <f>INT(Cardiac_Table[[#This Row],[Hospital Admit Date ]])</f>
        <v>43861</v>
      </c>
      <c r="D138" s="11" t="str">
        <f t="shared" si="2"/>
        <v>15:31</v>
      </c>
      <c r="E138" s="9">
        <v>43863.430555555555</v>
      </c>
      <c r="F138" s="10">
        <f>INT(Cardiac_Table[[#This Row],[Procedure Start Date and Time]])</f>
        <v>43863</v>
      </c>
      <c r="G138" s="12">
        <f>MOD(Cardiac_Table[[#This Row],[Procedure Start Date and Time]],1)</f>
        <v>0.43055555555474712</v>
      </c>
      <c r="H138">
        <v>5</v>
      </c>
      <c r="I138" t="s">
        <v>2</v>
      </c>
      <c r="J138" t="s">
        <v>3</v>
      </c>
      <c r="K138" t="s">
        <v>35</v>
      </c>
      <c r="L138">
        <v>42</v>
      </c>
      <c r="M138">
        <v>3.02</v>
      </c>
      <c r="N138">
        <v>1.01</v>
      </c>
      <c r="O138" t="s">
        <v>15</v>
      </c>
      <c r="P138">
        <v>170</v>
      </c>
      <c r="Q138">
        <v>170</v>
      </c>
      <c r="R138">
        <v>60</v>
      </c>
      <c r="S138">
        <v>55</v>
      </c>
      <c r="T138" t="s">
        <v>48</v>
      </c>
      <c r="U138">
        <f>IF(Cardiac_Table[[#This Row],[Patient Status at Discharge]]="Died", 1,0)</f>
        <v>0</v>
      </c>
      <c r="V138">
        <f>Cardiac_Table[[#This Row],[Risk of Death % (Model 1)]]/100</f>
        <v>3.0200000000000001E-2</v>
      </c>
      <c r="W138">
        <f>Cardiac_Table[[#This Row],[Risk of Death % (Model 2)]]/100</f>
        <v>1.01E-2</v>
      </c>
      <c r="X138" s="18">
        <f>Cardiac_Table[[#This Row],[Procedure Start Date and Time]]-Cardiac_Table[[#This Row],[Hospital Admit Date ]]</f>
        <v>1.7840277777795563</v>
      </c>
    </row>
    <row r="139" spans="1:24" x14ac:dyDescent="0.35">
      <c r="A139">
        <v>140</v>
      </c>
      <c r="B139" s="9">
        <v>43863.583333333336</v>
      </c>
      <c r="C139" s="10">
        <f>INT(Cardiac_Table[[#This Row],[Hospital Admit Date ]])</f>
        <v>43863</v>
      </c>
      <c r="D139" s="11" t="str">
        <f t="shared" si="2"/>
        <v>14:00</v>
      </c>
      <c r="E139" s="9">
        <v>43864.420138888891</v>
      </c>
      <c r="F139" s="10">
        <f>INT(Cardiac_Table[[#This Row],[Procedure Start Date and Time]])</f>
        <v>43864</v>
      </c>
      <c r="G139" s="12">
        <f>MOD(Cardiac_Table[[#This Row],[Procedure Start Date and Time]],1)</f>
        <v>0.42013888889050577</v>
      </c>
      <c r="H139">
        <v>6</v>
      </c>
      <c r="I139" t="s">
        <v>4</v>
      </c>
      <c r="J139" t="s">
        <v>3</v>
      </c>
      <c r="K139" t="s">
        <v>22</v>
      </c>
      <c r="L139">
        <v>64</v>
      </c>
      <c r="M139">
        <v>2.09</v>
      </c>
      <c r="N139">
        <v>0.75</v>
      </c>
      <c r="O139" t="s">
        <v>15</v>
      </c>
      <c r="P139">
        <v>81</v>
      </c>
      <c r="Q139">
        <v>160</v>
      </c>
      <c r="R139">
        <v>65</v>
      </c>
      <c r="S139">
        <v>45</v>
      </c>
      <c r="T139" t="s">
        <v>50</v>
      </c>
      <c r="U139">
        <f>IF(Cardiac_Table[[#This Row],[Patient Status at Discharge]]="Died", 1,0)</f>
        <v>0</v>
      </c>
      <c r="V139">
        <f>Cardiac_Table[[#This Row],[Risk of Death % (Model 1)]]/100</f>
        <v>2.0899999999999998E-2</v>
      </c>
      <c r="W139">
        <f>Cardiac_Table[[#This Row],[Risk of Death % (Model 2)]]/100</f>
        <v>7.4999999999999997E-3</v>
      </c>
      <c r="X139" s="18">
        <f>Cardiac_Table[[#This Row],[Procedure Start Date and Time]]-Cardiac_Table[[#This Row],[Hospital Admit Date ]]</f>
        <v>0.83680555555474712</v>
      </c>
    </row>
    <row r="140" spans="1:24" x14ac:dyDescent="0.35">
      <c r="A140">
        <v>141</v>
      </c>
      <c r="B140" s="9">
        <v>43863.6</v>
      </c>
      <c r="C140" s="10">
        <f>INT(Cardiac_Table[[#This Row],[Hospital Admit Date ]])</f>
        <v>43863</v>
      </c>
      <c r="D140" s="11" t="str">
        <f t="shared" si="2"/>
        <v>14:24</v>
      </c>
      <c r="E140" s="9">
        <v>43864.513888888891</v>
      </c>
      <c r="F140" s="10">
        <f>INT(Cardiac_Table[[#This Row],[Procedure Start Date and Time]])</f>
        <v>43864</v>
      </c>
      <c r="G140" s="12">
        <f>MOD(Cardiac_Table[[#This Row],[Procedure Start Date and Time]],1)</f>
        <v>0.51388888889050577</v>
      </c>
      <c r="H140">
        <v>1</v>
      </c>
      <c r="I140" t="s">
        <v>4</v>
      </c>
      <c r="J140" t="s">
        <v>10</v>
      </c>
      <c r="K140" t="s">
        <v>30</v>
      </c>
      <c r="L140">
        <v>78</v>
      </c>
      <c r="M140">
        <v>3.06</v>
      </c>
      <c r="N140">
        <v>0.93</v>
      </c>
      <c r="O140" t="s">
        <v>15</v>
      </c>
      <c r="P140">
        <v>83</v>
      </c>
      <c r="Q140">
        <v>184</v>
      </c>
      <c r="R140">
        <v>85</v>
      </c>
      <c r="S140">
        <v>60</v>
      </c>
      <c r="T140" t="s">
        <v>48</v>
      </c>
      <c r="U140">
        <f>IF(Cardiac_Table[[#This Row],[Patient Status at Discharge]]="Died", 1,0)</f>
        <v>0</v>
      </c>
      <c r="V140">
        <f>Cardiac_Table[[#This Row],[Risk of Death % (Model 1)]]/100</f>
        <v>3.0600000000000002E-2</v>
      </c>
      <c r="W140">
        <f>Cardiac_Table[[#This Row],[Risk of Death % (Model 2)]]/100</f>
        <v>9.300000000000001E-3</v>
      </c>
      <c r="X140" s="18">
        <f>Cardiac_Table[[#This Row],[Procedure Start Date and Time]]-Cardiac_Table[[#This Row],[Hospital Admit Date ]]</f>
        <v>0.91388888889196096</v>
      </c>
    </row>
    <row r="141" spans="1:24" x14ac:dyDescent="0.35">
      <c r="A141">
        <v>142</v>
      </c>
      <c r="B141" s="9">
        <v>43863.423611111109</v>
      </c>
      <c r="C141" s="10">
        <f>INT(Cardiac_Table[[#This Row],[Hospital Admit Date ]])</f>
        <v>43863</v>
      </c>
      <c r="D141" s="11" t="str">
        <f t="shared" si="2"/>
        <v>10:10</v>
      </c>
      <c r="E141" s="9">
        <v>43864.566666666666</v>
      </c>
      <c r="F141" s="10">
        <f>INT(Cardiac_Table[[#This Row],[Procedure Start Date and Time]])</f>
        <v>43864</v>
      </c>
      <c r="G141" s="12">
        <f>MOD(Cardiac_Table[[#This Row],[Procedure Start Date and Time]],1)</f>
        <v>0.56666666666569654</v>
      </c>
      <c r="H141">
        <v>5</v>
      </c>
      <c r="I141" t="s">
        <v>6</v>
      </c>
      <c r="J141" t="s">
        <v>3</v>
      </c>
      <c r="K141" t="s">
        <v>21</v>
      </c>
      <c r="L141">
        <v>65</v>
      </c>
      <c r="M141">
        <v>4.5999999999999996</v>
      </c>
      <c r="N141">
        <v>4.1100000000000003</v>
      </c>
      <c r="O141" t="s">
        <v>15</v>
      </c>
      <c r="P141">
        <v>74</v>
      </c>
      <c r="Q141">
        <v>176</v>
      </c>
      <c r="R141">
        <v>127</v>
      </c>
      <c r="S141">
        <v>55</v>
      </c>
      <c r="T141" t="s">
        <v>48</v>
      </c>
      <c r="U141">
        <f>IF(Cardiac_Table[[#This Row],[Patient Status at Discharge]]="Died", 1,0)</f>
        <v>0</v>
      </c>
      <c r="V141">
        <f>Cardiac_Table[[#This Row],[Risk of Death % (Model 1)]]/100</f>
        <v>4.5999999999999999E-2</v>
      </c>
      <c r="W141">
        <f>Cardiac_Table[[#This Row],[Risk of Death % (Model 2)]]/100</f>
        <v>4.1100000000000005E-2</v>
      </c>
      <c r="X141" s="18">
        <f>Cardiac_Table[[#This Row],[Procedure Start Date and Time]]-Cardiac_Table[[#This Row],[Hospital Admit Date ]]</f>
        <v>1.1430555555562023</v>
      </c>
    </row>
    <row r="142" spans="1:24" x14ac:dyDescent="0.35">
      <c r="A142">
        <v>143</v>
      </c>
      <c r="B142" s="9">
        <v>43863.583333333336</v>
      </c>
      <c r="C142" s="10">
        <f>INT(Cardiac_Table[[#This Row],[Hospital Admit Date ]])</f>
        <v>43863</v>
      </c>
      <c r="D142" s="11" t="str">
        <f t="shared" si="2"/>
        <v>14:00</v>
      </c>
      <c r="E142" s="9">
        <v>43864.586805555555</v>
      </c>
      <c r="F142" s="10">
        <f>INT(Cardiac_Table[[#This Row],[Procedure Start Date and Time]])</f>
        <v>43864</v>
      </c>
      <c r="G142" s="12">
        <f>MOD(Cardiac_Table[[#This Row],[Procedure Start Date and Time]],1)</f>
        <v>0.58680555555474712</v>
      </c>
      <c r="H142">
        <v>2</v>
      </c>
      <c r="I142" t="s">
        <v>4</v>
      </c>
      <c r="J142" t="s">
        <v>11</v>
      </c>
      <c r="K142" t="s">
        <v>31</v>
      </c>
      <c r="L142">
        <v>81</v>
      </c>
      <c r="M142">
        <v>9.7799999999999994</v>
      </c>
      <c r="N142">
        <v>2.5099999999999998</v>
      </c>
      <c r="O142" t="s">
        <v>15</v>
      </c>
      <c r="P142">
        <v>67</v>
      </c>
      <c r="Q142">
        <v>172</v>
      </c>
      <c r="R142">
        <v>78</v>
      </c>
      <c r="S142">
        <v>37</v>
      </c>
      <c r="T142" t="s">
        <v>50</v>
      </c>
      <c r="U142">
        <f>IF(Cardiac_Table[[#This Row],[Patient Status at Discharge]]="Died", 1,0)</f>
        <v>0</v>
      </c>
      <c r="V142">
        <f>Cardiac_Table[[#This Row],[Risk of Death % (Model 1)]]/100</f>
        <v>9.7799999999999998E-2</v>
      </c>
      <c r="W142">
        <f>Cardiac_Table[[#This Row],[Risk of Death % (Model 2)]]/100</f>
        <v>2.5099999999999997E-2</v>
      </c>
      <c r="X142" s="18">
        <f>Cardiac_Table[[#This Row],[Procedure Start Date and Time]]-Cardiac_Table[[#This Row],[Hospital Admit Date ]]</f>
        <v>1.0034722222189885</v>
      </c>
    </row>
    <row r="143" spans="1:24" x14ac:dyDescent="0.35">
      <c r="A143">
        <v>144</v>
      </c>
      <c r="B143" s="9">
        <v>43863.583333333336</v>
      </c>
      <c r="C143" s="10">
        <f>INT(Cardiac_Table[[#This Row],[Hospital Admit Date ]])</f>
        <v>43863</v>
      </c>
      <c r="D143" s="11" t="str">
        <f t="shared" si="2"/>
        <v>14:00</v>
      </c>
      <c r="E143" s="9">
        <v>43864.632638888892</v>
      </c>
      <c r="F143" s="10">
        <f>INT(Cardiac_Table[[#This Row],[Procedure Start Date and Time]])</f>
        <v>43864</v>
      </c>
      <c r="G143" s="12">
        <f>MOD(Cardiac_Table[[#This Row],[Procedure Start Date and Time]],1)</f>
        <v>0.63263888889196096</v>
      </c>
      <c r="H143">
        <v>3</v>
      </c>
      <c r="I143" t="s">
        <v>4</v>
      </c>
      <c r="J143" t="s">
        <v>10</v>
      </c>
      <c r="K143" t="s">
        <v>29</v>
      </c>
      <c r="L143">
        <v>48</v>
      </c>
      <c r="M143">
        <v>0.88</v>
      </c>
      <c r="N143">
        <v>0.5</v>
      </c>
      <c r="O143" t="s">
        <v>15</v>
      </c>
      <c r="P143">
        <v>109</v>
      </c>
      <c r="Q143">
        <v>152</v>
      </c>
      <c r="R143">
        <v>60</v>
      </c>
      <c r="S143">
        <v>55</v>
      </c>
      <c r="T143" t="s">
        <v>48</v>
      </c>
      <c r="U143">
        <f>IF(Cardiac_Table[[#This Row],[Patient Status at Discharge]]="Died", 1,0)</f>
        <v>0</v>
      </c>
      <c r="V143">
        <f>Cardiac_Table[[#This Row],[Risk of Death % (Model 1)]]/100</f>
        <v>8.8000000000000005E-3</v>
      </c>
      <c r="W143">
        <f>Cardiac_Table[[#This Row],[Risk of Death % (Model 2)]]/100</f>
        <v>5.0000000000000001E-3</v>
      </c>
      <c r="X143" s="18">
        <f>Cardiac_Table[[#This Row],[Procedure Start Date and Time]]-Cardiac_Table[[#This Row],[Hospital Admit Date ]]</f>
        <v>1.0493055555562023</v>
      </c>
    </row>
    <row r="144" spans="1:24" x14ac:dyDescent="0.35">
      <c r="A144">
        <v>145</v>
      </c>
      <c r="B144" s="9">
        <v>43864.457638888889</v>
      </c>
      <c r="C144" s="10">
        <f>INT(Cardiac_Table[[#This Row],[Hospital Admit Date ]])</f>
        <v>43864</v>
      </c>
      <c r="D144" s="11" t="str">
        <f t="shared" si="2"/>
        <v>10:59</v>
      </c>
      <c r="E144" s="9">
        <v>43865.340277777781</v>
      </c>
      <c r="F144" s="10">
        <f>INT(Cardiac_Table[[#This Row],[Procedure Start Date and Time]])</f>
        <v>43865</v>
      </c>
      <c r="G144" s="12">
        <f>MOD(Cardiac_Table[[#This Row],[Procedure Start Date and Time]],1)</f>
        <v>0.34027777778101154</v>
      </c>
      <c r="H144">
        <v>1</v>
      </c>
      <c r="I144" t="s">
        <v>4</v>
      </c>
      <c r="J144" t="s">
        <v>3</v>
      </c>
      <c r="K144" t="s">
        <v>35</v>
      </c>
      <c r="L144">
        <v>74</v>
      </c>
      <c r="M144">
        <v>12.78</v>
      </c>
      <c r="N144">
        <v>5.42</v>
      </c>
      <c r="O144" t="s">
        <v>15</v>
      </c>
      <c r="P144">
        <v>101</v>
      </c>
      <c r="Q144">
        <v>171</v>
      </c>
      <c r="R144">
        <v>93</v>
      </c>
      <c r="S144">
        <v>55</v>
      </c>
      <c r="T144" t="s">
        <v>48</v>
      </c>
      <c r="U144">
        <f>IF(Cardiac_Table[[#This Row],[Patient Status at Discharge]]="Died", 1,0)</f>
        <v>0</v>
      </c>
      <c r="V144">
        <f>Cardiac_Table[[#This Row],[Risk of Death % (Model 1)]]/100</f>
        <v>0.1278</v>
      </c>
      <c r="W144">
        <f>Cardiac_Table[[#This Row],[Risk of Death % (Model 2)]]/100</f>
        <v>5.4199999999999998E-2</v>
      </c>
      <c r="X144" s="18">
        <f>Cardiac_Table[[#This Row],[Procedure Start Date and Time]]-Cardiac_Table[[#This Row],[Hospital Admit Date ]]</f>
        <v>0.88263888889196096</v>
      </c>
    </row>
    <row r="145" spans="1:24" x14ac:dyDescent="0.35">
      <c r="A145">
        <v>146</v>
      </c>
      <c r="B145" s="9">
        <v>43864.32708333333</v>
      </c>
      <c r="C145" s="10">
        <f>INT(Cardiac_Table[[#This Row],[Hospital Admit Date ]])</f>
        <v>43864</v>
      </c>
      <c r="D145" s="11" t="str">
        <f t="shared" si="2"/>
        <v>07:51</v>
      </c>
      <c r="E145" s="9">
        <v>43865.343055555553</v>
      </c>
      <c r="F145" s="10">
        <f>INT(Cardiac_Table[[#This Row],[Procedure Start Date and Time]])</f>
        <v>43865</v>
      </c>
      <c r="G145" s="12">
        <f>MOD(Cardiac_Table[[#This Row],[Procedure Start Date and Time]],1)</f>
        <v>0.34305555555329192</v>
      </c>
      <c r="H145">
        <v>3</v>
      </c>
      <c r="I145" t="s">
        <v>4</v>
      </c>
      <c r="J145" t="s">
        <v>11</v>
      </c>
      <c r="K145" t="s">
        <v>22</v>
      </c>
      <c r="L145">
        <v>55</v>
      </c>
      <c r="M145">
        <v>2.44</v>
      </c>
      <c r="N145">
        <v>2.4300000000000002</v>
      </c>
      <c r="O145" t="s">
        <v>15</v>
      </c>
      <c r="P145">
        <v>67</v>
      </c>
      <c r="Q145">
        <v>162</v>
      </c>
      <c r="R145">
        <v>78</v>
      </c>
      <c r="S145">
        <v>62</v>
      </c>
      <c r="T145" t="s">
        <v>48</v>
      </c>
      <c r="U145">
        <f>IF(Cardiac_Table[[#This Row],[Patient Status at Discharge]]="Died", 1,0)</f>
        <v>0</v>
      </c>
      <c r="V145">
        <f>Cardiac_Table[[#This Row],[Risk of Death % (Model 1)]]/100</f>
        <v>2.4399999999999998E-2</v>
      </c>
      <c r="W145">
        <f>Cardiac_Table[[#This Row],[Risk of Death % (Model 2)]]/100</f>
        <v>2.4300000000000002E-2</v>
      </c>
      <c r="X145" s="18">
        <f>Cardiac_Table[[#This Row],[Procedure Start Date and Time]]-Cardiac_Table[[#This Row],[Hospital Admit Date ]]</f>
        <v>1.015972222223354</v>
      </c>
    </row>
    <row r="146" spans="1:24" x14ac:dyDescent="0.35">
      <c r="A146">
        <v>147</v>
      </c>
      <c r="B146" s="9">
        <v>43864.583333333336</v>
      </c>
      <c r="C146" s="10">
        <f>INT(Cardiac_Table[[#This Row],[Hospital Admit Date ]])</f>
        <v>43864</v>
      </c>
      <c r="D146" s="11" t="str">
        <f t="shared" si="2"/>
        <v>14:00</v>
      </c>
      <c r="E146" s="9">
        <v>43865.34375</v>
      </c>
      <c r="F146" s="10">
        <f>INT(Cardiac_Table[[#This Row],[Procedure Start Date and Time]])</f>
        <v>43865</v>
      </c>
      <c r="G146" s="12">
        <f>MOD(Cardiac_Table[[#This Row],[Procedure Start Date and Time]],1)</f>
        <v>0.34375</v>
      </c>
      <c r="H146">
        <v>2</v>
      </c>
      <c r="I146" t="s">
        <v>4</v>
      </c>
      <c r="J146" t="s">
        <v>10</v>
      </c>
      <c r="K146" t="s">
        <v>30</v>
      </c>
      <c r="L146">
        <v>53</v>
      </c>
      <c r="M146">
        <v>1.33</v>
      </c>
      <c r="N146">
        <v>0.69</v>
      </c>
      <c r="O146" t="s">
        <v>15</v>
      </c>
      <c r="P146">
        <v>92</v>
      </c>
      <c r="Q146">
        <v>157</v>
      </c>
      <c r="R146">
        <v>78</v>
      </c>
      <c r="S146">
        <v>38</v>
      </c>
      <c r="T146" t="s">
        <v>50</v>
      </c>
      <c r="U146">
        <f>IF(Cardiac_Table[[#This Row],[Patient Status at Discharge]]="Died", 1,0)</f>
        <v>0</v>
      </c>
      <c r="V146">
        <f>Cardiac_Table[[#This Row],[Risk of Death % (Model 1)]]/100</f>
        <v>1.3300000000000001E-2</v>
      </c>
      <c r="W146">
        <f>Cardiac_Table[[#This Row],[Risk of Death % (Model 2)]]/100</f>
        <v>6.8999999999999999E-3</v>
      </c>
      <c r="X146" s="18">
        <f>Cardiac_Table[[#This Row],[Procedure Start Date and Time]]-Cardiac_Table[[#This Row],[Hospital Admit Date ]]</f>
        <v>0.76041666666424135</v>
      </c>
    </row>
    <row r="147" spans="1:24" x14ac:dyDescent="0.35">
      <c r="A147">
        <v>148</v>
      </c>
      <c r="B147" s="9">
        <v>43865.318055555559</v>
      </c>
      <c r="C147" s="10">
        <f>INT(Cardiac_Table[[#This Row],[Hospital Admit Date ]])</f>
        <v>43865</v>
      </c>
      <c r="D147" s="11" t="str">
        <f t="shared" si="2"/>
        <v>07:38</v>
      </c>
      <c r="E147" s="9">
        <v>43865.563888888886</v>
      </c>
      <c r="F147" s="10">
        <f>INT(Cardiac_Table[[#This Row],[Procedure Start Date and Time]])</f>
        <v>43865</v>
      </c>
      <c r="G147" s="12">
        <f>MOD(Cardiac_Table[[#This Row],[Procedure Start Date and Time]],1)</f>
        <v>0.56388888888614019</v>
      </c>
      <c r="H147">
        <v>6</v>
      </c>
      <c r="I147" t="s">
        <v>4</v>
      </c>
      <c r="J147" t="s">
        <v>3</v>
      </c>
      <c r="K147" t="s">
        <v>31</v>
      </c>
      <c r="L147">
        <v>73</v>
      </c>
      <c r="M147">
        <v>3.74</v>
      </c>
      <c r="N147">
        <v>0.81</v>
      </c>
      <c r="O147" t="s">
        <v>15</v>
      </c>
      <c r="P147">
        <v>83</v>
      </c>
      <c r="Q147">
        <v>187</v>
      </c>
      <c r="R147">
        <v>70</v>
      </c>
      <c r="S147">
        <v>30</v>
      </c>
      <c r="T147" t="s">
        <v>49</v>
      </c>
      <c r="U147">
        <f>IF(Cardiac_Table[[#This Row],[Patient Status at Discharge]]="Died", 1,0)</f>
        <v>0</v>
      </c>
      <c r="V147">
        <f>Cardiac_Table[[#This Row],[Risk of Death % (Model 1)]]/100</f>
        <v>3.7400000000000003E-2</v>
      </c>
      <c r="W147">
        <f>Cardiac_Table[[#This Row],[Risk of Death % (Model 2)]]/100</f>
        <v>8.1000000000000013E-3</v>
      </c>
      <c r="X147" s="18">
        <f>Cardiac_Table[[#This Row],[Procedure Start Date and Time]]-Cardiac_Table[[#This Row],[Hospital Admit Date ]]</f>
        <v>0.2458333333270275</v>
      </c>
    </row>
    <row r="148" spans="1:24" x14ac:dyDescent="0.35">
      <c r="A148">
        <v>149</v>
      </c>
      <c r="B148" s="9">
        <v>43865.307638888888</v>
      </c>
      <c r="C148" s="10">
        <f>INT(Cardiac_Table[[#This Row],[Hospital Admit Date ]])</f>
        <v>43865</v>
      </c>
      <c r="D148" s="11" t="str">
        <f t="shared" si="2"/>
        <v>07:23</v>
      </c>
      <c r="E148" s="9">
        <v>43865.565972222219</v>
      </c>
      <c r="F148" s="10">
        <f>INT(Cardiac_Table[[#This Row],[Procedure Start Date and Time]])</f>
        <v>43865</v>
      </c>
      <c r="G148" s="12">
        <f>MOD(Cardiac_Table[[#This Row],[Procedure Start Date and Time]],1)</f>
        <v>0.56597222221898846</v>
      </c>
      <c r="H148">
        <v>2</v>
      </c>
      <c r="I148" t="s">
        <v>4</v>
      </c>
      <c r="J148" t="s">
        <v>10</v>
      </c>
      <c r="K148" t="s">
        <v>30</v>
      </c>
      <c r="L148">
        <v>78</v>
      </c>
      <c r="M148">
        <v>3.06</v>
      </c>
      <c r="N148">
        <v>1.1299999999999999</v>
      </c>
      <c r="O148" t="s">
        <v>15</v>
      </c>
      <c r="P148">
        <v>75</v>
      </c>
      <c r="Q148">
        <v>176</v>
      </c>
      <c r="R148">
        <v>90</v>
      </c>
      <c r="S148">
        <v>51</v>
      </c>
      <c r="T148" t="s">
        <v>48</v>
      </c>
      <c r="U148">
        <f>IF(Cardiac_Table[[#This Row],[Patient Status at Discharge]]="Died", 1,0)</f>
        <v>0</v>
      </c>
      <c r="V148">
        <f>Cardiac_Table[[#This Row],[Risk of Death % (Model 1)]]/100</f>
        <v>3.0600000000000002E-2</v>
      </c>
      <c r="W148">
        <f>Cardiac_Table[[#This Row],[Risk of Death % (Model 2)]]/100</f>
        <v>1.1299999999999999E-2</v>
      </c>
      <c r="X148" s="18">
        <f>Cardiac_Table[[#This Row],[Procedure Start Date and Time]]-Cardiac_Table[[#This Row],[Hospital Admit Date ]]</f>
        <v>0.25833333333139308</v>
      </c>
    </row>
    <row r="149" spans="1:24" x14ac:dyDescent="0.35">
      <c r="A149">
        <v>150</v>
      </c>
      <c r="B149" s="9">
        <v>43865.458333333336</v>
      </c>
      <c r="C149" s="10">
        <f>INT(Cardiac_Table[[#This Row],[Hospital Admit Date ]])</f>
        <v>43865</v>
      </c>
      <c r="D149" s="11" t="str">
        <f t="shared" si="2"/>
        <v>11:00</v>
      </c>
      <c r="E149" s="9">
        <v>43866.341666666667</v>
      </c>
      <c r="F149" s="10">
        <f>INT(Cardiac_Table[[#This Row],[Procedure Start Date and Time]])</f>
        <v>43866</v>
      </c>
      <c r="G149" s="12">
        <f>MOD(Cardiac_Table[[#This Row],[Procedure Start Date and Time]],1)</f>
        <v>0.34166666666715173</v>
      </c>
      <c r="H149">
        <v>6</v>
      </c>
      <c r="I149" t="s">
        <v>6</v>
      </c>
      <c r="J149" t="s">
        <v>11</v>
      </c>
      <c r="K149" t="s">
        <v>21</v>
      </c>
      <c r="L149">
        <v>81</v>
      </c>
      <c r="M149">
        <v>6.21</v>
      </c>
      <c r="N149">
        <v>3.81</v>
      </c>
      <c r="O149" t="s">
        <v>15</v>
      </c>
      <c r="P149">
        <v>114</v>
      </c>
      <c r="Q149">
        <v>178</v>
      </c>
      <c r="R149">
        <v>95</v>
      </c>
      <c r="S149">
        <v>65</v>
      </c>
      <c r="T149" t="s">
        <v>48</v>
      </c>
      <c r="U149">
        <f>IF(Cardiac_Table[[#This Row],[Patient Status at Discharge]]="Died", 1,0)</f>
        <v>0</v>
      </c>
      <c r="V149">
        <f>Cardiac_Table[[#This Row],[Risk of Death % (Model 1)]]/100</f>
        <v>6.2100000000000002E-2</v>
      </c>
      <c r="W149">
        <f>Cardiac_Table[[#This Row],[Risk of Death % (Model 2)]]/100</f>
        <v>3.8100000000000002E-2</v>
      </c>
      <c r="X149" s="18">
        <f>Cardiac_Table[[#This Row],[Procedure Start Date and Time]]-Cardiac_Table[[#This Row],[Hospital Admit Date ]]</f>
        <v>0.88333333333139308</v>
      </c>
    </row>
    <row r="150" spans="1:24" x14ac:dyDescent="0.35">
      <c r="A150">
        <v>151</v>
      </c>
      <c r="B150" s="9">
        <v>43864.59652777778</v>
      </c>
      <c r="C150" s="10">
        <f>INT(Cardiac_Table[[#This Row],[Hospital Admit Date ]])</f>
        <v>43864</v>
      </c>
      <c r="D150" s="11" t="str">
        <f t="shared" si="2"/>
        <v>14:19</v>
      </c>
      <c r="E150" s="9">
        <v>43866.344444444447</v>
      </c>
      <c r="F150" s="10">
        <f>INT(Cardiac_Table[[#This Row],[Procedure Start Date and Time]])</f>
        <v>43866</v>
      </c>
      <c r="G150" s="12">
        <f>MOD(Cardiac_Table[[#This Row],[Procedure Start Date and Time]],1)</f>
        <v>0.34444444444670808</v>
      </c>
      <c r="H150">
        <v>5</v>
      </c>
      <c r="I150" t="s">
        <v>4</v>
      </c>
      <c r="J150" t="s">
        <v>3</v>
      </c>
      <c r="K150" t="s">
        <v>35</v>
      </c>
      <c r="L150">
        <v>64</v>
      </c>
      <c r="M150">
        <v>7.48</v>
      </c>
      <c r="N150">
        <v>2.11</v>
      </c>
      <c r="O150" t="s">
        <v>15</v>
      </c>
      <c r="P150">
        <v>81</v>
      </c>
      <c r="Q150">
        <v>174</v>
      </c>
      <c r="R150">
        <v>82</v>
      </c>
      <c r="S150">
        <v>59</v>
      </c>
      <c r="T150" t="s">
        <v>48</v>
      </c>
      <c r="U150">
        <f>IF(Cardiac_Table[[#This Row],[Patient Status at Discharge]]="Died", 1,0)</f>
        <v>0</v>
      </c>
      <c r="V150">
        <f>Cardiac_Table[[#This Row],[Risk of Death % (Model 1)]]/100</f>
        <v>7.4800000000000005E-2</v>
      </c>
      <c r="W150">
        <f>Cardiac_Table[[#This Row],[Risk of Death % (Model 2)]]/100</f>
        <v>2.1099999999999997E-2</v>
      </c>
      <c r="X150" s="18">
        <f>Cardiac_Table[[#This Row],[Procedure Start Date and Time]]-Cardiac_Table[[#This Row],[Hospital Admit Date ]]</f>
        <v>1.7479166666671517</v>
      </c>
    </row>
    <row r="151" spans="1:24" x14ac:dyDescent="0.35">
      <c r="A151">
        <v>152</v>
      </c>
      <c r="B151" s="9">
        <v>43865.78125</v>
      </c>
      <c r="C151" s="10">
        <f>INT(Cardiac_Table[[#This Row],[Hospital Admit Date ]])</f>
        <v>43865</v>
      </c>
      <c r="D151" s="11" t="str">
        <f t="shared" si="2"/>
        <v>18:45</v>
      </c>
      <c r="E151" s="9">
        <v>43866.357638888891</v>
      </c>
      <c r="F151" s="10">
        <f>INT(Cardiac_Table[[#This Row],[Procedure Start Date and Time]])</f>
        <v>43866</v>
      </c>
      <c r="G151" s="12">
        <f>MOD(Cardiac_Table[[#This Row],[Procedure Start Date and Time]],1)</f>
        <v>0.35763888889050577</v>
      </c>
      <c r="H151">
        <v>3</v>
      </c>
      <c r="I151" t="s">
        <v>6</v>
      </c>
      <c r="J151" t="s">
        <v>10</v>
      </c>
      <c r="K151" t="s">
        <v>31</v>
      </c>
      <c r="L151">
        <v>63</v>
      </c>
      <c r="M151">
        <v>6.38</v>
      </c>
      <c r="N151">
        <v>1.65</v>
      </c>
      <c r="O151" t="s">
        <v>15</v>
      </c>
      <c r="P151">
        <v>130</v>
      </c>
      <c r="Q151">
        <v>168</v>
      </c>
      <c r="R151">
        <v>91</v>
      </c>
      <c r="S151">
        <v>65</v>
      </c>
      <c r="T151" t="s">
        <v>48</v>
      </c>
      <c r="U151">
        <f>IF(Cardiac_Table[[#This Row],[Patient Status at Discharge]]="Died", 1,0)</f>
        <v>0</v>
      </c>
      <c r="V151">
        <f>Cardiac_Table[[#This Row],[Risk of Death % (Model 1)]]/100</f>
        <v>6.3799999999999996E-2</v>
      </c>
      <c r="W151">
        <f>Cardiac_Table[[#This Row],[Risk of Death % (Model 2)]]/100</f>
        <v>1.6500000000000001E-2</v>
      </c>
      <c r="X151" s="18">
        <f>Cardiac_Table[[#This Row],[Procedure Start Date and Time]]-Cardiac_Table[[#This Row],[Hospital Admit Date ]]</f>
        <v>0.57638888889050577</v>
      </c>
    </row>
    <row r="152" spans="1:24" x14ac:dyDescent="0.35">
      <c r="A152">
        <v>153</v>
      </c>
      <c r="B152" s="9">
        <v>43866.27847222222</v>
      </c>
      <c r="C152" s="10">
        <f>INT(Cardiac_Table[[#This Row],[Hospital Admit Date ]])</f>
        <v>43866</v>
      </c>
      <c r="D152" s="11" t="str">
        <f t="shared" si="2"/>
        <v>06:41</v>
      </c>
      <c r="E152" s="9">
        <v>43866.368055555555</v>
      </c>
      <c r="F152" s="10">
        <f>INT(Cardiac_Table[[#This Row],[Procedure Start Date and Time]])</f>
        <v>43866</v>
      </c>
      <c r="G152" s="12">
        <f>MOD(Cardiac_Table[[#This Row],[Procedure Start Date and Time]],1)</f>
        <v>0.36805555555474712</v>
      </c>
      <c r="H152">
        <v>2</v>
      </c>
      <c r="I152" t="s">
        <v>4</v>
      </c>
      <c r="J152" t="s">
        <v>3</v>
      </c>
      <c r="K152" t="s">
        <v>28</v>
      </c>
      <c r="L152">
        <v>68</v>
      </c>
      <c r="M152">
        <v>7.71</v>
      </c>
      <c r="N152">
        <v>3.41</v>
      </c>
      <c r="O152" t="s">
        <v>15</v>
      </c>
      <c r="P152">
        <v>88</v>
      </c>
      <c r="Q152">
        <v>178</v>
      </c>
      <c r="R152">
        <v>81</v>
      </c>
      <c r="S152">
        <v>55</v>
      </c>
      <c r="T152" t="s">
        <v>48</v>
      </c>
      <c r="U152">
        <f>IF(Cardiac_Table[[#This Row],[Patient Status at Discharge]]="Died", 1,0)</f>
        <v>0</v>
      </c>
      <c r="V152">
        <f>Cardiac_Table[[#This Row],[Risk of Death % (Model 1)]]/100</f>
        <v>7.7100000000000002E-2</v>
      </c>
      <c r="W152">
        <f>Cardiac_Table[[#This Row],[Risk of Death % (Model 2)]]/100</f>
        <v>3.4099999999999998E-2</v>
      </c>
      <c r="X152" s="18">
        <f>Cardiac_Table[[#This Row],[Procedure Start Date and Time]]-Cardiac_Table[[#This Row],[Hospital Admit Date ]]</f>
        <v>8.9583333334303461E-2</v>
      </c>
    </row>
    <row r="153" spans="1:24" x14ac:dyDescent="0.35">
      <c r="A153">
        <v>154</v>
      </c>
      <c r="B153" s="9">
        <v>43866.327777777777</v>
      </c>
      <c r="C153" s="10">
        <f>INT(Cardiac_Table[[#This Row],[Hospital Admit Date ]])</f>
        <v>43866</v>
      </c>
      <c r="D153" s="11" t="str">
        <f t="shared" si="2"/>
        <v>07:52</v>
      </c>
      <c r="E153" s="9">
        <v>43866.572916666664</v>
      </c>
      <c r="F153" s="10">
        <f>INT(Cardiac_Table[[#This Row],[Procedure Start Date and Time]])</f>
        <v>43866</v>
      </c>
      <c r="G153" s="12">
        <f>MOD(Cardiac_Table[[#This Row],[Procedure Start Date and Time]],1)</f>
        <v>0.57291666666424135</v>
      </c>
      <c r="H153">
        <v>2</v>
      </c>
      <c r="I153" t="s">
        <v>4</v>
      </c>
      <c r="J153" t="s">
        <v>11</v>
      </c>
      <c r="K153" t="s">
        <v>28</v>
      </c>
      <c r="L153">
        <v>71</v>
      </c>
      <c r="M153">
        <v>3.29</v>
      </c>
      <c r="N153">
        <v>1.18</v>
      </c>
      <c r="O153" t="s">
        <v>15</v>
      </c>
      <c r="P153">
        <v>67</v>
      </c>
      <c r="Q153">
        <v>158</v>
      </c>
      <c r="R153">
        <v>78</v>
      </c>
      <c r="S153">
        <v>60</v>
      </c>
      <c r="T153" t="s">
        <v>48</v>
      </c>
      <c r="U153">
        <f>IF(Cardiac_Table[[#This Row],[Patient Status at Discharge]]="Died", 1,0)</f>
        <v>0</v>
      </c>
      <c r="V153">
        <f>Cardiac_Table[[#This Row],[Risk of Death % (Model 1)]]/100</f>
        <v>3.2899999999999999E-2</v>
      </c>
      <c r="W153">
        <f>Cardiac_Table[[#This Row],[Risk of Death % (Model 2)]]/100</f>
        <v>1.18E-2</v>
      </c>
      <c r="X153" s="18">
        <f>Cardiac_Table[[#This Row],[Procedure Start Date and Time]]-Cardiac_Table[[#This Row],[Hospital Admit Date ]]</f>
        <v>0.24513888888759539</v>
      </c>
    </row>
    <row r="154" spans="1:24" x14ac:dyDescent="0.35">
      <c r="A154">
        <v>155</v>
      </c>
      <c r="B154" s="9">
        <v>43866.324305555558</v>
      </c>
      <c r="C154" s="10">
        <f>INT(Cardiac_Table[[#This Row],[Hospital Admit Date ]])</f>
        <v>43866</v>
      </c>
      <c r="D154" s="11" t="str">
        <f t="shared" si="2"/>
        <v>07:47</v>
      </c>
      <c r="E154" s="9">
        <v>43866.652777777781</v>
      </c>
      <c r="F154" s="10">
        <f>INT(Cardiac_Table[[#This Row],[Procedure Start Date and Time]])</f>
        <v>43866</v>
      </c>
      <c r="G154" s="12">
        <f>MOD(Cardiac_Table[[#This Row],[Procedure Start Date and Time]],1)</f>
        <v>0.65277777778101154</v>
      </c>
      <c r="H154">
        <v>3</v>
      </c>
      <c r="I154" t="s">
        <v>6</v>
      </c>
      <c r="J154" t="s">
        <v>10</v>
      </c>
      <c r="K154" t="s">
        <v>23</v>
      </c>
      <c r="L154">
        <v>76</v>
      </c>
      <c r="M154">
        <v>3.7</v>
      </c>
      <c r="N154">
        <v>1.34</v>
      </c>
      <c r="O154" t="s">
        <v>15</v>
      </c>
      <c r="P154">
        <v>98</v>
      </c>
      <c r="Q154">
        <v>173</v>
      </c>
      <c r="R154">
        <v>68</v>
      </c>
      <c r="S154">
        <v>50</v>
      </c>
      <c r="T154" t="s">
        <v>50</v>
      </c>
      <c r="U154">
        <f>IF(Cardiac_Table[[#This Row],[Patient Status at Discharge]]="Died", 1,0)</f>
        <v>0</v>
      </c>
      <c r="V154">
        <f>Cardiac_Table[[#This Row],[Risk of Death % (Model 1)]]/100</f>
        <v>3.7000000000000005E-2</v>
      </c>
      <c r="W154">
        <f>Cardiac_Table[[#This Row],[Risk of Death % (Model 2)]]/100</f>
        <v>1.34E-2</v>
      </c>
      <c r="X154" s="18">
        <f>Cardiac_Table[[#This Row],[Procedure Start Date and Time]]-Cardiac_Table[[#This Row],[Hospital Admit Date ]]</f>
        <v>0.32847222222335404</v>
      </c>
    </row>
    <row r="155" spans="1:24" x14ac:dyDescent="0.35">
      <c r="A155">
        <v>156</v>
      </c>
      <c r="B155" s="9">
        <v>43866.567361111112</v>
      </c>
      <c r="C155" s="10">
        <f>INT(Cardiac_Table[[#This Row],[Hospital Admit Date ]])</f>
        <v>43866</v>
      </c>
      <c r="D155" s="11" t="str">
        <f t="shared" si="2"/>
        <v>13:37</v>
      </c>
      <c r="E155" s="9">
        <v>43867.333333333336</v>
      </c>
      <c r="F155" s="10">
        <f>INT(Cardiac_Table[[#This Row],[Procedure Start Date and Time]])</f>
        <v>43867</v>
      </c>
      <c r="G155" s="12">
        <f>MOD(Cardiac_Table[[#This Row],[Procedure Start Date and Time]],1)</f>
        <v>0.33333333333575865</v>
      </c>
      <c r="H155">
        <v>3</v>
      </c>
      <c r="I155" t="s">
        <v>4</v>
      </c>
      <c r="J155" t="s">
        <v>3</v>
      </c>
      <c r="K155" t="s">
        <v>34</v>
      </c>
      <c r="L155">
        <v>80</v>
      </c>
      <c r="M155">
        <v>7.94</v>
      </c>
      <c r="N155">
        <v>1.88</v>
      </c>
      <c r="O155" t="s">
        <v>15</v>
      </c>
      <c r="P155">
        <v>83</v>
      </c>
      <c r="Q155">
        <v>166</v>
      </c>
      <c r="R155">
        <v>62</v>
      </c>
      <c r="S155">
        <v>55</v>
      </c>
      <c r="T155" t="s">
        <v>48</v>
      </c>
      <c r="U155">
        <f>IF(Cardiac_Table[[#This Row],[Patient Status at Discharge]]="Died", 1,0)</f>
        <v>0</v>
      </c>
      <c r="V155">
        <f>Cardiac_Table[[#This Row],[Risk of Death % (Model 1)]]/100</f>
        <v>7.9399999999999998E-2</v>
      </c>
      <c r="W155">
        <f>Cardiac_Table[[#This Row],[Risk of Death % (Model 2)]]/100</f>
        <v>1.8799999999999997E-2</v>
      </c>
      <c r="X155" s="18">
        <f>Cardiac_Table[[#This Row],[Procedure Start Date and Time]]-Cardiac_Table[[#This Row],[Hospital Admit Date ]]</f>
        <v>0.76597222222335404</v>
      </c>
    </row>
    <row r="156" spans="1:24" x14ac:dyDescent="0.35">
      <c r="A156">
        <v>157</v>
      </c>
      <c r="B156" s="9">
        <v>43866.545138888891</v>
      </c>
      <c r="C156" s="10">
        <f>INT(Cardiac_Table[[#This Row],[Hospital Admit Date ]])</f>
        <v>43866</v>
      </c>
      <c r="D156" s="11" t="str">
        <f t="shared" si="2"/>
        <v>13:05</v>
      </c>
      <c r="E156" s="9">
        <v>43867.336805555555</v>
      </c>
      <c r="F156" s="10">
        <f>INT(Cardiac_Table[[#This Row],[Procedure Start Date and Time]])</f>
        <v>43867</v>
      </c>
      <c r="G156" s="12">
        <f>MOD(Cardiac_Table[[#This Row],[Procedure Start Date and Time]],1)</f>
        <v>0.33680555555474712</v>
      </c>
      <c r="H156">
        <v>5</v>
      </c>
      <c r="I156" t="s">
        <v>4</v>
      </c>
      <c r="J156" t="s">
        <v>10</v>
      </c>
      <c r="K156" t="s">
        <v>31</v>
      </c>
      <c r="L156">
        <v>70</v>
      </c>
      <c r="M156">
        <v>2.74</v>
      </c>
      <c r="N156">
        <v>1.01</v>
      </c>
      <c r="O156" t="s">
        <v>15</v>
      </c>
      <c r="P156">
        <v>86</v>
      </c>
      <c r="Q156">
        <v>170</v>
      </c>
      <c r="R156">
        <v>70</v>
      </c>
      <c r="S156">
        <v>45</v>
      </c>
      <c r="T156" t="s">
        <v>50</v>
      </c>
      <c r="U156">
        <f>IF(Cardiac_Table[[#This Row],[Patient Status at Discharge]]="Died", 1,0)</f>
        <v>0</v>
      </c>
      <c r="V156">
        <f>Cardiac_Table[[#This Row],[Risk of Death % (Model 1)]]/100</f>
        <v>2.7400000000000001E-2</v>
      </c>
      <c r="W156">
        <f>Cardiac_Table[[#This Row],[Risk of Death % (Model 2)]]/100</f>
        <v>1.01E-2</v>
      </c>
      <c r="X156" s="18">
        <f>Cardiac_Table[[#This Row],[Procedure Start Date and Time]]-Cardiac_Table[[#This Row],[Hospital Admit Date ]]</f>
        <v>0.79166666666424135</v>
      </c>
    </row>
    <row r="157" spans="1:24" x14ac:dyDescent="0.35">
      <c r="A157">
        <v>158</v>
      </c>
      <c r="B157" s="9">
        <v>43865.53125</v>
      </c>
      <c r="C157" s="10">
        <f>INT(Cardiac_Table[[#This Row],[Hospital Admit Date ]])</f>
        <v>43865</v>
      </c>
      <c r="D157" s="11" t="str">
        <f t="shared" si="2"/>
        <v>12:45</v>
      </c>
      <c r="E157" s="9">
        <v>43867.349305555559</v>
      </c>
      <c r="F157" s="10">
        <f>INT(Cardiac_Table[[#This Row],[Procedure Start Date and Time]])</f>
        <v>43867</v>
      </c>
      <c r="G157" s="12">
        <f>MOD(Cardiac_Table[[#This Row],[Procedure Start Date and Time]],1)</f>
        <v>0.34930555555911269</v>
      </c>
      <c r="H157">
        <v>6</v>
      </c>
      <c r="I157" t="s">
        <v>6</v>
      </c>
      <c r="J157" t="s">
        <v>3</v>
      </c>
      <c r="K157" t="s">
        <v>36</v>
      </c>
      <c r="L157">
        <v>50</v>
      </c>
      <c r="M157">
        <v>60.35</v>
      </c>
      <c r="N157">
        <v>48.1</v>
      </c>
      <c r="O157" t="s">
        <v>13</v>
      </c>
      <c r="P157">
        <v>77</v>
      </c>
      <c r="Q157">
        <v>180</v>
      </c>
      <c r="R157">
        <v>73</v>
      </c>
      <c r="S157">
        <v>60</v>
      </c>
      <c r="T157" t="s">
        <v>48</v>
      </c>
      <c r="U157">
        <f>IF(Cardiac_Table[[#This Row],[Patient Status at Discharge]]="Died", 1,0)</f>
        <v>1</v>
      </c>
      <c r="V157">
        <f>Cardiac_Table[[#This Row],[Risk of Death % (Model 1)]]/100</f>
        <v>0.60350000000000004</v>
      </c>
      <c r="W157">
        <f>Cardiac_Table[[#This Row],[Risk of Death % (Model 2)]]/100</f>
        <v>0.48100000000000004</v>
      </c>
      <c r="X157" s="18">
        <f>Cardiac_Table[[#This Row],[Procedure Start Date and Time]]-Cardiac_Table[[#This Row],[Hospital Admit Date ]]</f>
        <v>1.8180555555591127</v>
      </c>
    </row>
    <row r="158" spans="1:24" x14ac:dyDescent="0.35">
      <c r="A158">
        <v>159</v>
      </c>
      <c r="B158" s="9">
        <v>43867.334027777775</v>
      </c>
      <c r="C158" s="10">
        <f>INT(Cardiac_Table[[#This Row],[Hospital Admit Date ]])</f>
        <v>43867</v>
      </c>
      <c r="D158" s="11" t="str">
        <f t="shared" si="2"/>
        <v>08:01</v>
      </c>
      <c r="E158" s="9">
        <v>43867.395833333336</v>
      </c>
      <c r="F158" s="10">
        <f>INT(Cardiac_Table[[#This Row],[Procedure Start Date and Time]])</f>
        <v>43867</v>
      </c>
      <c r="G158" s="12">
        <f>MOD(Cardiac_Table[[#This Row],[Procedure Start Date and Time]],1)</f>
        <v>0.39583333333575865</v>
      </c>
      <c r="H158">
        <v>2</v>
      </c>
      <c r="I158" t="s">
        <v>4</v>
      </c>
      <c r="J158" t="s">
        <v>10</v>
      </c>
      <c r="K158" t="s">
        <v>23</v>
      </c>
      <c r="L158">
        <v>85</v>
      </c>
      <c r="M158">
        <v>14.14</v>
      </c>
      <c r="N158">
        <v>3.69</v>
      </c>
      <c r="O158" t="s">
        <v>15</v>
      </c>
      <c r="P158">
        <v>80</v>
      </c>
      <c r="Q158">
        <v>173</v>
      </c>
      <c r="R158">
        <v>92</v>
      </c>
      <c r="S158">
        <v>55</v>
      </c>
      <c r="T158" t="s">
        <v>48</v>
      </c>
      <c r="U158">
        <f>IF(Cardiac_Table[[#This Row],[Patient Status at Discharge]]="Died", 1,0)</f>
        <v>0</v>
      </c>
      <c r="V158">
        <f>Cardiac_Table[[#This Row],[Risk of Death % (Model 1)]]/100</f>
        <v>0.1414</v>
      </c>
      <c r="W158">
        <f>Cardiac_Table[[#This Row],[Risk of Death % (Model 2)]]/100</f>
        <v>3.6900000000000002E-2</v>
      </c>
      <c r="X158" s="18">
        <f>Cardiac_Table[[#This Row],[Procedure Start Date and Time]]-Cardiac_Table[[#This Row],[Hospital Admit Date ]]</f>
        <v>6.1805555560567882E-2</v>
      </c>
    </row>
    <row r="159" spans="1:24" x14ac:dyDescent="0.35">
      <c r="A159">
        <v>160</v>
      </c>
      <c r="B159" s="9">
        <v>43866.578472222223</v>
      </c>
      <c r="C159" s="10">
        <f>INT(Cardiac_Table[[#This Row],[Hospital Admit Date ]])</f>
        <v>43866</v>
      </c>
      <c r="D159" s="11" t="str">
        <f t="shared" si="2"/>
        <v>13:53</v>
      </c>
      <c r="E159" s="9">
        <v>43867.607638888891</v>
      </c>
      <c r="F159" s="10">
        <f>INT(Cardiac_Table[[#This Row],[Procedure Start Date and Time]])</f>
        <v>43867</v>
      </c>
      <c r="G159" s="12">
        <f>MOD(Cardiac_Table[[#This Row],[Procedure Start Date and Time]],1)</f>
        <v>0.60763888889050577</v>
      </c>
      <c r="H159">
        <v>2</v>
      </c>
      <c r="I159" t="s">
        <v>4</v>
      </c>
      <c r="J159" t="s">
        <v>3</v>
      </c>
      <c r="K159" t="s">
        <v>31</v>
      </c>
      <c r="L159">
        <v>74</v>
      </c>
      <c r="M159">
        <v>16.940000000000001</v>
      </c>
      <c r="N159">
        <v>6.72</v>
      </c>
      <c r="O159" t="s">
        <v>15</v>
      </c>
      <c r="P159">
        <v>81</v>
      </c>
      <c r="Q159">
        <v>178</v>
      </c>
      <c r="R159">
        <v>75</v>
      </c>
      <c r="S159">
        <v>50</v>
      </c>
      <c r="T159" t="s">
        <v>50</v>
      </c>
      <c r="U159">
        <f>IF(Cardiac_Table[[#This Row],[Patient Status at Discharge]]="Died", 1,0)</f>
        <v>0</v>
      </c>
      <c r="V159">
        <f>Cardiac_Table[[#This Row],[Risk of Death % (Model 1)]]/100</f>
        <v>0.16940000000000002</v>
      </c>
      <c r="W159">
        <f>Cardiac_Table[[#This Row],[Risk of Death % (Model 2)]]/100</f>
        <v>6.7199999999999996E-2</v>
      </c>
      <c r="X159" s="18">
        <f>Cardiac_Table[[#This Row],[Procedure Start Date and Time]]-Cardiac_Table[[#This Row],[Hospital Admit Date ]]</f>
        <v>1.0291666666671517</v>
      </c>
    </row>
    <row r="160" spans="1:24" x14ac:dyDescent="0.35">
      <c r="A160">
        <v>161</v>
      </c>
      <c r="B160" s="9">
        <v>43861.416666666664</v>
      </c>
      <c r="C160" s="10">
        <f>INT(Cardiac_Table[[#This Row],[Hospital Admit Date ]])</f>
        <v>43861</v>
      </c>
      <c r="D160" s="11" t="str">
        <f t="shared" si="2"/>
        <v>10:00</v>
      </c>
      <c r="E160" s="9">
        <v>43867.618055555555</v>
      </c>
      <c r="F160" s="10">
        <f>INT(Cardiac_Table[[#This Row],[Procedure Start Date and Time]])</f>
        <v>43867</v>
      </c>
      <c r="G160" s="12">
        <f>MOD(Cardiac_Table[[#This Row],[Procedure Start Date and Time]],1)</f>
        <v>0.61805555555474712</v>
      </c>
      <c r="H160">
        <v>5</v>
      </c>
      <c r="I160" t="s">
        <v>6</v>
      </c>
      <c r="J160" t="s">
        <v>10</v>
      </c>
      <c r="K160" t="s">
        <v>34</v>
      </c>
      <c r="L160">
        <v>62</v>
      </c>
      <c r="M160">
        <v>1.84</v>
      </c>
      <c r="N160">
        <v>0.94</v>
      </c>
      <c r="O160" t="s">
        <v>15</v>
      </c>
      <c r="P160">
        <v>100</v>
      </c>
      <c r="Q160">
        <v>172</v>
      </c>
      <c r="R160">
        <v>94</v>
      </c>
      <c r="S160">
        <v>55</v>
      </c>
      <c r="T160" t="s">
        <v>48</v>
      </c>
      <c r="U160">
        <f>IF(Cardiac_Table[[#This Row],[Patient Status at Discharge]]="Died", 1,0)</f>
        <v>0</v>
      </c>
      <c r="V160">
        <f>Cardiac_Table[[#This Row],[Risk of Death % (Model 1)]]/100</f>
        <v>1.84E-2</v>
      </c>
      <c r="W160">
        <f>Cardiac_Table[[#This Row],[Risk of Death % (Model 2)]]/100</f>
        <v>9.3999999999999986E-3</v>
      </c>
      <c r="X160" s="18">
        <f>Cardiac_Table[[#This Row],[Procedure Start Date and Time]]-Cardiac_Table[[#This Row],[Hospital Admit Date ]]</f>
        <v>6.2013888888905058</v>
      </c>
    </row>
    <row r="161" spans="1:24" x14ac:dyDescent="0.35">
      <c r="A161">
        <v>162</v>
      </c>
      <c r="B161" s="9">
        <v>43852.5</v>
      </c>
      <c r="C161" s="10">
        <f>INT(Cardiac_Table[[#This Row],[Hospital Admit Date ]])</f>
        <v>43852</v>
      </c>
      <c r="D161" s="11" t="str">
        <f t="shared" si="2"/>
        <v>12:00</v>
      </c>
      <c r="E161" s="9">
        <v>43868.344444444447</v>
      </c>
      <c r="F161" s="10">
        <f>INT(Cardiac_Table[[#This Row],[Procedure Start Date and Time]])</f>
        <v>43868</v>
      </c>
      <c r="G161" s="12">
        <f>MOD(Cardiac_Table[[#This Row],[Procedure Start Date and Time]],1)</f>
        <v>0.34444444444670808</v>
      </c>
      <c r="H161">
        <v>3</v>
      </c>
      <c r="I161" t="s">
        <v>6</v>
      </c>
      <c r="J161" t="s">
        <v>10</v>
      </c>
      <c r="K161" t="s">
        <v>33</v>
      </c>
      <c r="L161">
        <v>61</v>
      </c>
      <c r="M161">
        <v>29.02</v>
      </c>
      <c r="N161">
        <v>23.71</v>
      </c>
      <c r="O161" t="s">
        <v>15</v>
      </c>
      <c r="P161">
        <v>80</v>
      </c>
      <c r="Q161">
        <v>171</v>
      </c>
      <c r="R161">
        <v>122</v>
      </c>
      <c r="S161">
        <v>73</v>
      </c>
      <c r="T161" t="s">
        <v>48</v>
      </c>
      <c r="U161">
        <f>IF(Cardiac_Table[[#This Row],[Patient Status at Discharge]]="Died", 1,0)</f>
        <v>0</v>
      </c>
      <c r="V161">
        <f>Cardiac_Table[[#This Row],[Risk of Death % (Model 1)]]/100</f>
        <v>0.29020000000000001</v>
      </c>
      <c r="W161">
        <f>Cardiac_Table[[#This Row],[Risk of Death % (Model 2)]]/100</f>
        <v>0.23710000000000001</v>
      </c>
      <c r="X161" s="18">
        <f>Cardiac_Table[[#This Row],[Procedure Start Date and Time]]-Cardiac_Table[[#This Row],[Hospital Admit Date ]]</f>
        <v>15.844444444446708</v>
      </c>
    </row>
    <row r="162" spans="1:24" x14ac:dyDescent="0.35">
      <c r="A162">
        <v>163</v>
      </c>
      <c r="B162" s="9">
        <v>43867.458333333336</v>
      </c>
      <c r="C162" s="10">
        <f>INT(Cardiac_Table[[#This Row],[Hospital Admit Date ]])</f>
        <v>43867</v>
      </c>
      <c r="D162" s="11" t="str">
        <f t="shared" si="2"/>
        <v>11:00</v>
      </c>
      <c r="E162" s="9">
        <v>43868.401388888888</v>
      </c>
      <c r="F162" s="10">
        <f>INT(Cardiac_Table[[#This Row],[Procedure Start Date and Time]])</f>
        <v>43868</v>
      </c>
      <c r="G162" s="12">
        <f>MOD(Cardiac_Table[[#This Row],[Procedure Start Date and Time]],1)</f>
        <v>0.40138888888759539</v>
      </c>
      <c r="H162">
        <v>6</v>
      </c>
      <c r="I162" t="s">
        <v>6</v>
      </c>
      <c r="J162" t="s">
        <v>10</v>
      </c>
      <c r="K162" t="s">
        <v>31</v>
      </c>
      <c r="L162">
        <v>72</v>
      </c>
      <c r="M162">
        <v>3.35</v>
      </c>
      <c r="N162">
        <v>2.17</v>
      </c>
      <c r="O162" t="s">
        <v>15</v>
      </c>
      <c r="P162">
        <v>70</v>
      </c>
      <c r="Q162">
        <v>179</v>
      </c>
      <c r="R162">
        <v>74</v>
      </c>
      <c r="S162">
        <v>66</v>
      </c>
      <c r="T162" t="s">
        <v>48</v>
      </c>
      <c r="U162">
        <f>IF(Cardiac_Table[[#This Row],[Patient Status at Discharge]]="Died", 1,0)</f>
        <v>0</v>
      </c>
      <c r="V162">
        <f>Cardiac_Table[[#This Row],[Risk of Death % (Model 1)]]/100</f>
        <v>3.3500000000000002E-2</v>
      </c>
      <c r="W162">
        <f>Cardiac_Table[[#This Row],[Risk of Death % (Model 2)]]/100</f>
        <v>2.1700000000000001E-2</v>
      </c>
      <c r="X162" s="18">
        <f>Cardiac_Table[[#This Row],[Procedure Start Date and Time]]-Cardiac_Table[[#This Row],[Hospital Admit Date ]]</f>
        <v>0.94305555555183673</v>
      </c>
    </row>
    <row r="163" spans="1:24" x14ac:dyDescent="0.35">
      <c r="A163">
        <v>164</v>
      </c>
      <c r="B163" s="9">
        <v>43867.580555555556</v>
      </c>
      <c r="C163" s="10">
        <f>INT(Cardiac_Table[[#This Row],[Hospital Admit Date ]])</f>
        <v>43867</v>
      </c>
      <c r="D163" s="11" t="str">
        <f t="shared" si="2"/>
        <v>13:56</v>
      </c>
      <c r="E163" s="9">
        <v>43868.40625</v>
      </c>
      <c r="F163" s="10">
        <f>INT(Cardiac_Table[[#This Row],[Procedure Start Date and Time]])</f>
        <v>43868</v>
      </c>
      <c r="G163" s="12">
        <f>MOD(Cardiac_Table[[#This Row],[Procedure Start Date and Time]],1)</f>
        <v>0.40625</v>
      </c>
      <c r="H163">
        <v>5</v>
      </c>
      <c r="I163" t="s">
        <v>4</v>
      </c>
      <c r="J163" t="s">
        <v>11</v>
      </c>
      <c r="K163" t="s">
        <v>26</v>
      </c>
      <c r="L163">
        <v>77</v>
      </c>
      <c r="M163">
        <v>4.83</v>
      </c>
      <c r="N163">
        <v>1.55</v>
      </c>
      <c r="O163" t="s">
        <v>15</v>
      </c>
      <c r="P163">
        <v>91</v>
      </c>
      <c r="Q163">
        <v>178</v>
      </c>
      <c r="R163">
        <v>95</v>
      </c>
      <c r="S163">
        <v>49</v>
      </c>
      <c r="T163" t="s">
        <v>50</v>
      </c>
      <c r="U163">
        <f>IF(Cardiac_Table[[#This Row],[Patient Status at Discharge]]="Died", 1,0)</f>
        <v>0</v>
      </c>
      <c r="V163">
        <f>Cardiac_Table[[#This Row],[Risk of Death % (Model 1)]]/100</f>
        <v>4.8300000000000003E-2</v>
      </c>
      <c r="W163">
        <f>Cardiac_Table[[#This Row],[Risk of Death % (Model 2)]]/100</f>
        <v>1.55E-2</v>
      </c>
      <c r="X163" s="18">
        <f>Cardiac_Table[[#This Row],[Procedure Start Date and Time]]-Cardiac_Table[[#This Row],[Hospital Admit Date ]]</f>
        <v>0.82569444444379769</v>
      </c>
    </row>
    <row r="164" spans="1:24" x14ac:dyDescent="0.35">
      <c r="A164">
        <v>166</v>
      </c>
      <c r="B164" s="9">
        <v>43868.336805555555</v>
      </c>
      <c r="C164" s="10">
        <f>INT(Cardiac_Table[[#This Row],[Hospital Admit Date ]])</f>
        <v>43868</v>
      </c>
      <c r="D164" s="11" t="str">
        <f t="shared" si="2"/>
        <v>08:05</v>
      </c>
      <c r="E164" s="9">
        <v>43868.599305555559</v>
      </c>
      <c r="F164" s="10">
        <f>INT(Cardiac_Table[[#This Row],[Procedure Start Date and Time]])</f>
        <v>43868</v>
      </c>
      <c r="G164" s="12">
        <f>MOD(Cardiac_Table[[#This Row],[Procedure Start Date and Time]],1)</f>
        <v>0.59930555555911269</v>
      </c>
      <c r="H164">
        <v>5</v>
      </c>
      <c r="I164" t="s">
        <v>4</v>
      </c>
      <c r="J164" t="s">
        <v>3</v>
      </c>
      <c r="K164" t="s">
        <v>26</v>
      </c>
      <c r="L164">
        <v>76</v>
      </c>
      <c r="M164">
        <v>6.19</v>
      </c>
      <c r="N164">
        <v>1.0900000000000001</v>
      </c>
      <c r="O164" t="s">
        <v>15</v>
      </c>
      <c r="P164">
        <v>73</v>
      </c>
      <c r="Q164">
        <v>169</v>
      </c>
      <c r="R164">
        <v>77</v>
      </c>
      <c r="S164">
        <v>25</v>
      </c>
      <c r="T164" t="s">
        <v>49</v>
      </c>
      <c r="U164">
        <f>IF(Cardiac_Table[[#This Row],[Patient Status at Discharge]]="Died", 1,0)</f>
        <v>0</v>
      </c>
      <c r="V164">
        <f>Cardiac_Table[[#This Row],[Risk of Death % (Model 1)]]/100</f>
        <v>6.1900000000000004E-2</v>
      </c>
      <c r="W164">
        <f>Cardiac_Table[[#This Row],[Risk of Death % (Model 2)]]/100</f>
        <v>1.09E-2</v>
      </c>
      <c r="X164" s="18">
        <f>Cardiac_Table[[#This Row],[Procedure Start Date and Time]]-Cardiac_Table[[#This Row],[Hospital Admit Date ]]</f>
        <v>0.26250000000436557</v>
      </c>
    </row>
    <row r="165" spans="1:24" x14ac:dyDescent="0.35">
      <c r="A165">
        <v>167</v>
      </c>
      <c r="B165" s="9">
        <v>43867.445833333331</v>
      </c>
      <c r="C165" s="10">
        <f>INT(Cardiac_Table[[#This Row],[Hospital Admit Date ]])</f>
        <v>43867</v>
      </c>
      <c r="D165" s="11" t="str">
        <f t="shared" si="2"/>
        <v>10:42</v>
      </c>
      <c r="E165" s="9">
        <v>43869.336111111108</v>
      </c>
      <c r="F165" s="10">
        <f>INT(Cardiac_Table[[#This Row],[Procedure Start Date and Time]])</f>
        <v>43869</v>
      </c>
      <c r="G165" s="12">
        <f>MOD(Cardiac_Table[[#This Row],[Procedure Start Date and Time]],1)</f>
        <v>0.33611111110803904</v>
      </c>
      <c r="H165">
        <v>5</v>
      </c>
      <c r="I165" t="s">
        <v>4</v>
      </c>
      <c r="J165" t="s">
        <v>3</v>
      </c>
      <c r="K165" t="s">
        <v>33</v>
      </c>
      <c r="L165">
        <v>59</v>
      </c>
      <c r="M165">
        <v>2.08</v>
      </c>
      <c r="N165">
        <v>0.84</v>
      </c>
      <c r="O165" t="s">
        <v>15</v>
      </c>
      <c r="P165">
        <v>96</v>
      </c>
      <c r="Q165">
        <v>160</v>
      </c>
      <c r="R165">
        <v>82</v>
      </c>
      <c r="S165">
        <v>61</v>
      </c>
      <c r="T165" t="s">
        <v>48</v>
      </c>
      <c r="U165">
        <f>IF(Cardiac_Table[[#This Row],[Patient Status at Discharge]]="Died", 1,0)</f>
        <v>0</v>
      </c>
      <c r="V165">
        <f>Cardiac_Table[[#This Row],[Risk of Death % (Model 1)]]/100</f>
        <v>2.0799999999999999E-2</v>
      </c>
      <c r="W165">
        <f>Cardiac_Table[[#This Row],[Risk of Death % (Model 2)]]/100</f>
        <v>8.3999999999999995E-3</v>
      </c>
      <c r="X165" s="18">
        <f>Cardiac_Table[[#This Row],[Procedure Start Date and Time]]-Cardiac_Table[[#This Row],[Hospital Admit Date ]]</f>
        <v>1.890277777776646</v>
      </c>
    </row>
    <row r="166" spans="1:24" x14ac:dyDescent="0.35">
      <c r="A166">
        <v>168</v>
      </c>
      <c r="B166" s="9">
        <v>43868.666666666664</v>
      </c>
      <c r="C166" s="10">
        <f>INT(Cardiac_Table[[#This Row],[Hospital Admit Date ]])</f>
        <v>43868</v>
      </c>
      <c r="D166" s="11" t="str">
        <f t="shared" si="2"/>
        <v>16:00</v>
      </c>
      <c r="E166" s="9">
        <v>43869.336111111108</v>
      </c>
      <c r="F166" s="10">
        <f>INT(Cardiac_Table[[#This Row],[Procedure Start Date and Time]])</f>
        <v>43869</v>
      </c>
      <c r="G166" s="12">
        <f>MOD(Cardiac_Table[[#This Row],[Procedure Start Date and Time]],1)</f>
        <v>0.33611111110803904</v>
      </c>
      <c r="H166">
        <v>2</v>
      </c>
      <c r="I166" t="s">
        <v>4</v>
      </c>
      <c r="J166" t="s">
        <v>3</v>
      </c>
      <c r="K166" t="s">
        <v>23</v>
      </c>
      <c r="L166">
        <v>61</v>
      </c>
      <c r="M166">
        <v>1.72</v>
      </c>
      <c r="N166">
        <v>0.52</v>
      </c>
      <c r="O166" t="s">
        <v>15</v>
      </c>
      <c r="P166">
        <v>74</v>
      </c>
      <c r="Q166">
        <v>163</v>
      </c>
      <c r="R166">
        <v>69</v>
      </c>
      <c r="S166">
        <v>60</v>
      </c>
      <c r="T166" t="s">
        <v>48</v>
      </c>
      <c r="U166">
        <f>IF(Cardiac_Table[[#This Row],[Patient Status at Discharge]]="Died", 1,0)</f>
        <v>0</v>
      </c>
      <c r="V166">
        <f>Cardiac_Table[[#This Row],[Risk of Death % (Model 1)]]/100</f>
        <v>1.72E-2</v>
      </c>
      <c r="W166">
        <f>Cardiac_Table[[#This Row],[Risk of Death % (Model 2)]]/100</f>
        <v>5.1999999999999998E-3</v>
      </c>
      <c r="X166" s="18">
        <f>Cardiac_Table[[#This Row],[Procedure Start Date and Time]]-Cardiac_Table[[#This Row],[Hospital Admit Date ]]</f>
        <v>0.66944444444379769</v>
      </c>
    </row>
    <row r="167" spans="1:24" x14ac:dyDescent="0.35">
      <c r="A167">
        <v>169</v>
      </c>
      <c r="B167" s="9">
        <v>43868.587500000001</v>
      </c>
      <c r="C167" s="10">
        <f>INT(Cardiac_Table[[#This Row],[Hospital Admit Date ]])</f>
        <v>43868</v>
      </c>
      <c r="D167" s="11" t="str">
        <f t="shared" si="2"/>
        <v>14:06</v>
      </c>
      <c r="E167" s="9">
        <v>43869.491666666669</v>
      </c>
      <c r="F167" s="10">
        <f>INT(Cardiac_Table[[#This Row],[Procedure Start Date and Time]])</f>
        <v>43869</v>
      </c>
      <c r="G167" s="12">
        <f>MOD(Cardiac_Table[[#This Row],[Procedure Start Date and Time]],1)</f>
        <v>0.49166666666860692</v>
      </c>
      <c r="H167">
        <v>2</v>
      </c>
      <c r="I167" t="s">
        <v>4</v>
      </c>
      <c r="J167" t="s">
        <v>11</v>
      </c>
      <c r="K167" t="s">
        <v>30</v>
      </c>
      <c r="L167">
        <v>82</v>
      </c>
      <c r="M167">
        <v>8.9700000000000006</v>
      </c>
      <c r="N167">
        <v>6.06</v>
      </c>
      <c r="O167" t="s">
        <v>15</v>
      </c>
      <c r="P167">
        <v>153</v>
      </c>
      <c r="Q167">
        <v>167</v>
      </c>
      <c r="R167">
        <v>87</v>
      </c>
      <c r="S167">
        <v>59</v>
      </c>
      <c r="T167" t="s">
        <v>48</v>
      </c>
      <c r="U167">
        <f>IF(Cardiac_Table[[#This Row],[Patient Status at Discharge]]="Died", 1,0)</f>
        <v>0</v>
      </c>
      <c r="V167">
        <f>Cardiac_Table[[#This Row],[Risk of Death % (Model 1)]]/100</f>
        <v>8.9700000000000002E-2</v>
      </c>
      <c r="W167">
        <f>Cardiac_Table[[#This Row],[Risk of Death % (Model 2)]]/100</f>
        <v>6.0599999999999994E-2</v>
      </c>
      <c r="X167" s="18">
        <f>Cardiac_Table[[#This Row],[Procedure Start Date and Time]]-Cardiac_Table[[#This Row],[Hospital Admit Date ]]</f>
        <v>0.90416666666715173</v>
      </c>
    </row>
    <row r="168" spans="1:24" x14ac:dyDescent="0.35">
      <c r="A168">
        <v>170</v>
      </c>
      <c r="B168" s="9">
        <v>43870.583333333336</v>
      </c>
      <c r="C168" s="10">
        <f>INT(Cardiac_Table[[#This Row],[Hospital Admit Date ]])</f>
        <v>43870</v>
      </c>
      <c r="D168" s="11" t="str">
        <f t="shared" si="2"/>
        <v>14:00</v>
      </c>
      <c r="E168" s="9">
        <v>43871.334722222222</v>
      </c>
      <c r="F168" s="10">
        <f>INT(Cardiac_Table[[#This Row],[Procedure Start Date and Time]])</f>
        <v>43871</v>
      </c>
      <c r="G168" s="12">
        <f>MOD(Cardiac_Table[[#This Row],[Procedure Start Date and Time]],1)</f>
        <v>0.33472222222189885</v>
      </c>
      <c r="H168">
        <v>2</v>
      </c>
      <c r="I168" t="s">
        <v>4</v>
      </c>
      <c r="J168" t="s">
        <v>11</v>
      </c>
      <c r="K168" t="s">
        <v>31</v>
      </c>
      <c r="L168">
        <v>77</v>
      </c>
      <c r="M168">
        <v>4.83</v>
      </c>
      <c r="N168">
        <v>3.14</v>
      </c>
      <c r="O168" t="s">
        <v>15</v>
      </c>
      <c r="P168">
        <v>62</v>
      </c>
      <c r="Q168">
        <v>156</v>
      </c>
      <c r="R168">
        <v>66</v>
      </c>
      <c r="S168">
        <v>55</v>
      </c>
      <c r="T168" t="s">
        <v>48</v>
      </c>
      <c r="U168">
        <f>IF(Cardiac_Table[[#This Row],[Patient Status at Discharge]]="Died", 1,0)</f>
        <v>0</v>
      </c>
      <c r="V168">
        <f>Cardiac_Table[[#This Row],[Risk of Death % (Model 1)]]/100</f>
        <v>4.8300000000000003E-2</v>
      </c>
      <c r="W168">
        <f>Cardiac_Table[[#This Row],[Risk of Death % (Model 2)]]/100</f>
        <v>3.1400000000000004E-2</v>
      </c>
      <c r="X168" s="18">
        <f>Cardiac_Table[[#This Row],[Procedure Start Date and Time]]-Cardiac_Table[[#This Row],[Hospital Admit Date ]]</f>
        <v>0.75138888888614019</v>
      </c>
    </row>
    <row r="169" spans="1:24" x14ac:dyDescent="0.35">
      <c r="A169">
        <v>171</v>
      </c>
      <c r="B169" s="9">
        <v>43870.583333333336</v>
      </c>
      <c r="C169" s="10">
        <f>INT(Cardiac_Table[[#This Row],[Hospital Admit Date ]])</f>
        <v>43870</v>
      </c>
      <c r="D169" s="11" t="str">
        <f t="shared" si="2"/>
        <v>14:00</v>
      </c>
      <c r="E169" s="9">
        <v>43871.336805555555</v>
      </c>
      <c r="F169" s="10">
        <f>INT(Cardiac_Table[[#This Row],[Procedure Start Date and Time]])</f>
        <v>43871</v>
      </c>
      <c r="G169" s="12">
        <f>MOD(Cardiac_Table[[#This Row],[Procedure Start Date and Time]],1)</f>
        <v>0.33680555555474712</v>
      </c>
      <c r="H169">
        <v>5</v>
      </c>
      <c r="I169" t="s">
        <v>4</v>
      </c>
      <c r="J169" t="s">
        <v>10</v>
      </c>
      <c r="K169" t="s">
        <v>24</v>
      </c>
      <c r="L169">
        <v>78</v>
      </c>
      <c r="M169">
        <v>5.16</v>
      </c>
      <c r="N169">
        <v>1.46</v>
      </c>
      <c r="O169" t="s">
        <v>15</v>
      </c>
      <c r="P169">
        <v>78</v>
      </c>
      <c r="Q169">
        <v>158</v>
      </c>
      <c r="R169">
        <v>66</v>
      </c>
      <c r="S169">
        <v>55</v>
      </c>
      <c r="T169" t="s">
        <v>48</v>
      </c>
      <c r="U169">
        <f>IF(Cardiac_Table[[#This Row],[Patient Status at Discharge]]="Died", 1,0)</f>
        <v>0</v>
      </c>
      <c r="V169">
        <f>Cardiac_Table[[#This Row],[Risk of Death % (Model 1)]]/100</f>
        <v>5.16E-2</v>
      </c>
      <c r="W169">
        <f>Cardiac_Table[[#This Row],[Risk of Death % (Model 2)]]/100</f>
        <v>1.46E-2</v>
      </c>
      <c r="X169" s="18">
        <f>Cardiac_Table[[#This Row],[Procedure Start Date and Time]]-Cardiac_Table[[#This Row],[Hospital Admit Date ]]</f>
        <v>0.75347222221898846</v>
      </c>
    </row>
    <row r="170" spans="1:24" x14ac:dyDescent="0.35">
      <c r="A170">
        <v>172</v>
      </c>
      <c r="B170" s="9">
        <v>43864.454861111109</v>
      </c>
      <c r="C170" s="10">
        <f>INT(Cardiac_Table[[#This Row],[Hospital Admit Date ]])</f>
        <v>43864</v>
      </c>
      <c r="D170" s="11" t="str">
        <f t="shared" si="2"/>
        <v>10:55</v>
      </c>
      <c r="E170" s="9">
        <v>43871.338194444441</v>
      </c>
      <c r="F170" s="10">
        <f>INT(Cardiac_Table[[#This Row],[Procedure Start Date and Time]])</f>
        <v>43871</v>
      </c>
      <c r="G170" s="12">
        <f>MOD(Cardiac_Table[[#This Row],[Procedure Start Date and Time]],1)</f>
        <v>0.33819444444088731</v>
      </c>
      <c r="H170">
        <v>3</v>
      </c>
      <c r="I170" t="s">
        <v>6</v>
      </c>
      <c r="J170" t="s">
        <v>10</v>
      </c>
      <c r="K170" t="s">
        <v>33</v>
      </c>
      <c r="L170">
        <v>63</v>
      </c>
      <c r="M170">
        <v>1.96</v>
      </c>
      <c r="N170">
        <v>0.97</v>
      </c>
      <c r="O170" t="s">
        <v>15</v>
      </c>
      <c r="P170">
        <v>89</v>
      </c>
      <c r="Q170">
        <v>175</v>
      </c>
      <c r="R170">
        <v>84</v>
      </c>
      <c r="S170">
        <v>50</v>
      </c>
      <c r="T170" t="s">
        <v>50</v>
      </c>
      <c r="U170">
        <f>IF(Cardiac_Table[[#This Row],[Patient Status at Discharge]]="Died", 1,0)</f>
        <v>0</v>
      </c>
      <c r="V170">
        <f>Cardiac_Table[[#This Row],[Risk of Death % (Model 1)]]/100</f>
        <v>1.9599999999999999E-2</v>
      </c>
      <c r="W170">
        <f>Cardiac_Table[[#This Row],[Risk of Death % (Model 2)]]/100</f>
        <v>9.7000000000000003E-3</v>
      </c>
      <c r="X170" s="18">
        <f>Cardiac_Table[[#This Row],[Procedure Start Date and Time]]-Cardiac_Table[[#This Row],[Hospital Admit Date ]]</f>
        <v>6.8833333333313931</v>
      </c>
    </row>
    <row r="171" spans="1:24" x14ac:dyDescent="0.35">
      <c r="A171">
        <v>173</v>
      </c>
      <c r="B171" s="9">
        <v>43871.290972222225</v>
      </c>
      <c r="C171" s="10">
        <f>INT(Cardiac_Table[[#This Row],[Hospital Admit Date ]])</f>
        <v>43871</v>
      </c>
      <c r="D171" s="11" t="str">
        <f t="shared" si="2"/>
        <v>06:59</v>
      </c>
      <c r="E171" s="9">
        <v>43871.347916666666</v>
      </c>
      <c r="F171" s="10">
        <f>INT(Cardiac_Table[[#This Row],[Procedure Start Date and Time]])</f>
        <v>43871</v>
      </c>
      <c r="G171" s="12">
        <f>MOD(Cardiac_Table[[#This Row],[Procedure Start Date and Time]],1)</f>
        <v>0.34791666666569654</v>
      </c>
      <c r="H171">
        <v>6</v>
      </c>
      <c r="I171" t="s">
        <v>4</v>
      </c>
      <c r="J171" t="s">
        <v>3</v>
      </c>
      <c r="K171" t="s">
        <v>23</v>
      </c>
      <c r="L171">
        <v>86</v>
      </c>
      <c r="M171">
        <v>8.4600000000000009</v>
      </c>
      <c r="N171">
        <v>1.89</v>
      </c>
      <c r="O171" t="s">
        <v>15</v>
      </c>
      <c r="P171">
        <v>96</v>
      </c>
      <c r="Q171">
        <v>175</v>
      </c>
      <c r="R171">
        <v>86</v>
      </c>
      <c r="S171">
        <v>55</v>
      </c>
      <c r="T171" t="s">
        <v>48</v>
      </c>
      <c r="U171">
        <f>IF(Cardiac_Table[[#This Row],[Patient Status at Discharge]]="Died", 1,0)</f>
        <v>0</v>
      </c>
      <c r="V171">
        <f>Cardiac_Table[[#This Row],[Risk of Death % (Model 1)]]/100</f>
        <v>8.4600000000000009E-2</v>
      </c>
      <c r="W171">
        <f>Cardiac_Table[[#This Row],[Risk of Death % (Model 2)]]/100</f>
        <v>1.89E-2</v>
      </c>
      <c r="X171" s="18">
        <f>Cardiac_Table[[#This Row],[Procedure Start Date and Time]]-Cardiac_Table[[#This Row],[Hospital Admit Date ]]</f>
        <v>5.694444444088731E-2</v>
      </c>
    </row>
    <row r="172" spans="1:24" x14ac:dyDescent="0.35">
      <c r="A172">
        <v>174</v>
      </c>
      <c r="B172" s="9">
        <v>43871.323611111111</v>
      </c>
      <c r="C172" s="10">
        <f>INT(Cardiac_Table[[#This Row],[Hospital Admit Date ]])</f>
        <v>43871</v>
      </c>
      <c r="D172" s="11" t="str">
        <f t="shared" si="2"/>
        <v>07:46</v>
      </c>
      <c r="E172" s="9">
        <v>43871.5625</v>
      </c>
      <c r="F172" s="10">
        <f>INT(Cardiac_Table[[#This Row],[Procedure Start Date and Time]])</f>
        <v>43871</v>
      </c>
      <c r="G172" s="12">
        <f>MOD(Cardiac_Table[[#This Row],[Procedure Start Date and Time]],1)</f>
        <v>0.5625</v>
      </c>
      <c r="H172">
        <v>3</v>
      </c>
      <c r="I172" t="s">
        <v>4</v>
      </c>
      <c r="J172" t="s">
        <v>10</v>
      </c>
      <c r="K172" t="s">
        <v>33</v>
      </c>
      <c r="L172">
        <v>74</v>
      </c>
      <c r="M172">
        <v>4.45</v>
      </c>
      <c r="N172">
        <v>1.41</v>
      </c>
      <c r="O172" t="s">
        <v>15</v>
      </c>
      <c r="P172">
        <v>102</v>
      </c>
      <c r="Q172">
        <v>176</v>
      </c>
      <c r="R172">
        <v>85</v>
      </c>
      <c r="S172">
        <v>60</v>
      </c>
      <c r="T172" t="s">
        <v>48</v>
      </c>
      <c r="U172">
        <f>IF(Cardiac_Table[[#This Row],[Patient Status at Discharge]]="Died", 1,0)</f>
        <v>0</v>
      </c>
      <c r="V172">
        <f>Cardiac_Table[[#This Row],[Risk of Death % (Model 1)]]/100</f>
        <v>4.4500000000000005E-2</v>
      </c>
      <c r="W172">
        <f>Cardiac_Table[[#This Row],[Risk of Death % (Model 2)]]/100</f>
        <v>1.41E-2</v>
      </c>
      <c r="X172" s="18">
        <f>Cardiac_Table[[#This Row],[Procedure Start Date and Time]]-Cardiac_Table[[#This Row],[Hospital Admit Date ]]</f>
        <v>0.23888888888905058</v>
      </c>
    </row>
    <row r="173" spans="1:24" x14ac:dyDescent="0.35">
      <c r="A173">
        <v>175</v>
      </c>
      <c r="B173" s="9">
        <v>43870.458333333336</v>
      </c>
      <c r="C173" s="10">
        <f>INT(Cardiac_Table[[#This Row],[Hospital Admit Date ]])</f>
        <v>43870</v>
      </c>
      <c r="D173" s="11" t="str">
        <f t="shared" si="2"/>
        <v>11:00</v>
      </c>
      <c r="E173" s="9">
        <v>43871.571527777778</v>
      </c>
      <c r="F173" s="10">
        <f>INT(Cardiac_Table[[#This Row],[Procedure Start Date and Time]])</f>
        <v>43871</v>
      </c>
      <c r="G173" s="12">
        <f>MOD(Cardiac_Table[[#This Row],[Procedure Start Date and Time]],1)</f>
        <v>0.57152777777810115</v>
      </c>
      <c r="H173">
        <v>5</v>
      </c>
      <c r="I173" t="s">
        <v>4</v>
      </c>
      <c r="J173" t="s">
        <v>10</v>
      </c>
      <c r="K173" t="s">
        <v>24</v>
      </c>
      <c r="L173">
        <v>70</v>
      </c>
      <c r="M173">
        <v>4.04</v>
      </c>
      <c r="N173">
        <v>1.34</v>
      </c>
      <c r="O173" t="s">
        <v>15</v>
      </c>
      <c r="P173">
        <v>136</v>
      </c>
      <c r="Q173">
        <v>177</v>
      </c>
      <c r="R173">
        <v>78</v>
      </c>
      <c r="S173">
        <v>46</v>
      </c>
      <c r="T173" t="s">
        <v>50</v>
      </c>
      <c r="U173">
        <f>IF(Cardiac_Table[[#This Row],[Patient Status at Discharge]]="Died", 1,0)</f>
        <v>0</v>
      </c>
      <c r="V173">
        <f>Cardiac_Table[[#This Row],[Risk of Death % (Model 1)]]/100</f>
        <v>4.0399999999999998E-2</v>
      </c>
      <c r="W173">
        <f>Cardiac_Table[[#This Row],[Risk of Death % (Model 2)]]/100</f>
        <v>1.34E-2</v>
      </c>
      <c r="X173" s="18">
        <f>Cardiac_Table[[#This Row],[Procedure Start Date and Time]]-Cardiac_Table[[#This Row],[Hospital Admit Date ]]</f>
        <v>1.1131944444423425</v>
      </c>
    </row>
    <row r="174" spans="1:24" x14ac:dyDescent="0.35">
      <c r="A174">
        <v>176</v>
      </c>
      <c r="B174" s="9">
        <v>43860.458333333336</v>
      </c>
      <c r="C174" s="10">
        <f>INT(Cardiac_Table[[#This Row],[Hospital Admit Date ]])</f>
        <v>43860</v>
      </c>
      <c r="D174" s="11" t="str">
        <f t="shared" si="2"/>
        <v>11:00</v>
      </c>
      <c r="E174" s="9">
        <v>43871.580555555556</v>
      </c>
      <c r="F174" s="10">
        <f>INT(Cardiac_Table[[#This Row],[Procedure Start Date and Time]])</f>
        <v>43871</v>
      </c>
      <c r="G174" s="12">
        <f>MOD(Cardiac_Table[[#This Row],[Procedure Start Date and Time]],1)</f>
        <v>0.58055555555620231</v>
      </c>
      <c r="H174">
        <v>2</v>
      </c>
      <c r="I174" t="s">
        <v>6</v>
      </c>
      <c r="J174" t="s">
        <v>10</v>
      </c>
      <c r="K174" t="s">
        <v>31</v>
      </c>
      <c r="L174">
        <v>73</v>
      </c>
      <c r="M174">
        <v>5.6</v>
      </c>
      <c r="N174">
        <v>1.75</v>
      </c>
      <c r="O174" t="s">
        <v>15</v>
      </c>
      <c r="P174">
        <v>99</v>
      </c>
      <c r="Q174">
        <v>162</v>
      </c>
      <c r="R174">
        <v>82</v>
      </c>
      <c r="S174">
        <v>44</v>
      </c>
      <c r="T174" t="s">
        <v>50</v>
      </c>
      <c r="U174">
        <f>IF(Cardiac_Table[[#This Row],[Patient Status at Discharge]]="Died", 1,0)</f>
        <v>0</v>
      </c>
      <c r="V174">
        <f>Cardiac_Table[[#This Row],[Risk of Death % (Model 1)]]/100</f>
        <v>5.5999999999999994E-2</v>
      </c>
      <c r="W174">
        <f>Cardiac_Table[[#This Row],[Risk of Death % (Model 2)]]/100</f>
        <v>1.7500000000000002E-2</v>
      </c>
      <c r="X174" s="18">
        <f>Cardiac_Table[[#This Row],[Procedure Start Date and Time]]-Cardiac_Table[[#This Row],[Hospital Admit Date ]]</f>
        <v>11.122222222220444</v>
      </c>
    </row>
    <row r="175" spans="1:24" x14ac:dyDescent="0.35">
      <c r="A175">
        <v>177</v>
      </c>
      <c r="B175" s="9">
        <v>43871.577777777777</v>
      </c>
      <c r="C175" s="10">
        <f>INT(Cardiac_Table[[#This Row],[Hospital Admit Date ]])</f>
        <v>43871</v>
      </c>
      <c r="D175" s="11" t="str">
        <f t="shared" si="2"/>
        <v>13:52</v>
      </c>
      <c r="E175" s="9">
        <v>43872.332638888889</v>
      </c>
      <c r="F175" s="10">
        <f>INT(Cardiac_Table[[#This Row],[Procedure Start Date and Time]])</f>
        <v>43872</v>
      </c>
      <c r="G175" s="12">
        <f>MOD(Cardiac_Table[[#This Row],[Procedure Start Date and Time]],1)</f>
        <v>0.33263888888905058</v>
      </c>
      <c r="H175">
        <v>3</v>
      </c>
      <c r="I175" t="s">
        <v>4</v>
      </c>
      <c r="J175" t="s">
        <v>11</v>
      </c>
      <c r="K175" t="s">
        <v>29</v>
      </c>
      <c r="L175">
        <v>73</v>
      </c>
      <c r="M175">
        <v>10.43</v>
      </c>
      <c r="N175">
        <v>3.39</v>
      </c>
      <c r="O175" t="s">
        <v>15</v>
      </c>
      <c r="P175">
        <v>71</v>
      </c>
      <c r="Q175">
        <v>164</v>
      </c>
      <c r="R175">
        <v>72</v>
      </c>
      <c r="S175">
        <v>45</v>
      </c>
      <c r="T175" t="s">
        <v>50</v>
      </c>
      <c r="U175">
        <f>IF(Cardiac_Table[[#This Row],[Patient Status at Discharge]]="Died", 1,0)</f>
        <v>0</v>
      </c>
      <c r="V175">
        <f>Cardiac_Table[[#This Row],[Risk of Death % (Model 1)]]/100</f>
        <v>0.1043</v>
      </c>
      <c r="W175">
        <f>Cardiac_Table[[#This Row],[Risk of Death % (Model 2)]]/100</f>
        <v>3.39E-2</v>
      </c>
      <c r="X175" s="18">
        <f>Cardiac_Table[[#This Row],[Procedure Start Date and Time]]-Cardiac_Table[[#This Row],[Hospital Admit Date ]]</f>
        <v>0.75486111111240461</v>
      </c>
    </row>
    <row r="176" spans="1:24" x14ac:dyDescent="0.35">
      <c r="A176">
        <v>178</v>
      </c>
      <c r="B176" s="9">
        <v>43871.458333333336</v>
      </c>
      <c r="C176" s="10">
        <f>INT(Cardiac_Table[[#This Row],[Hospital Admit Date ]])</f>
        <v>43871</v>
      </c>
      <c r="D176" s="11" t="str">
        <f t="shared" si="2"/>
        <v>11:00</v>
      </c>
      <c r="E176" s="9">
        <v>43872.340277777781</v>
      </c>
      <c r="F176" s="10">
        <f>INT(Cardiac_Table[[#This Row],[Procedure Start Date and Time]])</f>
        <v>43872</v>
      </c>
      <c r="G176" s="12">
        <f>MOD(Cardiac_Table[[#This Row],[Procedure Start Date and Time]],1)</f>
        <v>0.34027777778101154</v>
      </c>
      <c r="H176">
        <v>2</v>
      </c>
      <c r="I176" t="s">
        <v>6</v>
      </c>
      <c r="J176" t="s">
        <v>3</v>
      </c>
      <c r="K176" t="s">
        <v>28</v>
      </c>
      <c r="L176">
        <v>73</v>
      </c>
      <c r="M176">
        <v>3.74</v>
      </c>
      <c r="N176">
        <v>3.82</v>
      </c>
      <c r="O176" t="s">
        <v>15</v>
      </c>
      <c r="P176">
        <v>102</v>
      </c>
      <c r="Q176">
        <v>170</v>
      </c>
      <c r="R176">
        <v>72</v>
      </c>
      <c r="S176">
        <v>69</v>
      </c>
      <c r="T176" t="s">
        <v>48</v>
      </c>
      <c r="U176">
        <f>IF(Cardiac_Table[[#This Row],[Patient Status at Discharge]]="Died", 1,0)</f>
        <v>0</v>
      </c>
      <c r="V176">
        <f>Cardiac_Table[[#This Row],[Risk of Death % (Model 1)]]/100</f>
        <v>3.7400000000000003E-2</v>
      </c>
      <c r="W176">
        <f>Cardiac_Table[[#This Row],[Risk of Death % (Model 2)]]/100</f>
        <v>3.8199999999999998E-2</v>
      </c>
      <c r="X176" s="18">
        <f>Cardiac_Table[[#This Row],[Procedure Start Date and Time]]-Cardiac_Table[[#This Row],[Hospital Admit Date ]]</f>
        <v>0.88194444444525288</v>
      </c>
    </row>
    <row r="177" spans="1:24" x14ac:dyDescent="0.35">
      <c r="A177">
        <v>179</v>
      </c>
      <c r="B177" s="9">
        <v>43871.597222222219</v>
      </c>
      <c r="C177" s="10">
        <f>INT(Cardiac_Table[[#This Row],[Hospital Admit Date ]])</f>
        <v>43871</v>
      </c>
      <c r="D177" s="11" t="str">
        <f t="shared" si="2"/>
        <v>14:20</v>
      </c>
      <c r="E177" s="9">
        <v>43872.343055555553</v>
      </c>
      <c r="F177" s="10">
        <f>INT(Cardiac_Table[[#This Row],[Procedure Start Date and Time]])</f>
        <v>43872</v>
      </c>
      <c r="G177" s="12">
        <f>MOD(Cardiac_Table[[#This Row],[Procedure Start Date and Time]],1)</f>
        <v>0.34305555555329192</v>
      </c>
      <c r="H177">
        <v>5</v>
      </c>
      <c r="I177" t="s">
        <v>4</v>
      </c>
      <c r="J177" t="s">
        <v>10</v>
      </c>
      <c r="K177" t="s">
        <v>26</v>
      </c>
      <c r="L177">
        <v>72</v>
      </c>
      <c r="M177">
        <v>2.86</v>
      </c>
      <c r="N177">
        <v>0.97</v>
      </c>
      <c r="O177" t="s">
        <v>15</v>
      </c>
      <c r="P177">
        <v>159</v>
      </c>
      <c r="Q177">
        <v>163</v>
      </c>
      <c r="R177">
        <v>60</v>
      </c>
      <c r="S177">
        <v>55</v>
      </c>
      <c r="T177" t="s">
        <v>48</v>
      </c>
      <c r="U177">
        <f>IF(Cardiac_Table[[#This Row],[Patient Status at Discharge]]="Died", 1,0)</f>
        <v>0</v>
      </c>
      <c r="V177">
        <f>Cardiac_Table[[#This Row],[Risk of Death % (Model 1)]]/100</f>
        <v>2.86E-2</v>
      </c>
      <c r="W177">
        <f>Cardiac_Table[[#This Row],[Risk of Death % (Model 2)]]/100</f>
        <v>9.7000000000000003E-3</v>
      </c>
      <c r="X177" s="18">
        <f>Cardiac_Table[[#This Row],[Procedure Start Date and Time]]-Cardiac_Table[[#This Row],[Hospital Admit Date ]]</f>
        <v>0.74583333333430346</v>
      </c>
    </row>
    <row r="178" spans="1:24" x14ac:dyDescent="0.35">
      <c r="A178">
        <v>180</v>
      </c>
      <c r="B178" s="9">
        <v>43871.438888888886</v>
      </c>
      <c r="C178" s="10">
        <f>INT(Cardiac_Table[[#This Row],[Hospital Admit Date ]])</f>
        <v>43871</v>
      </c>
      <c r="D178" s="11" t="str">
        <f t="shared" si="2"/>
        <v>10:32</v>
      </c>
      <c r="E178" s="9">
        <v>43872.369444444441</v>
      </c>
      <c r="F178" s="10">
        <f>INT(Cardiac_Table[[#This Row],[Procedure Start Date and Time]])</f>
        <v>43872</v>
      </c>
      <c r="G178" s="12">
        <f>MOD(Cardiac_Table[[#This Row],[Procedure Start Date and Time]],1)</f>
        <v>0.36944444444088731</v>
      </c>
      <c r="H178">
        <v>6</v>
      </c>
      <c r="I178" t="s">
        <v>4</v>
      </c>
      <c r="J178" t="s">
        <v>3</v>
      </c>
      <c r="K178" t="s">
        <v>33</v>
      </c>
      <c r="L178">
        <v>81</v>
      </c>
      <c r="M178">
        <v>12.29</v>
      </c>
      <c r="N178">
        <v>8.15</v>
      </c>
      <c r="O178" t="s">
        <v>15</v>
      </c>
      <c r="P178">
        <v>85</v>
      </c>
      <c r="Q178">
        <v>156</v>
      </c>
      <c r="R178">
        <v>69</v>
      </c>
      <c r="S178">
        <v>55</v>
      </c>
      <c r="T178" t="s">
        <v>48</v>
      </c>
      <c r="U178">
        <f>IF(Cardiac_Table[[#This Row],[Patient Status at Discharge]]="Died", 1,0)</f>
        <v>0</v>
      </c>
      <c r="V178">
        <f>Cardiac_Table[[#This Row],[Risk of Death % (Model 1)]]/100</f>
        <v>0.1229</v>
      </c>
      <c r="W178">
        <f>Cardiac_Table[[#This Row],[Risk of Death % (Model 2)]]/100</f>
        <v>8.1500000000000003E-2</v>
      </c>
      <c r="X178" s="18">
        <f>Cardiac_Table[[#This Row],[Procedure Start Date and Time]]-Cardiac_Table[[#This Row],[Hospital Admit Date ]]</f>
        <v>0.93055555555474712</v>
      </c>
    </row>
    <row r="179" spans="1:24" x14ac:dyDescent="0.35">
      <c r="A179">
        <v>181</v>
      </c>
      <c r="B179" s="9">
        <v>43872.32708333333</v>
      </c>
      <c r="C179" s="10">
        <f>INT(Cardiac_Table[[#This Row],[Hospital Admit Date ]])</f>
        <v>43872</v>
      </c>
      <c r="D179" s="11" t="str">
        <f t="shared" si="2"/>
        <v>07:51</v>
      </c>
      <c r="E179" s="9">
        <v>43872.572916666664</v>
      </c>
      <c r="F179" s="10">
        <f>INT(Cardiac_Table[[#This Row],[Procedure Start Date and Time]])</f>
        <v>43872</v>
      </c>
      <c r="G179" s="12">
        <f>MOD(Cardiac_Table[[#This Row],[Procedure Start Date and Time]],1)</f>
        <v>0.57291666666424135</v>
      </c>
      <c r="H179">
        <v>3</v>
      </c>
      <c r="I179" t="s">
        <v>4</v>
      </c>
      <c r="J179" t="s">
        <v>3</v>
      </c>
      <c r="K179" t="s">
        <v>29</v>
      </c>
      <c r="L179">
        <v>73</v>
      </c>
      <c r="M179">
        <v>11.29</v>
      </c>
      <c r="N179">
        <v>2.94</v>
      </c>
      <c r="O179" t="s">
        <v>15</v>
      </c>
      <c r="P179">
        <v>130</v>
      </c>
      <c r="Q179">
        <v>169</v>
      </c>
      <c r="R179">
        <v>90</v>
      </c>
      <c r="S179">
        <v>50</v>
      </c>
      <c r="T179" t="s">
        <v>50</v>
      </c>
      <c r="U179">
        <f>IF(Cardiac_Table[[#This Row],[Patient Status at Discharge]]="Died", 1,0)</f>
        <v>0</v>
      </c>
      <c r="V179">
        <f>Cardiac_Table[[#This Row],[Risk of Death % (Model 1)]]/100</f>
        <v>0.11289999999999999</v>
      </c>
      <c r="W179">
        <f>Cardiac_Table[[#This Row],[Risk of Death % (Model 2)]]/100</f>
        <v>2.9399999999999999E-2</v>
      </c>
      <c r="X179" s="18">
        <f>Cardiac_Table[[#This Row],[Procedure Start Date and Time]]-Cardiac_Table[[#This Row],[Hospital Admit Date ]]</f>
        <v>0.24583333333430346</v>
      </c>
    </row>
    <row r="180" spans="1:24" x14ac:dyDescent="0.35">
      <c r="A180">
        <v>182</v>
      </c>
      <c r="B180" s="9">
        <v>43872.301388888889</v>
      </c>
      <c r="C180" s="10">
        <f>INT(Cardiac_Table[[#This Row],[Hospital Admit Date ]])</f>
        <v>43872</v>
      </c>
      <c r="D180" s="11" t="str">
        <f t="shared" si="2"/>
        <v>07:14</v>
      </c>
      <c r="E180" s="9">
        <v>43872.59375</v>
      </c>
      <c r="F180" s="10">
        <f>INT(Cardiac_Table[[#This Row],[Procedure Start Date and Time]])</f>
        <v>43872</v>
      </c>
      <c r="G180" s="12">
        <f>MOD(Cardiac_Table[[#This Row],[Procedure Start Date and Time]],1)</f>
        <v>0.59375</v>
      </c>
      <c r="H180">
        <v>5</v>
      </c>
      <c r="I180" t="s">
        <v>4</v>
      </c>
      <c r="J180" t="s">
        <v>3</v>
      </c>
      <c r="K180" t="s">
        <v>26</v>
      </c>
      <c r="L180">
        <v>61</v>
      </c>
      <c r="M180">
        <v>3.56</v>
      </c>
      <c r="N180">
        <v>0.98</v>
      </c>
      <c r="O180" t="s">
        <v>15</v>
      </c>
      <c r="P180">
        <v>88</v>
      </c>
      <c r="Q180">
        <v>188</v>
      </c>
      <c r="R180">
        <v>101</v>
      </c>
      <c r="S180">
        <v>60</v>
      </c>
      <c r="T180" t="s">
        <v>48</v>
      </c>
      <c r="U180">
        <f>IF(Cardiac_Table[[#This Row],[Patient Status at Discharge]]="Died", 1,0)</f>
        <v>0</v>
      </c>
      <c r="V180">
        <f>Cardiac_Table[[#This Row],[Risk of Death % (Model 1)]]/100</f>
        <v>3.56E-2</v>
      </c>
      <c r="W180">
        <f>Cardiac_Table[[#This Row],[Risk of Death % (Model 2)]]/100</f>
        <v>9.7999999999999997E-3</v>
      </c>
      <c r="X180" s="18">
        <f>Cardiac_Table[[#This Row],[Procedure Start Date and Time]]-Cardiac_Table[[#This Row],[Hospital Admit Date ]]</f>
        <v>0.29236111111094942</v>
      </c>
    </row>
    <row r="181" spans="1:24" x14ac:dyDescent="0.35">
      <c r="A181">
        <v>183</v>
      </c>
      <c r="B181" s="9">
        <v>43871.645833333336</v>
      </c>
      <c r="C181" s="10">
        <f>INT(Cardiac_Table[[#This Row],[Hospital Admit Date ]])</f>
        <v>43871</v>
      </c>
      <c r="D181" s="11" t="str">
        <f t="shared" si="2"/>
        <v>15:30</v>
      </c>
      <c r="E181" s="9">
        <v>43872.661111111112</v>
      </c>
      <c r="F181" s="10">
        <f>INT(Cardiac_Table[[#This Row],[Procedure Start Date and Time]])</f>
        <v>43872</v>
      </c>
      <c r="G181" s="12">
        <f>MOD(Cardiac_Table[[#This Row],[Procedure Start Date and Time]],1)</f>
        <v>0.66111111111240461</v>
      </c>
      <c r="H181">
        <v>6</v>
      </c>
      <c r="I181" t="s">
        <v>4</v>
      </c>
      <c r="J181" t="s">
        <v>3</v>
      </c>
      <c r="K181" t="s">
        <v>24</v>
      </c>
      <c r="L181">
        <v>83</v>
      </c>
      <c r="M181">
        <v>9.52</v>
      </c>
      <c r="N181">
        <v>4.76</v>
      </c>
      <c r="O181" t="s">
        <v>15</v>
      </c>
      <c r="P181">
        <v>79</v>
      </c>
      <c r="Q181">
        <v>151</v>
      </c>
      <c r="R181">
        <v>47</v>
      </c>
      <c r="S181">
        <v>55</v>
      </c>
      <c r="T181" t="s">
        <v>48</v>
      </c>
      <c r="U181">
        <f>IF(Cardiac_Table[[#This Row],[Patient Status at Discharge]]="Died", 1,0)</f>
        <v>0</v>
      </c>
      <c r="V181">
        <f>Cardiac_Table[[#This Row],[Risk of Death % (Model 1)]]/100</f>
        <v>9.5199999999999993E-2</v>
      </c>
      <c r="W181">
        <f>Cardiac_Table[[#This Row],[Risk of Death % (Model 2)]]/100</f>
        <v>4.7599999999999996E-2</v>
      </c>
      <c r="X181" s="18">
        <f>Cardiac_Table[[#This Row],[Procedure Start Date and Time]]-Cardiac_Table[[#This Row],[Hospital Admit Date ]]</f>
        <v>1.015277777776646</v>
      </c>
    </row>
    <row r="182" spans="1:24" x14ac:dyDescent="0.35">
      <c r="A182">
        <v>184</v>
      </c>
      <c r="B182" s="9">
        <v>43872.582638888889</v>
      </c>
      <c r="C182" s="10">
        <f>INT(Cardiac_Table[[#This Row],[Hospital Admit Date ]])</f>
        <v>43872</v>
      </c>
      <c r="D182" s="11" t="str">
        <f t="shared" si="2"/>
        <v>13:59</v>
      </c>
      <c r="E182" s="9">
        <v>43873.336805555555</v>
      </c>
      <c r="F182" s="10">
        <f>INT(Cardiac_Table[[#This Row],[Procedure Start Date and Time]])</f>
        <v>43873</v>
      </c>
      <c r="G182" s="12">
        <f>MOD(Cardiac_Table[[#This Row],[Procedure Start Date and Time]],1)</f>
        <v>0.33680555555474712</v>
      </c>
      <c r="H182">
        <v>6</v>
      </c>
      <c r="I182" t="s">
        <v>4</v>
      </c>
      <c r="J182" t="s">
        <v>1</v>
      </c>
      <c r="K182" t="s">
        <v>22</v>
      </c>
      <c r="L182">
        <v>65</v>
      </c>
      <c r="M182">
        <v>9.9600000000000009</v>
      </c>
      <c r="N182">
        <v>5.13</v>
      </c>
      <c r="O182" t="s">
        <v>15</v>
      </c>
      <c r="P182">
        <v>86</v>
      </c>
      <c r="Q182">
        <v>163</v>
      </c>
      <c r="R182">
        <v>64</v>
      </c>
      <c r="S182">
        <v>55</v>
      </c>
      <c r="T182" t="s">
        <v>48</v>
      </c>
      <c r="U182">
        <f>IF(Cardiac_Table[[#This Row],[Patient Status at Discharge]]="Died", 1,0)</f>
        <v>0</v>
      </c>
      <c r="V182">
        <f>Cardiac_Table[[#This Row],[Risk of Death % (Model 1)]]/100</f>
        <v>9.9600000000000008E-2</v>
      </c>
      <c r="W182">
        <f>Cardiac_Table[[#This Row],[Risk of Death % (Model 2)]]/100</f>
        <v>5.1299999999999998E-2</v>
      </c>
      <c r="X182" s="18">
        <f>Cardiac_Table[[#This Row],[Procedure Start Date and Time]]-Cardiac_Table[[#This Row],[Hospital Admit Date ]]</f>
        <v>0.75416666666569654</v>
      </c>
    </row>
    <row r="183" spans="1:24" x14ac:dyDescent="0.35">
      <c r="A183">
        <v>185</v>
      </c>
      <c r="B183" s="9">
        <v>43872.583333333336</v>
      </c>
      <c r="C183" s="10">
        <f>INT(Cardiac_Table[[#This Row],[Hospital Admit Date ]])</f>
        <v>43872</v>
      </c>
      <c r="D183" s="11" t="str">
        <f t="shared" si="2"/>
        <v>14:00</v>
      </c>
      <c r="E183" s="9">
        <v>43873.347222222219</v>
      </c>
      <c r="F183" s="10">
        <f>INT(Cardiac_Table[[#This Row],[Procedure Start Date and Time]])</f>
        <v>43873</v>
      </c>
      <c r="G183" s="12">
        <f>MOD(Cardiac_Table[[#This Row],[Procedure Start Date and Time]],1)</f>
        <v>0.34722222221898846</v>
      </c>
      <c r="H183">
        <v>3</v>
      </c>
      <c r="I183" t="s">
        <v>4</v>
      </c>
      <c r="J183" t="s">
        <v>10</v>
      </c>
      <c r="K183" t="s">
        <v>30</v>
      </c>
      <c r="L183">
        <v>59</v>
      </c>
      <c r="M183">
        <v>0.88</v>
      </c>
      <c r="N183">
        <v>0.56000000000000005</v>
      </c>
      <c r="O183" t="s">
        <v>15</v>
      </c>
      <c r="P183">
        <v>83</v>
      </c>
      <c r="Q183">
        <v>170</v>
      </c>
      <c r="R183">
        <v>80</v>
      </c>
      <c r="S183">
        <v>76</v>
      </c>
      <c r="T183" t="s">
        <v>48</v>
      </c>
      <c r="U183">
        <f>IF(Cardiac_Table[[#This Row],[Patient Status at Discharge]]="Died", 1,0)</f>
        <v>0</v>
      </c>
      <c r="V183">
        <f>Cardiac_Table[[#This Row],[Risk of Death % (Model 1)]]/100</f>
        <v>8.8000000000000005E-3</v>
      </c>
      <c r="W183">
        <f>Cardiac_Table[[#This Row],[Risk of Death % (Model 2)]]/100</f>
        <v>5.6000000000000008E-3</v>
      </c>
      <c r="X183" s="18">
        <f>Cardiac_Table[[#This Row],[Procedure Start Date and Time]]-Cardiac_Table[[#This Row],[Hospital Admit Date ]]</f>
        <v>0.76388888888322981</v>
      </c>
    </row>
    <row r="184" spans="1:24" x14ac:dyDescent="0.35">
      <c r="A184">
        <v>186</v>
      </c>
      <c r="B184" s="9">
        <v>43847.84097222222</v>
      </c>
      <c r="C184" s="10">
        <f>INT(Cardiac_Table[[#This Row],[Hospital Admit Date ]])</f>
        <v>43847</v>
      </c>
      <c r="D184" s="11" t="str">
        <f t="shared" si="2"/>
        <v>20:11</v>
      </c>
      <c r="E184" s="9">
        <v>43873.350694444445</v>
      </c>
      <c r="F184" s="10">
        <f>INT(Cardiac_Table[[#This Row],[Procedure Start Date and Time]])</f>
        <v>43873</v>
      </c>
      <c r="G184" s="12">
        <f>MOD(Cardiac_Table[[#This Row],[Procedure Start Date and Time]],1)</f>
        <v>0.35069444444525288</v>
      </c>
      <c r="H184">
        <v>5</v>
      </c>
      <c r="I184" t="s">
        <v>6</v>
      </c>
      <c r="J184" t="s">
        <v>3</v>
      </c>
      <c r="K184" t="s">
        <v>35</v>
      </c>
      <c r="L184">
        <v>73</v>
      </c>
      <c r="M184">
        <v>12.84</v>
      </c>
      <c r="N184">
        <v>4.93</v>
      </c>
      <c r="O184" t="s">
        <v>15</v>
      </c>
      <c r="P184">
        <v>78</v>
      </c>
      <c r="Q184">
        <v>181</v>
      </c>
      <c r="R184">
        <v>117</v>
      </c>
      <c r="S184">
        <v>60</v>
      </c>
      <c r="T184" t="s">
        <v>48</v>
      </c>
      <c r="U184">
        <f>IF(Cardiac_Table[[#This Row],[Patient Status at Discharge]]="Died", 1,0)</f>
        <v>0</v>
      </c>
      <c r="V184">
        <f>Cardiac_Table[[#This Row],[Risk of Death % (Model 1)]]/100</f>
        <v>0.12839999999999999</v>
      </c>
      <c r="W184">
        <f>Cardiac_Table[[#This Row],[Risk of Death % (Model 2)]]/100</f>
        <v>4.9299999999999997E-2</v>
      </c>
      <c r="X184" s="18">
        <f>Cardiac_Table[[#This Row],[Procedure Start Date and Time]]-Cardiac_Table[[#This Row],[Hospital Admit Date ]]</f>
        <v>25.509722222224809</v>
      </c>
    </row>
    <row r="185" spans="1:24" x14ac:dyDescent="0.35">
      <c r="A185">
        <v>187</v>
      </c>
      <c r="B185" s="9">
        <v>43873.293055555558</v>
      </c>
      <c r="C185" s="10">
        <f>INT(Cardiac_Table[[#This Row],[Hospital Admit Date ]])</f>
        <v>43873</v>
      </c>
      <c r="D185" s="11" t="str">
        <f t="shared" si="2"/>
        <v>07:02</v>
      </c>
      <c r="E185" s="9">
        <v>43873.356944444444</v>
      </c>
      <c r="F185" s="10">
        <f>INT(Cardiac_Table[[#This Row],[Procedure Start Date and Time]])</f>
        <v>43873</v>
      </c>
      <c r="G185" s="12">
        <f>MOD(Cardiac_Table[[#This Row],[Procedure Start Date and Time]],1)</f>
        <v>0.35694444444379769</v>
      </c>
      <c r="H185">
        <v>2</v>
      </c>
      <c r="I185" t="s">
        <v>4</v>
      </c>
      <c r="J185" t="s">
        <v>3</v>
      </c>
      <c r="K185" t="s">
        <v>28</v>
      </c>
      <c r="L185">
        <v>70</v>
      </c>
      <c r="M185">
        <v>8.73</v>
      </c>
      <c r="N185">
        <v>1.37</v>
      </c>
      <c r="O185" t="s">
        <v>15</v>
      </c>
      <c r="P185">
        <v>85</v>
      </c>
      <c r="Q185">
        <v>165</v>
      </c>
      <c r="R185">
        <v>111</v>
      </c>
      <c r="S185">
        <v>55</v>
      </c>
      <c r="T185" t="s">
        <v>48</v>
      </c>
      <c r="U185">
        <f>IF(Cardiac_Table[[#This Row],[Patient Status at Discharge]]="Died", 1,0)</f>
        <v>0</v>
      </c>
      <c r="V185">
        <f>Cardiac_Table[[#This Row],[Risk of Death % (Model 1)]]/100</f>
        <v>8.7300000000000003E-2</v>
      </c>
      <c r="W185">
        <f>Cardiac_Table[[#This Row],[Risk of Death % (Model 2)]]/100</f>
        <v>1.37E-2</v>
      </c>
      <c r="X185" s="18">
        <f>Cardiac_Table[[#This Row],[Procedure Start Date and Time]]-Cardiac_Table[[#This Row],[Hospital Admit Date ]]</f>
        <v>6.3888888886140194E-2</v>
      </c>
    </row>
    <row r="186" spans="1:24" x14ac:dyDescent="0.35">
      <c r="A186">
        <v>188</v>
      </c>
      <c r="B186" s="9">
        <v>43873.333333333336</v>
      </c>
      <c r="C186" s="10">
        <f>INT(Cardiac_Table[[#This Row],[Hospital Admit Date ]])</f>
        <v>43873</v>
      </c>
      <c r="D186" s="11" t="str">
        <f t="shared" si="2"/>
        <v>08:00</v>
      </c>
      <c r="E186" s="9">
        <v>43873.561805555553</v>
      </c>
      <c r="F186" s="10">
        <f>INT(Cardiac_Table[[#This Row],[Procedure Start Date and Time]])</f>
        <v>43873</v>
      </c>
      <c r="G186" s="12">
        <f>MOD(Cardiac_Table[[#This Row],[Procedure Start Date and Time]],1)</f>
        <v>0.56180555555329192</v>
      </c>
      <c r="H186">
        <v>6</v>
      </c>
      <c r="I186" t="s">
        <v>4</v>
      </c>
      <c r="J186" t="s">
        <v>3</v>
      </c>
      <c r="K186" t="s">
        <v>34</v>
      </c>
      <c r="L186">
        <v>70</v>
      </c>
      <c r="M186">
        <v>4.24</v>
      </c>
      <c r="N186">
        <v>0.92</v>
      </c>
      <c r="O186" t="s">
        <v>15</v>
      </c>
      <c r="P186">
        <v>139</v>
      </c>
      <c r="Q186">
        <v>168</v>
      </c>
      <c r="R186">
        <v>87</v>
      </c>
      <c r="S186">
        <v>44</v>
      </c>
      <c r="T186" t="s">
        <v>50</v>
      </c>
      <c r="U186">
        <f>IF(Cardiac_Table[[#This Row],[Patient Status at Discharge]]="Died", 1,0)</f>
        <v>0</v>
      </c>
      <c r="V186">
        <f>Cardiac_Table[[#This Row],[Risk of Death % (Model 1)]]/100</f>
        <v>4.24E-2</v>
      </c>
      <c r="W186">
        <f>Cardiac_Table[[#This Row],[Risk of Death % (Model 2)]]/100</f>
        <v>9.1999999999999998E-3</v>
      </c>
      <c r="X186" s="18">
        <f>Cardiac_Table[[#This Row],[Procedure Start Date and Time]]-Cardiac_Table[[#This Row],[Hospital Admit Date ]]</f>
        <v>0.22847222221753327</v>
      </c>
    </row>
    <row r="187" spans="1:24" x14ac:dyDescent="0.35">
      <c r="A187">
        <v>189</v>
      </c>
      <c r="B187" s="9">
        <v>43873.310416666667</v>
      </c>
      <c r="C187" s="10">
        <f>INT(Cardiac_Table[[#This Row],[Hospital Admit Date ]])</f>
        <v>43873</v>
      </c>
      <c r="D187" s="11" t="str">
        <f t="shared" si="2"/>
        <v>07:27</v>
      </c>
      <c r="E187" s="9">
        <v>43873.575694444444</v>
      </c>
      <c r="F187" s="10">
        <f>INT(Cardiac_Table[[#This Row],[Procedure Start Date and Time]])</f>
        <v>43873</v>
      </c>
      <c r="G187" s="12">
        <f>MOD(Cardiac_Table[[#This Row],[Procedure Start Date and Time]],1)</f>
        <v>0.57569444444379769</v>
      </c>
      <c r="H187">
        <v>3</v>
      </c>
      <c r="I187" t="s">
        <v>4</v>
      </c>
      <c r="J187" t="s">
        <v>3</v>
      </c>
      <c r="K187" t="s">
        <v>30</v>
      </c>
      <c r="L187">
        <v>58</v>
      </c>
      <c r="M187">
        <v>1.51</v>
      </c>
      <c r="N187">
        <v>0.5</v>
      </c>
      <c r="O187" t="s">
        <v>15</v>
      </c>
      <c r="P187">
        <v>73</v>
      </c>
      <c r="Q187">
        <v>180</v>
      </c>
      <c r="R187">
        <v>101</v>
      </c>
      <c r="S187">
        <v>45</v>
      </c>
      <c r="T187" t="s">
        <v>50</v>
      </c>
      <c r="U187">
        <f>IF(Cardiac_Table[[#This Row],[Patient Status at Discharge]]="Died", 1,0)</f>
        <v>0</v>
      </c>
      <c r="V187">
        <f>Cardiac_Table[[#This Row],[Risk of Death % (Model 1)]]/100</f>
        <v>1.5100000000000001E-2</v>
      </c>
      <c r="W187">
        <f>Cardiac_Table[[#This Row],[Risk of Death % (Model 2)]]/100</f>
        <v>5.0000000000000001E-3</v>
      </c>
      <c r="X187" s="18">
        <f>Cardiac_Table[[#This Row],[Procedure Start Date and Time]]-Cardiac_Table[[#This Row],[Hospital Admit Date ]]</f>
        <v>0.26527777777664596</v>
      </c>
    </row>
    <row r="188" spans="1:24" x14ac:dyDescent="0.35">
      <c r="A188">
        <v>190</v>
      </c>
      <c r="B188" s="9">
        <v>43874.157638888886</v>
      </c>
      <c r="C188" s="10">
        <f>INT(Cardiac_Table[[#This Row],[Hospital Admit Date ]])</f>
        <v>43874</v>
      </c>
      <c r="D188" s="11" t="str">
        <f t="shared" si="2"/>
        <v>03:47</v>
      </c>
      <c r="E188" s="9">
        <v>43874.243055555555</v>
      </c>
      <c r="F188" s="10">
        <f>INT(Cardiac_Table[[#This Row],[Procedure Start Date and Time]])</f>
        <v>43874</v>
      </c>
      <c r="G188" s="12">
        <f>MOD(Cardiac_Table[[#This Row],[Procedure Start Date and Time]],1)</f>
        <v>0.24305555555474712</v>
      </c>
      <c r="H188">
        <v>2</v>
      </c>
      <c r="I188" t="s">
        <v>2</v>
      </c>
      <c r="J188" t="s">
        <v>1</v>
      </c>
      <c r="K188" t="s">
        <v>25</v>
      </c>
      <c r="L188">
        <v>74</v>
      </c>
      <c r="M188">
        <v>42.01</v>
      </c>
      <c r="N188">
        <v>5.85</v>
      </c>
      <c r="O188" t="s">
        <v>15</v>
      </c>
      <c r="P188">
        <v>73</v>
      </c>
      <c r="Q188">
        <v>178</v>
      </c>
      <c r="R188">
        <v>77</v>
      </c>
      <c r="S188">
        <v>45</v>
      </c>
      <c r="T188" t="s">
        <v>50</v>
      </c>
      <c r="U188">
        <f>IF(Cardiac_Table[[#This Row],[Patient Status at Discharge]]="Died", 1,0)</f>
        <v>0</v>
      </c>
      <c r="V188">
        <f>Cardiac_Table[[#This Row],[Risk of Death % (Model 1)]]/100</f>
        <v>0.42009999999999997</v>
      </c>
      <c r="W188">
        <f>Cardiac_Table[[#This Row],[Risk of Death % (Model 2)]]/100</f>
        <v>5.8499999999999996E-2</v>
      </c>
      <c r="X188" s="18">
        <f>Cardiac_Table[[#This Row],[Procedure Start Date and Time]]-Cardiac_Table[[#This Row],[Hospital Admit Date ]]</f>
        <v>8.5416666668606922E-2</v>
      </c>
    </row>
    <row r="189" spans="1:24" x14ac:dyDescent="0.35">
      <c r="A189">
        <v>191</v>
      </c>
      <c r="B189" s="9">
        <v>43873.5625</v>
      </c>
      <c r="C189" s="10">
        <f>INT(Cardiac_Table[[#This Row],[Hospital Admit Date ]])</f>
        <v>43873</v>
      </c>
      <c r="D189" s="11" t="str">
        <f t="shared" si="2"/>
        <v>13:30</v>
      </c>
      <c r="E189" s="9">
        <v>43874.349305555559</v>
      </c>
      <c r="F189" s="10">
        <f>INT(Cardiac_Table[[#This Row],[Procedure Start Date and Time]])</f>
        <v>43874</v>
      </c>
      <c r="G189" s="12">
        <f>MOD(Cardiac_Table[[#This Row],[Procedure Start Date and Time]],1)</f>
        <v>0.34930555555911269</v>
      </c>
      <c r="H189">
        <v>3</v>
      </c>
      <c r="I189" t="s">
        <v>4</v>
      </c>
      <c r="J189" t="s">
        <v>3</v>
      </c>
      <c r="K189" t="s">
        <v>23</v>
      </c>
      <c r="L189">
        <v>75</v>
      </c>
      <c r="M189">
        <v>4.25</v>
      </c>
      <c r="N189">
        <v>1.32</v>
      </c>
      <c r="O189" t="s">
        <v>15</v>
      </c>
      <c r="P189">
        <v>98</v>
      </c>
      <c r="Q189">
        <v>175</v>
      </c>
      <c r="R189">
        <v>106</v>
      </c>
      <c r="S189">
        <v>60</v>
      </c>
      <c r="T189" t="s">
        <v>48</v>
      </c>
      <c r="U189">
        <f>IF(Cardiac_Table[[#This Row],[Patient Status at Discharge]]="Died", 1,0)</f>
        <v>0</v>
      </c>
      <c r="V189">
        <f>Cardiac_Table[[#This Row],[Risk of Death % (Model 1)]]/100</f>
        <v>4.2500000000000003E-2</v>
      </c>
      <c r="W189">
        <f>Cardiac_Table[[#This Row],[Risk of Death % (Model 2)]]/100</f>
        <v>1.32E-2</v>
      </c>
      <c r="X189" s="18">
        <f>Cardiac_Table[[#This Row],[Procedure Start Date and Time]]-Cardiac_Table[[#This Row],[Hospital Admit Date ]]</f>
        <v>0.78680555555911269</v>
      </c>
    </row>
    <row r="190" spans="1:24" x14ac:dyDescent="0.35">
      <c r="A190">
        <v>192</v>
      </c>
      <c r="B190" s="9">
        <v>43873.444444444445</v>
      </c>
      <c r="C190" s="10">
        <f>INT(Cardiac_Table[[#This Row],[Hospital Admit Date ]])</f>
        <v>43873</v>
      </c>
      <c r="D190" s="11" t="str">
        <f t="shared" si="2"/>
        <v>10:40</v>
      </c>
      <c r="E190" s="9">
        <v>43874.35</v>
      </c>
      <c r="F190" s="10">
        <f>INT(Cardiac_Table[[#This Row],[Procedure Start Date and Time]])</f>
        <v>43874</v>
      </c>
      <c r="G190" s="12">
        <f>MOD(Cardiac_Table[[#This Row],[Procedure Start Date and Time]],1)</f>
        <v>0.34999999999854481</v>
      </c>
      <c r="H190">
        <v>1</v>
      </c>
      <c r="I190" t="s">
        <v>4</v>
      </c>
      <c r="J190" t="s">
        <v>3</v>
      </c>
      <c r="K190" t="s">
        <v>33</v>
      </c>
      <c r="L190">
        <v>79</v>
      </c>
      <c r="M190">
        <v>7.46</v>
      </c>
      <c r="N190">
        <v>2.73</v>
      </c>
      <c r="O190" t="s">
        <v>15</v>
      </c>
      <c r="P190">
        <v>83</v>
      </c>
      <c r="Q190">
        <v>161</v>
      </c>
      <c r="R190">
        <v>79</v>
      </c>
      <c r="S190">
        <v>60</v>
      </c>
      <c r="T190" t="s">
        <v>48</v>
      </c>
      <c r="U190">
        <f>IF(Cardiac_Table[[#This Row],[Patient Status at Discharge]]="Died", 1,0)</f>
        <v>0</v>
      </c>
      <c r="V190">
        <f>Cardiac_Table[[#This Row],[Risk of Death % (Model 1)]]/100</f>
        <v>7.46E-2</v>
      </c>
      <c r="W190">
        <f>Cardiac_Table[[#This Row],[Risk of Death % (Model 2)]]/100</f>
        <v>2.7300000000000001E-2</v>
      </c>
      <c r="X190" s="18">
        <f>Cardiac_Table[[#This Row],[Procedure Start Date and Time]]-Cardiac_Table[[#This Row],[Hospital Admit Date ]]</f>
        <v>0.90555555555329192</v>
      </c>
    </row>
    <row r="191" spans="1:24" x14ac:dyDescent="0.35">
      <c r="A191">
        <v>193</v>
      </c>
      <c r="B191" s="9">
        <v>43873.574305555558</v>
      </c>
      <c r="C191" s="10">
        <f>INT(Cardiac_Table[[#This Row],[Hospital Admit Date ]])</f>
        <v>43873</v>
      </c>
      <c r="D191" s="11" t="str">
        <f t="shared" si="2"/>
        <v>13:47</v>
      </c>
      <c r="E191" s="9">
        <v>43874.352083333331</v>
      </c>
      <c r="F191" s="10">
        <f>INT(Cardiac_Table[[#This Row],[Procedure Start Date and Time]])</f>
        <v>43874</v>
      </c>
      <c r="G191" s="12">
        <f>MOD(Cardiac_Table[[#This Row],[Procedure Start Date and Time]],1)</f>
        <v>0.35208333333139308</v>
      </c>
      <c r="H191">
        <v>5</v>
      </c>
      <c r="I191" t="s">
        <v>4</v>
      </c>
      <c r="J191" t="s">
        <v>10</v>
      </c>
      <c r="K191" t="s">
        <v>32</v>
      </c>
      <c r="L191">
        <v>72</v>
      </c>
      <c r="M191">
        <v>20.77</v>
      </c>
      <c r="N191">
        <v>14.79</v>
      </c>
      <c r="O191" t="s">
        <v>15</v>
      </c>
      <c r="P191">
        <v>69</v>
      </c>
      <c r="Q191">
        <v>170</v>
      </c>
      <c r="R191">
        <v>90</v>
      </c>
      <c r="S191">
        <v>60</v>
      </c>
      <c r="T191" t="s">
        <v>48</v>
      </c>
      <c r="U191">
        <f>IF(Cardiac_Table[[#This Row],[Patient Status at Discharge]]="Died", 1,0)</f>
        <v>0</v>
      </c>
      <c r="V191">
        <f>Cardiac_Table[[#This Row],[Risk of Death % (Model 1)]]/100</f>
        <v>0.2077</v>
      </c>
      <c r="W191">
        <f>Cardiac_Table[[#This Row],[Risk of Death % (Model 2)]]/100</f>
        <v>0.1479</v>
      </c>
      <c r="X191" s="18">
        <f>Cardiac_Table[[#This Row],[Procedure Start Date and Time]]-Cardiac_Table[[#This Row],[Hospital Admit Date ]]</f>
        <v>0.77777777777373558</v>
      </c>
    </row>
    <row r="192" spans="1:24" x14ac:dyDescent="0.35">
      <c r="A192">
        <v>194</v>
      </c>
      <c r="B192" s="9">
        <v>43871.831250000003</v>
      </c>
      <c r="C192" s="10">
        <f>INT(Cardiac_Table[[#This Row],[Hospital Admit Date ]])</f>
        <v>43871</v>
      </c>
      <c r="D192" s="11" t="str">
        <f t="shared" si="2"/>
        <v>19:57</v>
      </c>
      <c r="E192" s="9">
        <v>43874.368055555555</v>
      </c>
      <c r="F192" s="10">
        <f>INT(Cardiac_Table[[#This Row],[Procedure Start Date and Time]])</f>
        <v>43874</v>
      </c>
      <c r="G192" s="12">
        <f>MOD(Cardiac_Table[[#This Row],[Procedure Start Date and Time]],1)</f>
        <v>0.36805555555474712</v>
      </c>
      <c r="H192">
        <v>6</v>
      </c>
      <c r="I192" t="s">
        <v>2</v>
      </c>
      <c r="J192" t="s">
        <v>1</v>
      </c>
      <c r="K192" t="s">
        <v>22</v>
      </c>
      <c r="L192">
        <v>83</v>
      </c>
      <c r="M192">
        <v>75.38</v>
      </c>
      <c r="N192">
        <v>32.840000000000003</v>
      </c>
      <c r="O192" t="s">
        <v>13</v>
      </c>
      <c r="P192">
        <v>90</v>
      </c>
      <c r="Q192">
        <v>175</v>
      </c>
      <c r="R192">
        <v>99</v>
      </c>
      <c r="S192">
        <v>44</v>
      </c>
      <c r="T192" t="s">
        <v>50</v>
      </c>
      <c r="U192">
        <f>IF(Cardiac_Table[[#This Row],[Patient Status at Discharge]]="Died", 1,0)</f>
        <v>1</v>
      </c>
      <c r="V192">
        <f>Cardiac_Table[[#This Row],[Risk of Death % (Model 1)]]/100</f>
        <v>0.75379999999999991</v>
      </c>
      <c r="W192">
        <f>Cardiac_Table[[#This Row],[Risk of Death % (Model 2)]]/100</f>
        <v>0.32840000000000003</v>
      </c>
      <c r="X192" s="18">
        <f>Cardiac_Table[[#This Row],[Procedure Start Date and Time]]-Cardiac_Table[[#This Row],[Hospital Admit Date ]]</f>
        <v>2.5368055555518367</v>
      </c>
    </row>
    <row r="193" spans="1:24" x14ac:dyDescent="0.35">
      <c r="A193">
        <v>195</v>
      </c>
      <c r="B193" s="9">
        <v>43874.580555555556</v>
      </c>
      <c r="C193" s="10">
        <f>INT(Cardiac_Table[[#This Row],[Hospital Admit Date ]])</f>
        <v>43874</v>
      </c>
      <c r="D193" s="11" t="str">
        <f t="shared" si="2"/>
        <v>13:56</v>
      </c>
      <c r="E193" s="9">
        <v>43875.336805555555</v>
      </c>
      <c r="F193" s="10">
        <f>INT(Cardiac_Table[[#This Row],[Procedure Start Date and Time]])</f>
        <v>43875</v>
      </c>
      <c r="G193" s="12">
        <f>MOD(Cardiac_Table[[#This Row],[Procedure Start Date and Time]],1)</f>
        <v>0.33680555555474712</v>
      </c>
      <c r="H193">
        <v>3</v>
      </c>
      <c r="I193" t="s">
        <v>4</v>
      </c>
      <c r="J193" t="s">
        <v>3</v>
      </c>
      <c r="K193" t="s">
        <v>35</v>
      </c>
      <c r="L193">
        <v>77</v>
      </c>
      <c r="M193">
        <v>4.83</v>
      </c>
      <c r="N193">
        <v>3.77</v>
      </c>
      <c r="O193" t="s">
        <v>15</v>
      </c>
      <c r="P193">
        <v>180</v>
      </c>
      <c r="Q193">
        <v>168</v>
      </c>
      <c r="R193">
        <v>81</v>
      </c>
      <c r="S193">
        <v>60</v>
      </c>
      <c r="T193" t="s">
        <v>48</v>
      </c>
      <c r="U193">
        <f>IF(Cardiac_Table[[#This Row],[Patient Status at Discharge]]="Died", 1,0)</f>
        <v>0</v>
      </c>
      <c r="V193">
        <f>Cardiac_Table[[#This Row],[Risk of Death % (Model 1)]]/100</f>
        <v>4.8300000000000003E-2</v>
      </c>
      <c r="W193">
        <f>Cardiac_Table[[#This Row],[Risk of Death % (Model 2)]]/100</f>
        <v>3.7699999999999997E-2</v>
      </c>
      <c r="X193" s="18">
        <f>Cardiac_Table[[#This Row],[Procedure Start Date and Time]]-Cardiac_Table[[#This Row],[Hospital Admit Date ]]</f>
        <v>0.75624999999854481</v>
      </c>
    </row>
    <row r="194" spans="1:24" x14ac:dyDescent="0.35">
      <c r="A194">
        <v>196</v>
      </c>
      <c r="B194" s="9">
        <v>43863.770833333336</v>
      </c>
      <c r="C194" s="10">
        <f>INT(Cardiac_Table[[#This Row],[Hospital Admit Date ]])</f>
        <v>43863</v>
      </c>
      <c r="D194" s="11" t="str">
        <f t="shared" ref="D194:D257" si="3">TEXT(B194,"HH:MM")</f>
        <v>18:30</v>
      </c>
      <c r="E194" s="9">
        <v>43875.351388888892</v>
      </c>
      <c r="F194" s="10">
        <f>INT(Cardiac_Table[[#This Row],[Procedure Start Date and Time]])</f>
        <v>43875</v>
      </c>
      <c r="G194" s="12">
        <f>MOD(Cardiac_Table[[#This Row],[Procedure Start Date and Time]],1)</f>
        <v>0.35138888889196096</v>
      </c>
      <c r="H194">
        <v>5</v>
      </c>
      <c r="I194" t="s">
        <v>6</v>
      </c>
      <c r="J194" t="s">
        <v>11</v>
      </c>
      <c r="K194" t="s">
        <v>22</v>
      </c>
      <c r="L194">
        <v>82</v>
      </c>
      <c r="M194">
        <v>15.67</v>
      </c>
      <c r="N194">
        <v>6.87</v>
      </c>
      <c r="O194" t="s">
        <v>15</v>
      </c>
      <c r="P194">
        <v>71</v>
      </c>
      <c r="Q194">
        <v>172</v>
      </c>
      <c r="R194">
        <v>85</v>
      </c>
      <c r="S194">
        <v>50</v>
      </c>
      <c r="T194" t="s">
        <v>50</v>
      </c>
      <c r="U194">
        <f>IF(Cardiac_Table[[#This Row],[Patient Status at Discharge]]="Died", 1,0)</f>
        <v>0</v>
      </c>
      <c r="V194">
        <f>Cardiac_Table[[#This Row],[Risk of Death % (Model 1)]]/100</f>
        <v>0.15670000000000001</v>
      </c>
      <c r="W194">
        <f>Cardiac_Table[[#This Row],[Risk of Death % (Model 2)]]/100</f>
        <v>6.8699999999999997E-2</v>
      </c>
      <c r="X194" s="18">
        <f>Cardiac_Table[[#This Row],[Procedure Start Date and Time]]-Cardiac_Table[[#This Row],[Hospital Admit Date ]]</f>
        <v>11.580555555556202</v>
      </c>
    </row>
    <row r="195" spans="1:24" x14ac:dyDescent="0.35">
      <c r="A195">
        <v>197</v>
      </c>
      <c r="B195" s="9">
        <v>43874.90625</v>
      </c>
      <c r="C195" s="10">
        <f>INT(Cardiac_Table[[#This Row],[Hospital Admit Date ]])</f>
        <v>43874</v>
      </c>
      <c r="D195" s="11" t="str">
        <f t="shared" si="3"/>
        <v>21:45</v>
      </c>
      <c r="E195" s="9">
        <v>43875.459027777775</v>
      </c>
      <c r="F195" s="10">
        <f>INT(Cardiac_Table[[#This Row],[Procedure Start Date and Time]])</f>
        <v>43875</v>
      </c>
      <c r="G195" s="12">
        <f>MOD(Cardiac_Table[[#This Row],[Procedure Start Date and Time]],1)</f>
        <v>0.45902777777519077</v>
      </c>
      <c r="H195">
        <v>1</v>
      </c>
      <c r="I195" t="s">
        <v>4</v>
      </c>
      <c r="J195" t="s">
        <v>11</v>
      </c>
      <c r="K195" t="s">
        <v>31</v>
      </c>
      <c r="L195">
        <v>74</v>
      </c>
      <c r="M195">
        <v>3.99</v>
      </c>
      <c r="N195">
        <v>2.31</v>
      </c>
      <c r="O195" t="s">
        <v>15</v>
      </c>
      <c r="P195">
        <v>85</v>
      </c>
      <c r="Q195">
        <v>171</v>
      </c>
      <c r="R195">
        <v>113</v>
      </c>
      <c r="S195">
        <v>23</v>
      </c>
      <c r="T195" t="s">
        <v>49</v>
      </c>
      <c r="U195">
        <f>IF(Cardiac_Table[[#This Row],[Patient Status at Discharge]]="Died", 1,0)</f>
        <v>0</v>
      </c>
      <c r="V195">
        <f>Cardiac_Table[[#This Row],[Risk of Death % (Model 1)]]/100</f>
        <v>3.9900000000000005E-2</v>
      </c>
      <c r="W195">
        <f>Cardiac_Table[[#This Row],[Risk of Death % (Model 2)]]/100</f>
        <v>2.3099999999999999E-2</v>
      </c>
      <c r="X195" s="18">
        <f>Cardiac_Table[[#This Row],[Procedure Start Date and Time]]-Cardiac_Table[[#This Row],[Hospital Admit Date ]]</f>
        <v>0.55277777777519077</v>
      </c>
    </row>
    <row r="196" spans="1:24" x14ac:dyDescent="0.35">
      <c r="A196">
        <v>198</v>
      </c>
      <c r="B196" s="9">
        <v>43875.307638888888</v>
      </c>
      <c r="C196" s="10">
        <f>INT(Cardiac_Table[[#This Row],[Hospital Admit Date ]])</f>
        <v>43875</v>
      </c>
      <c r="D196" s="11" t="str">
        <f t="shared" si="3"/>
        <v>07:23</v>
      </c>
      <c r="E196" s="9">
        <v>43875.548611111109</v>
      </c>
      <c r="F196" s="10">
        <f>INT(Cardiac_Table[[#This Row],[Procedure Start Date and Time]])</f>
        <v>43875</v>
      </c>
      <c r="G196" s="12">
        <f>MOD(Cardiac_Table[[#This Row],[Procedure Start Date and Time]],1)</f>
        <v>0.54861111110949423</v>
      </c>
      <c r="H196">
        <v>3</v>
      </c>
      <c r="I196" t="s">
        <v>4</v>
      </c>
      <c r="J196" t="s">
        <v>3</v>
      </c>
      <c r="K196" t="s">
        <v>35</v>
      </c>
      <c r="L196">
        <v>83</v>
      </c>
      <c r="M196">
        <v>27.88</v>
      </c>
      <c r="N196">
        <v>12.95</v>
      </c>
      <c r="O196" t="s">
        <v>15</v>
      </c>
      <c r="P196">
        <v>90</v>
      </c>
      <c r="Q196">
        <v>174</v>
      </c>
      <c r="R196">
        <v>110</v>
      </c>
      <c r="S196">
        <v>20</v>
      </c>
      <c r="T196" t="s">
        <v>51</v>
      </c>
      <c r="U196">
        <f>IF(Cardiac_Table[[#This Row],[Patient Status at Discharge]]="Died", 1,0)</f>
        <v>0</v>
      </c>
      <c r="V196">
        <f>Cardiac_Table[[#This Row],[Risk of Death % (Model 1)]]/100</f>
        <v>0.27879999999999999</v>
      </c>
      <c r="W196">
        <f>Cardiac_Table[[#This Row],[Risk of Death % (Model 2)]]/100</f>
        <v>0.1295</v>
      </c>
      <c r="X196" s="18">
        <f>Cardiac_Table[[#This Row],[Procedure Start Date and Time]]-Cardiac_Table[[#This Row],[Hospital Admit Date ]]</f>
        <v>0.24097222222189885</v>
      </c>
    </row>
    <row r="197" spans="1:24" x14ac:dyDescent="0.35">
      <c r="A197">
        <v>199</v>
      </c>
      <c r="B197" s="9">
        <v>43875.317361111112</v>
      </c>
      <c r="C197" s="10">
        <f>INT(Cardiac_Table[[#This Row],[Hospital Admit Date ]])</f>
        <v>43875</v>
      </c>
      <c r="D197" s="11" t="str">
        <f t="shared" si="3"/>
        <v>07:37</v>
      </c>
      <c r="E197" s="9">
        <v>43875.604166666664</v>
      </c>
      <c r="F197" s="10">
        <f>INT(Cardiac_Table[[#This Row],[Procedure Start Date and Time]])</f>
        <v>43875</v>
      </c>
      <c r="G197" s="12">
        <f>MOD(Cardiac_Table[[#This Row],[Procedure Start Date and Time]],1)</f>
        <v>0.60416666666424135</v>
      </c>
      <c r="H197">
        <v>5</v>
      </c>
      <c r="I197" t="s">
        <v>4</v>
      </c>
      <c r="J197" t="s">
        <v>1</v>
      </c>
      <c r="K197" t="s">
        <v>22</v>
      </c>
      <c r="L197">
        <v>68</v>
      </c>
      <c r="M197">
        <v>11</v>
      </c>
      <c r="N197">
        <v>5.67</v>
      </c>
      <c r="O197" t="s">
        <v>15</v>
      </c>
      <c r="P197">
        <v>105</v>
      </c>
      <c r="Q197">
        <v>171</v>
      </c>
      <c r="R197">
        <v>71</v>
      </c>
      <c r="S197">
        <v>50</v>
      </c>
      <c r="T197" t="s">
        <v>50</v>
      </c>
      <c r="U197">
        <f>IF(Cardiac_Table[[#This Row],[Patient Status at Discharge]]="Died", 1,0)</f>
        <v>0</v>
      </c>
      <c r="V197">
        <f>Cardiac_Table[[#This Row],[Risk of Death % (Model 1)]]/100</f>
        <v>0.11</v>
      </c>
      <c r="W197">
        <f>Cardiac_Table[[#This Row],[Risk of Death % (Model 2)]]/100</f>
        <v>5.67E-2</v>
      </c>
      <c r="X197" s="18">
        <f>Cardiac_Table[[#This Row],[Procedure Start Date and Time]]-Cardiac_Table[[#This Row],[Hospital Admit Date ]]</f>
        <v>0.28680555555183673</v>
      </c>
    </row>
    <row r="198" spans="1:24" x14ac:dyDescent="0.35">
      <c r="A198">
        <v>200</v>
      </c>
      <c r="B198" s="9">
        <v>43874.454861111109</v>
      </c>
      <c r="C198" s="10">
        <f>INT(Cardiac_Table[[#This Row],[Hospital Admit Date ]])</f>
        <v>43874</v>
      </c>
      <c r="D198" s="11" t="str">
        <f t="shared" si="3"/>
        <v>10:55</v>
      </c>
      <c r="E198" s="9">
        <v>43875.655555555553</v>
      </c>
      <c r="F198" s="10">
        <f>INT(Cardiac_Table[[#This Row],[Procedure Start Date and Time]])</f>
        <v>43875</v>
      </c>
      <c r="G198" s="12">
        <f>MOD(Cardiac_Table[[#This Row],[Procedure Start Date and Time]],1)</f>
        <v>0.65555555555329192</v>
      </c>
      <c r="H198">
        <v>1</v>
      </c>
      <c r="I198" t="s">
        <v>6</v>
      </c>
      <c r="J198" t="s">
        <v>10</v>
      </c>
      <c r="K198" t="s">
        <v>31</v>
      </c>
      <c r="L198">
        <v>71</v>
      </c>
      <c r="M198">
        <v>3.3</v>
      </c>
      <c r="N198">
        <v>1.64</v>
      </c>
      <c r="O198" t="s">
        <v>15</v>
      </c>
      <c r="P198">
        <v>113</v>
      </c>
      <c r="Q198">
        <v>166</v>
      </c>
      <c r="R198">
        <v>102</v>
      </c>
      <c r="S198">
        <v>25</v>
      </c>
      <c r="T198" t="s">
        <v>49</v>
      </c>
      <c r="U198">
        <f>IF(Cardiac_Table[[#This Row],[Patient Status at Discharge]]="Died", 1,0)</f>
        <v>0</v>
      </c>
      <c r="V198">
        <f>Cardiac_Table[[#This Row],[Risk of Death % (Model 1)]]/100</f>
        <v>3.3000000000000002E-2</v>
      </c>
      <c r="W198">
        <f>Cardiac_Table[[#This Row],[Risk of Death % (Model 2)]]/100</f>
        <v>1.6399999999999998E-2</v>
      </c>
      <c r="X198" s="18">
        <f>Cardiac_Table[[#This Row],[Procedure Start Date and Time]]-Cardiac_Table[[#This Row],[Hospital Admit Date ]]</f>
        <v>1.2006944444437977</v>
      </c>
    </row>
    <row r="199" spans="1:24" x14ac:dyDescent="0.35">
      <c r="A199">
        <v>201</v>
      </c>
      <c r="B199" s="9">
        <v>43875.503472222219</v>
      </c>
      <c r="C199" s="10">
        <f>INT(Cardiac_Table[[#This Row],[Hospital Admit Date ]])</f>
        <v>43875</v>
      </c>
      <c r="D199" s="11" t="str">
        <f t="shared" si="3"/>
        <v>12:05</v>
      </c>
      <c r="E199" s="9">
        <v>43876.32708333333</v>
      </c>
      <c r="F199" s="10">
        <f>INT(Cardiac_Table[[#This Row],[Procedure Start Date and Time]])</f>
        <v>43876</v>
      </c>
      <c r="G199" s="12">
        <f>MOD(Cardiac_Table[[#This Row],[Procedure Start Date and Time]],1)</f>
        <v>0.32708333332993789</v>
      </c>
      <c r="H199">
        <v>5</v>
      </c>
      <c r="I199" t="s">
        <v>4</v>
      </c>
      <c r="J199" t="s">
        <v>10</v>
      </c>
      <c r="K199" t="s">
        <v>30</v>
      </c>
      <c r="L199">
        <v>63</v>
      </c>
      <c r="M199">
        <v>1.1499999999999999</v>
      </c>
      <c r="N199">
        <v>0.61</v>
      </c>
      <c r="O199" t="s">
        <v>15</v>
      </c>
      <c r="P199">
        <v>135</v>
      </c>
      <c r="Q199">
        <v>164</v>
      </c>
      <c r="R199">
        <v>66</v>
      </c>
      <c r="S199">
        <v>55</v>
      </c>
      <c r="T199" t="s">
        <v>48</v>
      </c>
      <c r="U199">
        <f>IF(Cardiac_Table[[#This Row],[Patient Status at Discharge]]="Died", 1,0)</f>
        <v>0</v>
      </c>
      <c r="V199">
        <f>Cardiac_Table[[#This Row],[Risk of Death % (Model 1)]]/100</f>
        <v>1.15E-2</v>
      </c>
      <c r="W199">
        <f>Cardiac_Table[[#This Row],[Risk of Death % (Model 2)]]/100</f>
        <v>6.0999999999999995E-3</v>
      </c>
      <c r="X199" s="18">
        <f>Cardiac_Table[[#This Row],[Procedure Start Date and Time]]-Cardiac_Table[[#This Row],[Hospital Admit Date ]]</f>
        <v>0.82361111111094942</v>
      </c>
    </row>
    <row r="200" spans="1:24" x14ac:dyDescent="0.35">
      <c r="A200">
        <v>202</v>
      </c>
      <c r="B200" s="9">
        <v>43875.625</v>
      </c>
      <c r="C200" s="10">
        <f>INT(Cardiac_Table[[#This Row],[Hospital Admit Date ]])</f>
        <v>43875</v>
      </c>
      <c r="D200" s="11" t="str">
        <f t="shared" si="3"/>
        <v>15:00</v>
      </c>
      <c r="E200" s="9">
        <v>43876.352777777778</v>
      </c>
      <c r="F200" s="10">
        <f>INT(Cardiac_Table[[#This Row],[Procedure Start Date and Time]])</f>
        <v>43876</v>
      </c>
      <c r="G200" s="12">
        <f>MOD(Cardiac_Table[[#This Row],[Procedure Start Date and Time]],1)</f>
        <v>0.35277777777810115</v>
      </c>
      <c r="H200">
        <v>2</v>
      </c>
      <c r="I200" t="s">
        <v>4</v>
      </c>
      <c r="J200" t="s">
        <v>3</v>
      </c>
      <c r="K200" t="s">
        <v>34</v>
      </c>
      <c r="L200">
        <v>69</v>
      </c>
      <c r="M200">
        <v>6.35</v>
      </c>
      <c r="N200">
        <v>4.37</v>
      </c>
      <c r="O200" t="s">
        <v>15</v>
      </c>
      <c r="P200">
        <v>84</v>
      </c>
      <c r="Q200">
        <v>179</v>
      </c>
      <c r="R200">
        <v>83</v>
      </c>
      <c r="S200">
        <v>50</v>
      </c>
      <c r="T200" t="s">
        <v>50</v>
      </c>
      <c r="U200">
        <f>IF(Cardiac_Table[[#This Row],[Patient Status at Discharge]]="Died", 1,0)</f>
        <v>0</v>
      </c>
      <c r="V200">
        <f>Cardiac_Table[[#This Row],[Risk of Death % (Model 1)]]/100</f>
        <v>6.3500000000000001E-2</v>
      </c>
      <c r="W200">
        <f>Cardiac_Table[[#This Row],[Risk of Death % (Model 2)]]/100</f>
        <v>4.3700000000000003E-2</v>
      </c>
      <c r="X200" s="18">
        <f>Cardiac_Table[[#This Row],[Procedure Start Date and Time]]-Cardiac_Table[[#This Row],[Hospital Admit Date ]]</f>
        <v>0.72777777777810115</v>
      </c>
    </row>
    <row r="201" spans="1:24" x14ac:dyDescent="0.35">
      <c r="A201">
        <v>203</v>
      </c>
      <c r="B201" s="9">
        <v>43876.022916666669</v>
      </c>
      <c r="C201" s="10">
        <f>INT(Cardiac_Table[[#This Row],[Hospital Admit Date ]])</f>
        <v>43876</v>
      </c>
      <c r="D201" s="11" t="str">
        <f t="shared" si="3"/>
        <v>00:33</v>
      </c>
      <c r="E201" s="9">
        <v>43876.527083333334</v>
      </c>
      <c r="F201" s="10">
        <f>INT(Cardiac_Table[[#This Row],[Procedure Start Date and Time]])</f>
        <v>43876</v>
      </c>
      <c r="G201" s="12">
        <f>MOD(Cardiac_Table[[#This Row],[Procedure Start Date and Time]],1)</f>
        <v>0.52708333333430346</v>
      </c>
      <c r="H201">
        <v>5</v>
      </c>
      <c r="I201" t="s">
        <v>2</v>
      </c>
      <c r="J201" t="s">
        <v>5</v>
      </c>
      <c r="K201" t="s">
        <v>31</v>
      </c>
      <c r="L201">
        <v>54</v>
      </c>
      <c r="M201">
        <v>4.16</v>
      </c>
      <c r="N201">
        <v>4.29</v>
      </c>
      <c r="O201" t="s">
        <v>15</v>
      </c>
      <c r="P201">
        <v>82</v>
      </c>
      <c r="Q201">
        <v>172</v>
      </c>
      <c r="R201">
        <v>73</v>
      </c>
      <c r="S201">
        <v>40</v>
      </c>
      <c r="T201" t="s">
        <v>50</v>
      </c>
      <c r="U201">
        <f>IF(Cardiac_Table[[#This Row],[Patient Status at Discharge]]="Died", 1,0)</f>
        <v>0</v>
      </c>
      <c r="V201">
        <f>Cardiac_Table[[#This Row],[Risk of Death % (Model 1)]]/100</f>
        <v>4.1599999999999998E-2</v>
      </c>
      <c r="W201">
        <f>Cardiac_Table[[#This Row],[Risk of Death % (Model 2)]]/100</f>
        <v>4.2900000000000001E-2</v>
      </c>
      <c r="X201" s="18">
        <f>Cardiac_Table[[#This Row],[Procedure Start Date and Time]]-Cardiac_Table[[#This Row],[Hospital Admit Date ]]</f>
        <v>0.50416666666569654</v>
      </c>
    </row>
    <row r="202" spans="1:24" x14ac:dyDescent="0.35">
      <c r="A202">
        <v>204</v>
      </c>
      <c r="B202" s="9">
        <v>43877.583333333336</v>
      </c>
      <c r="C202" s="10">
        <f>INT(Cardiac_Table[[#This Row],[Hospital Admit Date ]])</f>
        <v>43877</v>
      </c>
      <c r="D202" s="11" t="str">
        <f t="shared" si="3"/>
        <v>14:00</v>
      </c>
      <c r="E202" s="9">
        <v>43878.329861111109</v>
      </c>
      <c r="F202" s="10">
        <f>INT(Cardiac_Table[[#This Row],[Procedure Start Date and Time]])</f>
        <v>43878</v>
      </c>
      <c r="G202" s="12">
        <f>MOD(Cardiac_Table[[#This Row],[Procedure Start Date and Time]],1)</f>
        <v>0.32986111110949423</v>
      </c>
      <c r="H202">
        <v>1</v>
      </c>
      <c r="I202" t="s">
        <v>4</v>
      </c>
      <c r="J202" t="s">
        <v>10</v>
      </c>
      <c r="K202" t="s">
        <v>30</v>
      </c>
      <c r="L202">
        <v>72</v>
      </c>
      <c r="M202">
        <v>3.91</v>
      </c>
      <c r="N202">
        <v>1.2</v>
      </c>
      <c r="O202" t="s">
        <v>15</v>
      </c>
      <c r="P202">
        <v>66</v>
      </c>
      <c r="Q202">
        <v>172</v>
      </c>
      <c r="R202">
        <v>79</v>
      </c>
      <c r="S202">
        <v>45</v>
      </c>
      <c r="T202" t="s">
        <v>50</v>
      </c>
      <c r="U202">
        <f>IF(Cardiac_Table[[#This Row],[Patient Status at Discharge]]="Died", 1,0)</f>
        <v>0</v>
      </c>
      <c r="V202">
        <f>Cardiac_Table[[#This Row],[Risk of Death % (Model 1)]]/100</f>
        <v>3.9100000000000003E-2</v>
      </c>
      <c r="W202">
        <f>Cardiac_Table[[#This Row],[Risk of Death % (Model 2)]]/100</f>
        <v>1.2E-2</v>
      </c>
      <c r="X202" s="18">
        <f>Cardiac_Table[[#This Row],[Procedure Start Date and Time]]-Cardiac_Table[[#This Row],[Hospital Admit Date ]]</f>
        <v>0.74652777777373558</v>
      </c>
    </row>
    <row r="203" spans="1:24" x14ac:dyDescent="0.35">
      <c r="A203">
        <v>205</v>
      </c>
      <c r="B203" s="9">
        <v>43877.583333333336</v>
      </c>
      <c r="C203" s="10">
        <f>INT(Cardiac_Table[[#This Row],[Hospital Admit Date ]])</f>
        <v>43877</v>
      </c>
      <c r="D203" s="11" t="str">
        <f t="shared" si="3"/>
        <v>14:00</v>
      </c>
      <c r="E203" s="9">
        <v>43878.336111111108</v>
      </c>
      <c r="F203" s="10">
        <f>INT(Cardiac_Table[[#This Row],[Procedure Start Date and Time]])</f>
        <v>43878</v>
      </c>
      <c r="G203" s="12">
        <f>MOD(Cardiac_Table[[#This Row],[Procedure Start Date and Time]],1)</f>
        <v>0.33611111110803904</v>
      </c>
      <c r="H203">
        <v>3</v>
      </c>
      <c r="I203" t="s">
        <v>4</v>
      </c>
      <c r="J203" t="s">
        <v>10</v>
      </c>
      <c r="K203" t="s">
        <v>29</v>
      </c>
      <c r="L203">
        <v>65</v>
      </c>
      <c r="M203">
        <v>2.93</v>
      </c>
      <c r="N203">
        <v>1.47</v>
      </c>
      <c r="O203" t="s">
        <v>15</v>
      </c>
      <c r="P203">
        <v>79</v>
      </c>
      <c r="Q203">
        <v>165</v>
      </c>
      <c r="R203">
        <v>91</v>
      </c>
      <c r="S203">
        <v>20</v>
      </c>
      <c r="T203" t="s">
        <v>51</v>
      </c>
      <c r="U203">
        <f>IF(Cardiac_Table[[#This Row],[Patient Status at Discharge]]="Died", 1,0)</f>
        <v>0</v>
      </c>
      <c r="V203">
        <f>Cardiac_Table[[#This Row],[Risk of Death % (Model 1)]]/100</f>
        <v>2.9300000000000003E-2</v>
      </c>
      <c r="W203">
        <f>Cardiac_Table[[#This Row],[Risk of Death % (Model 2)]]/100</f>
        <v>1.47E-2</v>
      </c>
      <c r="X203" s="18">
        <f>Cardiac_Table[[#This Row],[Procedure Start Date and Time]]-Cardiac_Table[[#This Row],[Hospital Admit Date ]]</f>
        <v>0.75277777777228039</v>
      </c>
    </row>
    <row r="204" spans="1:24" x14ac:dyDescent="0.35">
      <c r="A204">
        <v>206</v>
      </c>
      <c r="B204" s="9">
        <v>43877.583333333336</v>
      </c>
      <c r="C204" s="10">
        <f>INT(Cardiac_Table[[#This Row],[Hospital Admit Date ]])</f>
        <v>43877</v>
      </c>
      <c r="D204" s="11" t="str">
        <f t="shared" si="3"/>
        <v>14:00</v>
      </c>
      <c r="E204" s="9">
        <v>43878.338194444441</v>
      </c>
      <c r="F204" s="10">
        <f>INT(Cardiac_Table[[#This Row],[Procedure Start Date and Time]])</f>
        <v>43878</v>
      </c>
      <c r="G204" s="12">
        <f>MOD(Cardiac_Table[[#This Row],[Procedure Start Date and Time]],1)</f>
        <v>0.33819444444088731</v>
      </c>
      <c r="H204">
        <v>2</v>
      </c>
      <c r="I204" t="s">
        <v>4</v>
      </c>
      <c r="J204" t="s">
        <v>10</v>
      </c>
      <c r="K204" t="s">
        <v>31</v>
      </c>
      <c r="L204">
        <v>53</v>
      </c>
      <c r="M204">
        <v>0.88</v>
      </c>
      <c r="N204">
        <v>0.56000000000000005</v>
      </c>
      <c r="O204" t="s">
        <v>15</v>
      </c>
      <c r="P204">
        <v>86</v>
      </c>
      <c r="Q204">
        <v>178</v>
      </c>
      <c r="R204">
        <v>87</v>
      </c>
      <c r="S204">
        <v>60</v>
      </c>
      <c r="T204" t="s">
        <v>48</v>
      </c>
      <c r="U204">
        <f>IF(Cardiac_Table[[#This Row],[Patient Status at Discharge]]="Died", 1,0)</f>
        <v>0</v>
      </c>
      <c r="V204">
        <f>Cardiac_Table[[#This Row],[Risk of Death % (Model 1)]]/100</f>
        <v>8.8000000000000005E-3</v>
      </c>
      <c r="W204">
        <f>Cardiac_Table[[#This Row],[Risk of Death % (Model 2)]]/100</f>
        <v>5.6000000000000008E-3</v>
      </c>
      <c r="X204" s="18">
        <f>Cardiac_Table[[#This Row],[Procedure Start Date and Time]]-Cardiac_Table[[#This Row],[Hospital Admit Date ]]</f>
        <v>0.75486111110512866</v>
      </c>
    </row>
    <row r="205" spans="1:24" x14ac:dyDescent="0.35">
      <c r="A205">
        <v>207</v>
      </c>
      <c r="B205" s="9">
        <v>43875.458333333336</v>
      </c>
      <c r="C205" s="10">
        <f>INT(Cardiac_Table[[#This Row],[Hospital Admit Date ]])</f>
        <v>43875</v>
      </c>
      <c r="D205" s="11" t="str">
        <f t="shared" si="3"/>
        <v>11:00</v>
      </c>
      <c r="E205" s="9">
        <v>43878.340277777781</v>
      </c>
      <c r="F205" s="10">
        <f>INT(Cardiac_Table[[#This Row],[Procedure Start Date and Time]])</f>
        <v>43878</v>
      </c>
      <c r="G205" s="12">
        <f>MOD(Cardiac_Table[[#This Row],[Procedure Start Date and Time]],1)</f>
        <v>0.34027777778101154</v>
      </c>
      <c r="H205">
        <v>5</v>
      </c>
      <c r="I205" t="s">
        <v>6</v>
      </c>
      <c r="J205" t="s">
        <v>11</v>
      </c>
      <c r="K205" t="s">
        <v>32</v>
      </c>
      <c r="L205">
        <v>78</v>
      </c>
      <c r="M205">
        <v>33.9</v>
      </c>
      <c r="N205">
        <v>18.149999999999999</v>
      </c>
      <c r="O205" t="s">
        <v>15</v>
      </c>
      <c r="P205">
        <v>102</v>
      </c>
      <c r="Q205">
        <v>184</v>
      </c>
      <c r="R205">
        <v>86</v>
      </c>
      <c r="S205">
        <v>47</v>
      </c>
      <c r="T205" t="s">
        <v>50</v>
      </c>
      <c r="U205">
        <f>IF(Cardiac_Table[[#This Row],[Patient Status at Discharge]]="Died", 1,0)</f>
        <v>0</v>
      </c>
      <c r="V205">
        <f>Cardiac_Table[[#This Row],[Risk of Death % (Model 1)]]/100</f>
        <v>0.33899999999999997</v>
      </c>
      <c r="W205">
        <f>Cardiac_Table[[#This Row],[Risk of Death % (Model 2)]]/100</f>
        <v>0.18149999999999999</v>
      </c>
      <c r="X205" s="18">
        <f>Cardiac_Table[[#This Row],[Procedure Start Date and Time]]-Cardiac_Table[[#This Row],[Hospital Admit Date ]]</f>
        <v>2.8819444444452529</v>
      </c>
    </row>
    <row r="206" spans="1:24" x14ac:dyDescent="0.35">
      <c r="A206">
        <v>208</v>
      </c>
      <c r="B206" s="9">
        <v>43877.595138888886</v>
      </c>
      <c r="C206" s="10">
        <f>INT(Cardiac_Table[[#This Row],[Hospital Admit Date ]])</f>
        <v>43877</v>
      </c>
      <c r="D206" s="11" t="str">
        <f t="shared" si="3"/>
        <v>14:17</v>
      </c>
      <c r="E206" s="9">
        <v>43878.383333333331</v>
      </c>
      <c r="F206" s="10">
        <f>INT(Cardiac_Table[[#This Row],[Procedure Start Date and Time]])</f>
        <v>43878</v>
      </c>
      <c r="G206" s="12">
        <f>MOD(Cardiac_Table[[#This Row],[Procedure Start Date and Time]],1)</f>
        <v>0.38333333333139308</v>
      </c>
      <c r="H206">
        <v>6</v>
      </c>
      <c r="I206" t="s">
        <v>4</v>
      </c>
      <c r="J206" t="s">
        <v>11</v>
      </c>
      <c r="K206" t="s">
        <v>23</v>
      </c>
      <c r="L206">
        <v>79</v>
      </c>
      <c r="M206">
        <v>14.52</v>
      </c>
      <c r="N206">
        <v>4.7300000000000004</v>
      </c>
      <c r="O206" t="s">
        <v>15</v>
      </c>
      <c r="P206">
        <v>102</v>
      </c>
      <c r="Q206">
        <v>173</v>
      </c>
      <c r="R206">
        <v>84</v>
      </c>
      <c r="S206">
        <v>57</v>
      </c>
      <c r="T206" t="s">
        <v>48</v>
      </c>
      <c r="U206">
        <f>IF(Cardiac_Table[[#This Row],[Patient Status at Discharge]]="Died", 1,0)</f>
        <v>0</v>
      </c>
      <c r="V206">
        <f>Cardiac_Table[[#This Row],[Risk of Death % (Model 1)]]/100</f>
        <v>0.1452</v>
      </c>
      <c r="W206">
        <f>Cardiac_Table[[#This Row],[Risk of Death % (Model 2)]]/100</f>
        <v>4.7300000000000002E-2</v>
      </c>
      <c r="X206" s="18">
        <f>Cardiac_Table[[#This Row],[Procedure Start Date and Time]]-Cardiac_Table[[#This Row],[Hospital Admit Date ]]</f>
        <v>0.78819444444525288</v>
      </c>
    </row>
    <row r="207" spans="1:24" x14ac:dyDescent="0.35">
      <c r="A207">
        <v>209</v>
      </c>
      <c r="B207" s="9">
        <v>43878.291666666664</v>
      </c>
      <c r="C207" s="10">
        <f>INT(Cardiac_Table[[#This Row],[Hospital Admit Date ]])</f>
        <v>43878</v>
      </c>
      <c r="D207" s="11" t="str">
        <f t="shared" si="3"/>
        <v>07:00</v>
      </c>
      <c r="E207" s="9">
        <v>43878.552777777775</v>
      </c>
      <c r="F207" s="10">
        <f>INT(Cardiac_Table[[#This Row],[Procedure Start Date and Time]])</f>
        <v>43878</v>
      </c>
      <c r="G207" s="12">
        <f>MOD(Cardiac_Table[[#This Row],[Procedure Start Date and Time]],1)</f>
        <v>0.55277777777519077</v>
      </c>
      <c r="H207">
        <v>3</v>
      </c>
      <c r="I207" t="s">
        <v>4</v>
      </c>
      <c r="J207" t="s">
        <v>3</v>
      </c>
      <c r="K207" t="s">
        <v>29</v>
      </c>
      <c r="L207">
        <v>67</v>
      </c>
      <c r="M207">
        <v>2.54</v>
      </c>
      <c r="N207">
        <v>0.61</v>
      </c>
      <c r="O207" t="s">
        <v>15</v>
      </c>
      <c r="P207">
        <v>65</v>
      </c>
      <c r="Q207">
        <v>170</v>
      </c>
      <c r="R207">
        <v>80</v>
      </c>
      <c r="S207">
        <v>45</v>
      </c>
      <c r="T207" t="s">
        <v>50</v>
      </c>
      <c r="U207">
        <f>IF(Cardiac_Table[[#This Row],[Patient Status at Discharge]]="Died", 1,0)</f>
        <v>0</v>
      </c>
      <c r="V207">
        <f>Cardiac_Table[[#This Row],[Risk of Death % (Model 1)]]/100</f>
        <v>2.5399999999999999E-2</v>
      </c>
      <c r="W207">
        <f>Cardiac_Table[[#This Row],[Risk of Death % (Model 2)]]/100</f>
        <v>6.0999999999999995E-3</v>
      </c>
      <c r="X207" s="18">
        <f>Cardiac_Table[[#This Row],[Procedure Start Date and Time]]-Cardiac_Table[[#This Row],[Hospital Admit Date ]]</f>
        <v>0.26111111111094942</v>
      </c>
    </row>
    <row r="208" spans="1:24" x14ac:dyDescent="0.35">
      <c r="A208">
        <v>210</v>
      </c>
      <c r="B208" s="9">
        <v>43878.544444444444</v>
      </c>
      <c r="C208" s="10">
        <f>INT(Cardiac_Table[[#This Row],[Hospital Admit Date ]])</f>
        <v>43878</v>
      </c>
      <c r="D208" s="11" t="str">
        <f t="shared" si="3"/>
        <v>13:04</v>
      </c>
      <c r="E208" s="9">
        <v>43878.631944444445</v>
      </c>
      <c r="F208" s="10">
        <f>INT(Cardiac_Table[[#This Row],[Procedure Start Date and Time]])</f>
        <v>43878</v>
      </c>
      <c r="G208" s="12">
        <f>MOD(Cardiac_Table[[#This Row],[Procedure Start Date and Time]],1)</f>
        <v>0.63194444444525288</v>
      </c>
      <c r="H208">
        <v>1</v>
      </c>
      <c r="I208" t="s">
        <v>2</v>
      </c>
      <c r="J208" t="s">
        <v>11</v>
      </c>
      <c r="K208" t="s">
        <v>30</v>
      </c>
      <c r="L208">
        <v>77</v>
      </c>
      <c r="M208">
        <v>54.24</v>
      </c>
      <c r="N208">
        <v>18.63</v>
      </c>
      <c r="O208" t="s">
        <v>15</v>
      </c>
      <c r="P208">
        <v>65</v>
      </c>
      <c r="Q208">
        <v>166</v>
      </c>
      <c r="R208">
        <v>62</v>
      </c>
      <c r="S208">
        <v>24</v>
      </c>
      <c r="T208" t="s">
        <v>49</v>
      </c>
      <c r="U208">
        <f>IF(Cardiac_Table[[#This Row],[Patient Status at Discharge]]="Died", 1,0)</f>
        <v>0</v>
      </c>
      <c r="V208">
        <f>Cardiac_Table[[#This Row],[Risk of Death % (Model 1)]]/100</f>
        <v>0.54239999999999999</v>
      </c>
      <c r="W208">
        <f>Cardiac_Table[[#This Row],[Risk of Death % (Model 2)]]/100</f>
        <v>0.18629999999999999</v>
      </c>
      <c r="X208" s="18">
        <f>Cardiac_Table[[#This Row],[Procedure Start Date and Time]]-Cardiac_Table[[#This Row],[Hospital Admit Date ]]</f>
        <v>8.7500000001455192E-2</v>
      </c>
    </row>
    <row r="209" spans="1:24" x14ac:dyDescent="0.35">
      <c r="A209">
        <v>211</v>
      </c>
      <c r="B209" s="9">
        <v>43878.4375</v>
      </c>
      <c r="C209" s="10">
        <f>INT(Cardiac_Table[[#This Row],[Hospital Admit Date ]])</f>
        <v>43878</v>
      </c>
      <c r="D209" s="11" t="str">
        <f t="shared" si="3"/>
        <v>10:30</v>
      </c>
      <c r="E209" s="9">
        <v>43879.333333333336</v>
      </c>
      <c r="F209" s="10">
        <f>INT(Cardiac_Table[[#This Row],[Procedure Start Date and Time]])</f>
        <v>43879</v>
      </c>
      <c r="G209" s="12">
        <f>MOD(Cardiac_Table[[#This Row],[Procedure Start Date and Time]],1)</f>
        <v>0.33333333333575865</v>
      </c>
      <c r="H209">
        <v>3</v>
      </c>
      <c r="I209" t="s">
        <v>6</v>
      </c>
      <c r="J209" t="s">
        <v>10</v>
      </c>
      <c r="K209" t="s">
        <v>31</v>
      </c>
      <c r="L209">
        <v>59</v>
      </c>
      <c r="M209">
        <v>1.43</v>
      </c>
      <c r="N209">
        <v>1.58</v>
      </c>
      <c r="O209" t="s">
        <v>15</v>
      </c>
      <c r="P209">
        <v>67</v>
      </c>
      <c r="Q209">
        <v>176</v>
      </c>
      <c r="R209">
        <v>74</v>
      </c>
      <c r="S209">
        <v>27</v>
      </c>
      <c r="T209" t="s">
        <v>49</v>
      </c>
      <c r="U209">
        <f>IF(Cardiac_Table[[#This Row],[Patient Status at Discharge]]="Died", 1,0)</f>
        <v>0</v>
      </c>
      <c r="V209">
        <f>Cardiac_Table[[#This Row],[Risk of Death % (Model 1)]]/100</f>
        <v>1.43E-2</v>
      </c>
      <c r="W209">
        <f>Cardiac_Table[[#This Row],[Risk of Death % (Model 2)]]/100</f>
        <v>1.5800000000000002E-2</v>
      </c>
      <c r="X209" s="18">
        <f>Cardiac_Table[[#This Row],[Procedure Start Date and Time]]-Cardiac_Table[[#This Row],[Hospital Admit Date ]]</f>
        <v>0.89583333333575865</v>
      </c>
    </row>
    <row r="210" spans="1:24" x14ac:dyDescent="0.35">
      <c r="A210">
        <v>212</v>
      </c>
      <c r="B210" s="9">
        <v>43878.560416666667</v>
      </c>
      <c r="C210" s="10">
        <f>INT(Cardiac_Table[[#This Row],[Hospital Admit Date ]])</f>
        <v>43878</v>
      </c>
      <c r="D210" s="11" t="str">
        <f t="shared" si="3"/>
        <v>13:27</v>
      </c>
      <c r="E210" s="9">
        <v>43879.342361111114</v>
      </c>
      <c r="F210" s="10">
        <f>INT(Cardiac_Table[[#This Row],[Procedure Start Date and Time]])</f>
        <v>43879</v>
      </c>
      <c r="G210" s="12">
        <f>MOD(Cardiac_Table[[#This Row],[Procedure Start Date and Time]],1)</f>
        <v>0.34236111111385981</v>
      </c>
      <c r="H210">
        <v>5</v>
      </c>
      <c r="I210" t="s">
        <v>4</v>
      </c>
      <c r="J210" t="s">
        <v>11</v>
      </c>
      <c r="K210" t="s">
        <v>26</v>
      </c>
      <c r="L210">
        <v>73</v>
      </c>
      <c r="M210">
        <v>8.82</v>
      </c>
      <c r="N210">
        <v>5.16</v>
      </c>
      <c r="O210" t="s">
        <v>15</v>
      </c>
      <c r="P210">
        <v>95</v>
      </c>
      <c r="Q210">
        <v>185</v>
      </c>
      <c r="R210">
        <v>92</v>
      </c>
      <c r="S210">
        <v>10</v>
      </c>
      <c r="T210" t="s">
        <v>50</v>
      </c>
      <c r="U210">
        <f>IF(Cardiac_Table[[#This Row],[Patient Status at Discharge]]="Died", 1,0)</f>
        <v>0</v>
      </c>
      <c r="V210">
        <f>Cardiac_Table[[#This Row],[Risk of Death % (Model 1)]]/100</f>
        <v>8.8200000000000001E-2</v>
      </c>
      <c r="W210">
        <f>Cardiac_Table[[#This Row],[Risk of Death % (Model 2)]]/100</f>
        <v>5.16E-2</v>
      </c>
      <c r="X210" s="18">
        <f>Cardiac_Table[[#This Row],[Procedure Start Date and Time]]-Cardiac_Table[[#This Row],[Hospital Admit Date ]]</f>
        <v>0.78194444444670808</v>
      </c>
    </row>
    <row r="211" spans="1:24" x14ac:dyDescent="0.35">
      <c r="A211">
        <v>213</v>
      </c>
      <c r="B211" s="9">
        <v>43879.291666666664</v>
      </c>
      <c r="C211" s="10">
        <f>INT(Cardiac_Table[[#This Row],[Hospital Admit Date ]])</f>
        <v>43879</v>
      </c>
      <c r="D211" s="11" t="str">
        <f t="shared" si="3"/>
        <v>07:00</v>
      </c>
      <c r="E211" s="9">
        <v>43879.474305555559</v>
      </c>
      <c r="F211" s="10">
        <f>INT(Cardiac_Table[[#This Row],[Procedure Start Date and Time]])</f>
        <v>43879</v>
      </c>
      <c r="G211" s="12">
        <f>MOD(Cardiac_Table[[#This Row],[Procedure Start Date and Time]],1)</f>
        <v>0.47430555555911269</v>
      </c>
      <c r="H211">
        <v>2</v>
      </c>
      <c r="I211" t="s">
        <v>4</v>
      </c>
      <c r="J211" t="s">
        <v>3</v>
      </c>
      <c r="K211" t="s">
        <v>28</v>
      </c>
      <c r="L211">
        <v>71</v>
      </c>
      <c r="M211">
        <v>8.48</v>
      </c>
      <c r="N211">
        <v>4.71</v>
      </c>
      <c r="O211" t="s">
        <v>15</v>
      </c>
      <c r="P211">
        <v>65</v>
      </c>
      <c r="Q211">
        <v>168</v>
      </c>
      <c r="R211">
        <v>93</v>
      </c>
      <c r="S211">
        <v>62</v>
      </c>
      <c r="T211" t="s">
        <v>48</v>
      </c>
      <c r="U211">
        <f>IF(Cardiac_Table[[#This Row],[Patient Status at Discharge]]="Died", 1,0)</f>
        <v>0</v>
      </c>
      <c r="V211">
        <f>Cardiac_Table[[#This Row],[Risk of Death % (Model 1)]]/100</f>
        <v>8.48E-2</v>
      </c>
      <c r="W211">
        <f>Cardiac_Table[[#This Row],[Risk of Death % (Model 2)]]/100</f>
        <v>4.7100000000000003E-2</v>
      </c>
      <c r="X211" s="18">
        <f>Cardiac_Table[[#This Row],[Procedure Start Date and Time]]-Cardiac_Table[[#This Row],[Hospital Admit Date ]]</f>
        <v>0.18263888889487134</v>
      </c>
    </row>
    <row r="212" spans="1:24" x14ac:dyDescent="0.35">
      <c r="A212">
        <v>214</v>
      </c>
      <c r="B212" s="9">
        <v>43879.324999999997</v>
      </c>
      <c r="C212" s="10">
        <f>INT(Cardiac_Table[[#This Row],[Hospital Admit Date ]])</f>
        <v>43879</v>
      </c>
      <c r="D212" s="11" t="str">
        <f t="shared" si="3"/>
        <v>07:48</v>
      </c>
      <c r="E212" s="9">
        <v>43879.609722222223</v>
      </c>
      <c r="F212" s="10">
        <f>INT(Cardiac_Table[[#This Row],[Procedure Start Date and Time]])</f>
        <v>43879</v>
      </c>
      <c r="G212" s="12">
        <f>MOD(Cardiac_Table[[#This Row],[Procedure Start Date and Time]],1)</f>
        <v>0.60972222222335404</v>
      </c>
      <c r="H212">
        <v>5</v>
      </c>
      <c r="I212" t="s">
        <v>4</v>
      </c>
      <c r="J212" t="s">
        <v>10</v>
      </c>
      <c r="K212" t="s">
        <v>26</v>
      </c>
      <c r="L212">
        <v>71</v>
      </c>
      <c r="M212">
        <v>3.3</v>
      </c>
      <c r="N212">
        <v>1.07</v>
      </c>
      <c r="O212" t="s">
        <v>15</v>
      </c>
      <c r="P212">
        <v>74</v>
      </c>
      <c r="Q212">
        <v>173</v>
      </c>
      <c r="R212">
        <v>93</v>
      </c>
      <c r="S212">
        <v>66</v>
      </c>
      <c r="T212" t="s">
        <v>48</v>
      </c>
      <c r="U212">
        <f>IF(Cardiac_Table[[#This Row],[Patient Status at Discharge]]="Died", 1,0)</f>
        <v>0</v>
      </c>
      <c r="V212">
        <f>Cardiac_Table[[#This Row],[Risk of Death % (Model 1)]]/100</f>
        <v>3.3000000000000002E-2</v>
      </c>
      <c r="W212">
        <f>Cardiac_Table[[#This Row],[Risk of Death % (Model 2)]]/100</f>
        <v>1.0700000000000001E-2</v>
      </c>
      <c r="X212" s="18">
        <f>Cardiac_Table[[#This Row],[Procedure Start Date and Time]]-Cardiac_Table[[#This Row],[Hospital Admit Date ]]</f>
        <v>0.28472222222626442</v>
      </c>
    </row>
    <row r="213" spans="1:24" x14ac:dyDescent="0.35">
      <c r="A213">
        <v>215</v>
      </c>
      <c r="B213" s="9">
        <v>43879.416666666664</v>
      </c>
      <c r="C213" s="10">
        <f>INT(Cardiac_Table[[#This Row],[Hospital Admit Date ]])</f>
        <v>43879</v>
      </c>
      <c r="D213" s="11" t="str">
        <f t="shared" si="3"/>
        <v>10:00</v>
      </c>
      <c r="E213" s="9">
        <v>43880.322916666664</v>
      </c>
      <c r="F213" s="10">
        <f>INT(Cardiac_Table[[#This Row],[Procedure Start Date and Time]])</f>
        <v>43880</v>
      </c>
      <c r="G213" s="12">
        <f>MOD(Cardiac_Table[[#This Row],[Procedure Start Date and Time]],1)</f>
        <v>0.32291666666424135</v>
      </c>
      <c r="H213">
        <v>3</v>
      </c>
      <c r="I213" t="s">
        <v>6</v>
      </c>
      <c r="J213" t="s">
        <v>3</v>
      </c>
      <c r="K213" t="s">
        <v>31</v>
      </c>
      <c r="L213">
        <v>59</v>
      </c>
      <c r="M213">
        <v>1.51</v>
      </c>
      <c r="N213">
        <v>0.92</v>
      </c>
      <c r="O213" t="s">
        <v>15</v>
      </c>
      <c r="P213">
        <v>62</v>
      </c>
      <c r="Q213">
        <v>167</v>
      </c>
      <c r="R213">
        <v>77</v>
      </c>
      <c r="S213">
        <v>67</v>
      </c>
      <c r="T213" t="s">
        <v>48</v>
      </c>
      <c r="U213">
        <f>IF(Cardiac_Table[[#This Row],[Patient Status at Discharge]]="Died", 1,0)</f>
        <v>0</v>
      </c>
      <c r="V213">
        <f>Cardiac_Table[[#This Row],[Risk of Death % (Model 1)]]/100</f>
        <v>1.5100000000000001E-2</v>
      </c>
      <c r="W213">
        <f>Cardiac_Table[[#This Row],[Risk of Death % (Model 2)]]/100</f>
        <v>9.1999999999999998E-3</v>
      </c>
      <c r="X213" s="18">
        <f>Cardiac_Table[[#This Row],[Procedure Start Date and Time]]-Cardiac_Table[[#This Row],[Hospital Admit Date ]]</f>
        <v>0.90625</v>
      </c>
    </row>
    <row r="214" spans="1:24" x14ac:dyDescent="0.35">
      <c r="A214">
        <v>216</v>
      </c>
      <c r="B214" s="9">
        <v>43879.569444444445</v>
      </c>
      <c r="C214" s="10">
        <f>INT(Cardiac_Table[[#This Row],[Hospital Admit Date ]])</f>
        <v>43879</v>
      </c>
      <c r="D214" s="11" t="str">
        <f t="shared" si="3"/>
        <v>13:40</v>
      </c>
      <c r="E214" s="9">
        <v>43880.340277777781</v>
      </c>
      <c r="F214" s="10">
        <f>INT(Cardiac_Table[[#This Row],[Procedure Start Date and Time]])</f>
        <v>43880</v>
      </c>
      <c r="G214" s="12">
        <f>MOD(Cardiac_Table[[#This Row],[Procedure Start Date and Time]],1)</f>
        <v>0.34027777778101154</v>
      </c>
      <c r="H214">
        <v>2</v>
      </c>
      <c r="I214" t="s">
        <v>4</v>
      </c>
      <c r="J214" t="s">
        <v>3</v>
      </c>
      <c r="K214" t="s">
        <v>28</v>
      </c>
      <c r="L214">
        <v>69</v>
      </c>
      <c r="M214">
        <v>2.89</v>
      </c>
      <c r="N214">
        <v>2.52</v>
      </c>
      <c r="O214" t="s">
        <v>15</v>
      </c>
      <c r="P214">
        <v>63</v>
      </c>
      <c r="Q214">
        <v>179</v>
      </c>
      <c r="R214">
        <v>88</v>
      </c>
      <c r="S214">
        <v>25</v>
      </c>
      <c r="T214" t="s">
        <v>49</v>
      </c>
      <c r="U214">
        <f>IF(Cardiac_Table[[#This Row],[Patient Status at Discharge]]="Died", 1,0)</f>
        <v>0</v>
      </c>
      <c r="V214">
        <f>Cardiac_Table[[#This Row],[Risk of Death % (Model 1)]]/100</f>
        <v>2.8900000000000002E-2</v>
      </c>
      <c r="W214">
        <f>Cardiac_Table[[#This Row],[Risk of Death % (Model 2)]]/100</f>
        <v>2.52E-2</v>
      </c>
      <c r="X214" s="18">
        <f>Cardiac_Table[[#This Row],[Procedure Start Date and Time]]-Cardiac_Table[[#This Row],[Hospital Admit Date ]]</f>
        <v>0.77083333333575865</v>
      </c>
    </row>
    <row r="215" spans="1:24" x14ac:dyDescent="0.35">
      <c r="A215">
        <v>217</v>
      </c>
      <c r="B215" s="9">
        <v>43873.458333333336</v>
      </c>
      <c r="C215" s="10">
        <f>INT(Cardiac_Table[[#This Row],[Hospital Admit Date ]])</f>
        <v>43873</v>
      </c>
      <c r="D215" s="11" t="str">
        <f t="shared" si="3"/>
        <v>11:00</v>
      </c>
      <c r="E215" s="9">
        <v>43880.342361111114</v>
      </c>
      <c r="F215" s="10">
        <f>INT(Cardiac_Table[[#This Row],[Procedure Start Date and Time]])</f>
        <v>43880</v>
      </c>
      <c r="G215" s="12">
        <f>MOD(Cardiac_Table[[#This Row],[Procedure Start Date and Time]],1)</f>
        <v>0.34236111111385981</v>
      </c>
      <c r="H215">
        <v>6</v>
      </c>
      <c r="I215" t="s">
        <v>6</v>
      </c>
      <c r="J215" t="s">
        <v>10</v>
      </c>
      <c r="K215" t="s">
        <v>32</v>
      </c>
      <c r="L215">
        <v>67</v>
      </c>
      <c r="M215">
        <v>2.5499999999999998</v>
      </c>
      <c r="N215">
        <v>1.31</v>
      </c>
      <c r="O215" t="s">
        <v>15</v>
      </c>
      <c r="P215">
        <v>80</v>
      </c>
      <c r="Q215">
        <v>160</v>
      </c>
      <c r="R215">
        <v>76</v>
      </c>
      <c r="S215">
        <v>15</v>
      </c>
      <c r="T215" t="s">
        <v>51</v>
      </c>
      <c r="U215">
        <f>IF(Cardiac_Table[[#This Row],[Patient Status at Discharge]]="Died", 1,0)</f>
        <v>0</v>
      </c>
      <c r="V215">
        <f>Cardiac_Table[[#This Row],[Risk of Death % (Model 1)]]/100</f>
        <v>2.5499999999999998E-2</v>
      </c>
      <c r="W215">
        <f>Cardiac_Table[[#This Row],[Risk of Death % (Model 2)]]/100</f>
        <v>1.3100000000000001E-2</v>
      </c>
      <c r="X215" s="18">
        <f>Cardiac_Table[[#This Row],[Procedure Start Date and Time]]-Cardiac_Table[[#This Row],[Hospital Admit Date ]]</f>
        <v>6.8840277777781012</v>
      </c>
    </row>
    <row r="216" spans="1:24" x14ac:dyDescent="0.35">
      <c r="A216">
        <v>218</v>
      </c>
      <c r="B216" s="9">
        <v>43879.64166666667</v>
      </c>
      <c r="C216" s="10">
        <f>INT(Cardiac_Table[[#This Row],[Hospital Admit Date ]])</f>
        <v>43879</v>
      </c>
      <c r="D216" s="11" t="str">
        <f t="shared" si="3"/>
        <v>15:24</v>
      </c>
      <c r="E216" s="9">
        <v>43880.343055555553</v>
      </c>
      <c r="F216" s="10">
        <f>INT(Cardiac_Table[[#This Row],[Procedure Start Date and Time]])</f>
        <v>43880</v>
      </c>
      <c r="G216" s="12">
        <f>MOD(Cardiac_Table[[#This Row],[Procedure Start Date and Time]],1)</f>
        <v>0.34305555555329192</v>
      </c>
      <c r="H216">
        <v>5</v>
      </c>
      <c r="I216" t="s">
        <v>4</v>
      </c>
      <c r="J216" t="s">
        <v>10</v>
      </c>
      <c r="K216" t="s">
        <v>24</v>
      </c>
      <c r="L216">
        <v>71</v>
      </c>
      <c r="M216">
        <v>2.68</v>
      </c>
      <c r="N216">
        <v>1.35</v>
      </c>
      <c r="O216" t="s">
        <v>15</v>
      </c>
      <c r="P216">
        <v>72</v>
      </c>
      <c r="Q216">
        <v>178</v>
      </c>
      <c r="R216">
        <v>115</v>
      </c>
      <c r="S216">
        <v>38</v>
      </c>
      <c r="T216" t="s">
        <v>50</v>
      </c>
      <c r="U216">
        <f>IF(Cardiac_Table[[#This Row],[Patient Status at Discharge]]="Died", 1,0)</f>
        <v>0</v>
      </c>
      <c r="V216">
        <f>Cardiac_Table[[#This Row],[Risk of Death % (Model 1)]]/100</f>
        <v>2.6800000000000001E-2</v>
      </c>
      <c r="W216">
        <f>Cardiac_Table[[#This Row],[Risk of Death % (Model 2)]]/100</f>
        <v>1.3500000000000002E-2</v>
      </c>
      <c r="X216" s="18">
        <f>Cardiac_Table[[#This Row],[Procedure Start Date and Time]]-Cardiac_Table[[#This Row],[Hospital Admit Date ]]</f>
        <v>0.70138888888322981</v>
      </c>
    </row>
    <row r="217" spans="1:24" x14ac:dyDescent="0.35">
      <c r="A217">
        <v>219</v>
      </c>
      <c r="B217" s="9">
        <v>43875.300694444442</v>
      </c>
      <c r="C217" s="10">
        <f>INT(Cardiac_Table[[#This Row],[Hospital Admit Date ]])</f>
        <v>43875</v>
      </c>
      <c r="D217" s="11" t="str">
        <f t="shared" si="3"/>
        <v>07:13</v>
      </c>
      <c r="E217" s="9">
        <v>43880.574999999997</v>
      </c>
      <c r="F217" s="10">
        <f>INT(Cardiac_Table[[#This Row],[Procedure Start Date and Time]])</f>
        <v>43880</v>
      </c>
      <c r="G217" s="12">
        <f>MOD(Cardiac_Table[[#This Row],[Procedure Start Date and Time]],1)</f>
        <v>0.57499999999708962</v>
      </c>
      <c r="H217">
        <v>6</v>
      </c>
      <c r="I217" t="s">
        <v>6</v>
      </c>
      <c r="J217" t="s">
        <v>10</v>
      </c>
      <c r="K217" t="s">
        <v>32</v>
      </c>
      <c r="L217">
        <v>56</v>
      </c>
      <c r="M217">
        <v>0.88</v>
      </c>
      <c r="N217">
        <v>0.69</v>
      </c>
      <c r="O217" t="s">
        <v>15</v>
      </c>
      <c r="P217">
        <v>128</v>
      </c>
      <c r="Q217">
        <v>179</v>
      </c>
      <c r="R217">
        <v>101</v>
      </c>
      <c r="S217">
        <v>50</v>
      </c>
      <c r="T217" t="s">
        <v>50</v>
      </c>
      <c r="U217">
        <f>IF(Cardiac_Table[[#This Row],[Patient Status at Discharge]]="Died", 1,0)</f>
        <v>0</v>
      </c>
      <c r="V217">
        <f>Cardiac_Table[[#This Row],[Risk of Death % (Model 1)]]/100</f>
        <v>8.8000000000000005E-3</v>
      </c>
      <c r="W217">
        <f>Cardiac_Table[[#This Row],[Risk of Death % (Model 2)]]/100</f>
        <v>6.8999999999999999E-3</v>
      </c>
      <c r="X217" s="18">
        <f>Cardiac_Table[[#This Row],[Procedure Start Date and Time]]-Cardiac_Table[[#This Row],[Hospital Admit Date ]]</f>
        <v>5.2743055555547471</v>
      </c>
    </row>
    <row r="218" spans="1:24" x14ac:dyDescent="0.35">
      <c r="A218">
        <v>220</v>
      </c>
      <c r="B218" s="9">
        <v>43880.561111111114</v>
      </c>
      <c r="C218" s="10">
        <f>INT(Cardiac_Table[[#This Row],[Hospital Admit Date ]])</f>
        <v>43880</v>
      </c>
      <c r="D218" s="11" t="str">
        <f t="shared" si="3"/>
        <v>13:28</v>
      </c>
      <c r="E218" s="9">
        <v>43881.336805555555</v>
      </c>
      <c r="F218" s="10">
        <f>INT(Cardiac_Table[[#This Row],[Procedure Start Date and Time]])</f>
        <v>43881</v>
      </c>
      <c r="G218" s="12">
        <f>MOD(Cardiac_Table[[#This Row],[Procedure Start Date and Time]],1)</f>
        <v>0.33680555555474712</v>
      </c>
      <c r="H218">
        <v>5</v>
      </c>
      <c r="I218" t="s">
        <v>4</v>
      </c>
      <c r="J218" t="s">
        <v>3</v>
      </c>
      <c r="K218" t="s">
        <v>32</v>
      </c>
      <c r="L218">
        <v>75</v>
      </c>
      <c r="M218">
        <v>6.32</v>
      </c>
      <c r="N218">
        <v>4.83</v>
      </c>
      <c r="O218" t="s">
        <v>15</v>
      </c>
      <c r="P218">
        <v>93</v>
      </c>
      <c r="Q218">
        <v>167</v>
      </c>
      <c r="R218">
        <v>81</v>
      </c>
      <c r="S218">
        <v>35</v>
      </c>
      <c r="T218" t="s">
        <v>50</v>
      </c>
      <c r="U218">
        <f>IF(Cardiac_Table[[#This Row],[Patient Status at Discharge]]="Died", 1,0)</f>
        <v>0</v>
      </c>
      <c r="V218">
        <f>Cardiac_Table[[#This Row],[Risk of Death % (Model 1)]]/100</f>
        <v>6.3200000000000006E-2</v>
      </c>
      <c r="W218">
        <f>Cardiac_Table[[#This Row],[Risk of Death % (Model 2)]]/100</f>
        <v>4.8300000000000003E-2</v>
      </c>
      <c r="X218" s="18">
        <f>Cardiac_Table[[#This Row],[Procedure Start Date and Time]]-Cardiac_Table[[#This Row],[Hospital Admit Date ]]</f>
        <v>0.77569444444088731</v>
      </c>
    </row>
    <row r="219" spans="1:24" x14ac:dyDescent="0.35">
      <c r="A219">
        <v>221</v>
      </c>
      <c r="B219" s="9">
        <v>43880.580555555556</v>
      </c>
      <c r="C219" s="10">
        <f>INT(Cardiac_Table[[#This Row],[Hospital Admit Date ]])</f>
        <v>43880</v>
      </c>
      <c r="D219" s="11" t="str">
        <f t="shared" si="3"/>
        <v>13:56</v>
      </c>
      <c r="E219" s="9">
        <v>43881.350694444445</v>
      </c>
      <c r="F219" s="10">
        <f>INT(Cardiac_Table[[#This Row],[Procedure Start Date and Time]])</f>
        <v>43881</v>
      </c>
      <c r="G219" s="12">
        <f>MOD(Cardiac_Table[[#This Row],[Procedure Start Date and Time]],1)</f>
        <v>0.35069444444525288</v>
      </c>
      <c r="H219">
        <v>2</v>
      </c>
      <c r="I219" t="s">
        <v>4</v>
      </c>
      <c r="J219" t="s">
        <v>11</v>
      </c>
      <c r="K219" t="s">
        <v>34</v>
      </c>
      <c r="L219">
        <v>83</v>
      </c>
      <c r="M219">
        <v>28.58</v>
      </c>
      <c r="N219">
        <v>7.1</v>
      </c>
      <c r="O219" t="s">
        <v>15</v>
      </c>
      <c r="P219">
        <v>82</v>
      </c>
      <c r="Q219">
        <v>170</v>
      </c>
      <c r="R219">
        <v>103</v>
      </c>
      <c r="S219">
        <v>35</v>
      </c>
      <c r="T219" t="s">
        <v>50</v>
      </c>
      <c r="U219">
        <f>IF(Cardiac_Table[[#This Row],[Patient Status at Discharge]]="Died", 1,0)</f>
        <v>0</v>
      </c>
      <c r="V219">
        <f>Cardiac_Table[[#This Row],[Risk of Death % (Model 1)]]/100</f>
        <v>0.2858</v>
      </c>
      <c r="W219">
        <f>Cardiac_Table[[#This Row],[Risk of Death % (Model 2)]]/100</f>
        <v>7.0999999999999994E-2</v>
      </c>
      <c r="X219" s="18">
        <f>Cardiac_Table[[#This Row],[Procedure Start Date and Time]]-Cardiac_Table[[#This Row],[Hospital Admit Date ]]</f>
        <v>0.77013888888905058</v>
      </c>
    </row>
    <row r="220" spans="1:24" x14ac:dyDescent="0.35">
      <c r="A220">
        <v>222</v>
      </c>
      <c r="B220" s="9">
        <v>43880.458333333336</v>
      </c>
      <c r="C220" s="10">
        <f>INT(Cardiac_Table[[#This Row],[Hospital Admit Date ]])</f>
        <v>43880</v>
      </c>
      <c r="D220" s="11" t="str">
        <f t="shared" si="3"/>
        <v>11:00</v>
      </c>
      <c r="E220" s="9">
        <v>43881.443749999999</v>
      </c>
      <c r="F220" s="10">
        <f>INT(Cardiac_Table[[#This Row],[Procedure Start Date and Time]])</f>
        <v>43881</v>
      </c>
      <c r="G220" s="12">
        <f>MOD(Cardiac_Table[[#This Row],[Procedure Start Date and Time]],1)</f>
        <v>0.44374999999854481</v>
      </c>
      <c r="H220">
        <v>3</v>
      </c>
      <c r="I220" t="s">
        <v>6</v>
      </c>
      <c r="J220" t="s">
        <v>1</v>
      </c>
      <c r="K220" t="s">
        <v>31</v>
      </c>
      <c r="L220">
        <v>71</v>
      </c>
      <c r="M220">
        <v>17.28</v>
      </c>
      <c r="N220">
        <v>6.74</v>
      </c>
      <c r="O220" t="s">
        <v>15</v>
      </c>
      <c r="P220">
        <v>75</v>
      </c>
      <c r="Q220">
        <v>162</v>
      </c>
      <c r="R220">
        <v>85</v>
      </c>
      <c r="S220">
        <v>29</v>
      </c>
      <c r="T220" t="s">
        <v>49</v>
      </c>
      <c r="U220">
        <f>IF(Cardiac_Table[[#This Row],[Patient Status at Discharge]]="Died", 1,0)</f>
        <v>0</v>
      </c>
      <c r="V220">
        <f>Cardiac_Table[[#This Row],[Risk of Death % (Model 1)]]/100</f>
        <v>0.17280000000000001</v>
      </c>
      <c r="W220">
        <f>Cardiac_Table[[#This Row],[Risk of Death % (Model 2)]]/100</f>
        <v>6.7400000000000002E-2</v>
      </c>
      <c r="X220" s="18">
        <f>Cardiac_Table[[#This Row],[Procedure Start Date and Time]]-Cardiac_Table[[#This Row],[Hospital Admit Date ]]</f>
        <v>0.98541666666278616</v>
      </c>
    </row>
    <row r="221" spans="1:24" x14ac:dyDescent="0.35">
      <c r="A221">
        <v>223</v>
      </c>
      <c r="B221" s="9">
        <v>43880.458333333336</v>
      </c>
      <c r="C221" s="10">
        <f>INT(Cardiac_Table[[#This Row],[Hospital Admit Date ]])</f>
        <v>43880</v>
      </c>
      <c r="D221" s="11" t="str">
        <f t="shared" si="3"/>
        <v>11:00</v>
      </c>
      <c r="E221" s="9">
        <v>43881.449305555558</v>
      </c>
      <c r="F221" s="10">
        <f>INT(Cardiac_Table[[#This Row],[Procedure Start Date and Time]])</f>
        <v>43881</v>
      </c>
      <c r="G221" s="12">
        <f>MOD(Cardiac_Table[[#This Row],[Procedure Start Date and Time]],1)</f>
        <v>0.4493055555576575</v>
      </c>
      <c r="H221">
        <v>6</v>
      </c>
      <c r="I221" t="s">
        <v>6</v>
      </c>
      <c r="J221" t="s">
        <v>3</v>
      </c>
      <c r="K221" t="s">
        <v>22</v>
      </c>
      <c r="L221">
        <v>70</v>
      </c>
      <c r="M221">
        <v>3.08</v>
      </c>
      <c r="N221">
        <v>1.01</v>
      </c>
      <c r="O221" t="s">
        <v>15</v>
      </c>
      <c r="P221">
        <v>104</v>
      </c>
      <c r="Q221">
        <v>173</v>
      </c>
      <c r="R221">
        <v>86</v>
      </c>
      <c r="S221">
        <v>40</v>
      </c>
      <c r="T221" t="s">
        <v>50</v>
      </c>
      <c r="U221">
        <f>IF(Cardiac_Table[[#This Row],[Patient Status at Discharge]]="Died", 1,0)</f>
        <v>0</v>
      </c>
      <c r="V221">
        <f>Cardiac_Table[[#This Row],[Risk of Death % (Model 1)]]/100</f>
        <v>3.0800000000000001E-2</v>
      </c>
      <c r="W221">
        <f>Cardiac_Table[[#This Row],[Risk of Death % (Model 2)]]/100</f>
        <v>1.01E-2</v>
      </c>
      <c r="X221" s="18">
        <f>Cardiac_Table[[#This Row],[Procedure Start Date and Time]]-Cardiac_Table[[#This Row],[Hospital Admit Date ]]</f>
        <v>0.99097222222189885</v>
      </c>
    </row>
    <row r="222" spans="1:24" x14ac:dyDescent="0.35">
      <c r="A222">
        <v>225</v>
      </c>
      <c r="B222" s="9">
        <v>43881.587500000001</v>
      </c>
      <c r="C222" s="10">
        <f>INT(Cardiac_Table[[#This Row],[Hospital Admit Date ]])</f>
        <v>43881</v>
      </c>
      <c r="D222" s="11" t="str">
        <f t="shared" si="3"/>
        <v>14:06</v>
      </c>
      <c r="E222" s="9">
        <v>43882.341666666667</v>
      </c>
      <c r="F222" s="10">
        <f>INT(Cardiac_Table[[#This Row],[Procedure Start Date and Time]])</f>
        <v>43882</v>
      </c>
      <c r="G222" s="12">
        <f>MOD(Cardiac_Table[[#This Row],[Procedure Start Date and Time]],1)</f>
        <v>0.34166666666715173</v>
      </c>
      <c r="H222">
        <v>3</v>
      </c>
      <c r="I222" t="s">
        <v>4</v>
      </c>
      <c r="J222" t="s">
        <v>3</v>
      </c>
      <c r="K222" t="s">
        <v>34</v>
      </c>
      <c r="L222">
        <v>54</v>
      </c>
      <c r="M222">
        <v>1.51</v>
      </c>
      <c r="N222">
        <v>0.67</v>
      </c>
      <c r="O222" t="s">
        <v>15</v>
      </c>
      <c r="P222">
        <v>73</v>
      </c>
      <c r="Q222">
        <v>149</v>
      </c>
      <c r="R222">
        <v>54</v>
      </c>
      <c r="S222">
        <v>40</v>
      </c>
      <c r="T222" t="s">
        <v>50</v>
      </c>
      <c r="U222">
        <f>IF(Cardiac_Table[[#This Row],[Patient Status at Discharge]]="Died", 1,0)</f>
        <v>0</v>
      </c>
      <c r="V222">
        <f>Cardiac_Table[[#This Row],[Risk of Death % (Model 1)]]/100</f>
        <v>1.5100000000000001E-2</v>
      </c>
      <c r="W222">
        <f>Cardiac_Table[[#This Row],[Risk of Death % (Model 2)]]/100</f>
        <v>6.7000000000000002E-3</v>
      </c>
      <c r="X222" s="18">
        <f>Cardiac_Table[[#This Row],[Procedure Start Date and Time]]-Cardiac_Table[[#This Row],[Hospital Admit Date ]]</f>
        <v>0.75416666666569654</v>
      </c>
    </row>
    <row r="223" spans="1:24" x14ac:dyDescent="0.35">
      <c r="A223">
        <v>226</v>
      </c>
      <c r="B223" s="9">
        <v>43881.591666666667</v>
      </c>
      <c r="C223" s="10">
        <f>INT(Cardiac_Table[[#This Row],[Hospital Admit Date ]])</f>
        <v>43881</v>
      </c>
      <c r="D223" s="11" t="str">
        <f t="shared" si="3"/>
        <v>14:12</v>
      </c>
      <c r="E223" s="9">
        <v>43882.387499999997</v>
      </c>
      <c r="F223" s="10">
        <f>INT(Cardiac_Table[[#This Row],[Procedure Start Date and Time]])</f>
        <v>43882</v>
      </c>
      <c r="G223" s="12">
        <f>MOD(Cardiac_Table[[#This Row],[Procedure Start Date and Time]],1)</f>
        <v>0.38749999999708962</v>
      </c>
      <c r="H223">
        <v>1</v>
      </c>
      <c r="I223" t="s">
        <v>4</v>
      </c>
      <c r="J223" t="s">
        <v>3</v>
      </c>
      <c r="K223" t="s">
        <v>22</v>
      </c>
      <c r="L223">
        <v>24</v>
      </c>
      <c r="M223">
        <v>2.08</v>
      </c>
      <c r="N223">
        <v>0.69</v>
      </c>
      <c r="O223" t="s">
        <v>15</v>
      </c>
      <c r="P223">
        <v>65</v>
      </c>
      <c r="Q223">
        <v>167</v>
      </c>
      <c r="R223">
        <v>115</v>
      </c>
      <c r="S223">
        <v>50</v>
      </c>
      <c r="T223" t="s">
        <v>50</v>
      </c>
      <c r="U223">
        <f>IF(Cardiac_Table[[#This Row],[Patient Status at Discharge]]="Died", 1,0)</f>
        <v>0</v>
      </c>
      <c r="V223">
        <f>Cardiac_Table[[#This Row],[Risk of Death % (Model 1)]]/100</f>
        <v>2.0799999999999999E-2</v>
      </c>
      <c r="W223">
        <f>Cardiac_Table[[#This Row],[Risk of Death % (Model 2)]]/100</f>
        <v>6.8999999999999999E-3</v>
      </c>
      <c r="X223" s="18">
        <f>Cardiac_Table[[#This Row],[Procedure Start Date and Time]]-Cardiac_Table[[#This Row],[Hospital Admit Date ]]</f>
        <v>0.79583333332993789</v>
      </c>
    </row>
    <row r="224" spans="1:24" x14ac:dyDescent="0.35">
      <c r="A224">
        <v>227</v>
      </c>
      <c r="B224" s="9">
        <v>43871.165277777778</v>
      </c>
      <c r="C224" s="10">
        <f>INT(Cardiac_Table[[#This Row],[Hospital Admit Date ]])</f>
        <v>43871</v>
      </c>
      <c r="D224" s="11" t="str">
        <f t="shared" si="3"/>
        <v>03:58</v>
      </c>
      <c r="E224" s="9">
        <v>43882.393055555556</v>
      </c>
      <c r="F224" s="10">
        <f>INT(Cardiac_Table[[#This Row],[Procedure Start Date and Time]])</f>
        <v>43882</v>
      </c>
      <c r="G224" s="12">
        <f>MOD(Cardiac_Table[[#This Row],[Procedure Start Date and Time]],1)</f>
        <v>0.39305555555620231</v>
      </c>
      <c r="H224">
        <v>6</v>
      </c>
      <c r="I224" t="s">
        <v>2</v>
      </c>
      <c r="J224" t="s">
        <v>10</v>
      </c>
      <c r="K224" t="s">
        <v>31</v>
      </c>
      <c r="L224">
        <v>74</v>
      </c>
      <c r="M224">
        <v>54.68</v>
      </c>
      <c r="N224">
        <v>51.16</v>
      </c>
      <c r="O224" t="s">
        <v>13</v>
      </c>
      <c r="P224">
        <v>82</v>
      </c>
      <c r="Q224">
        <v>146</v>
      </c>
      <c r="R224">
        <v>75</v>
      </c>
      <c r="S224">
        <v>45</v>
      </c>
      <c r="T224" t="s">
        <v>50</v>
      </c>
      <c r="U224">
        <f>IF(Cardiac_Table[[#This Row],[Patient Status at Discharge]]="Died", 1,0)</f>
        <v>1</v>
      </c>
      <c r="V224">
        <f>Cardiac_Table[[#This Row],[Risk of Death % (Model 1)]]/100</f>
        <v>0.54679999999999995</v>
      </c>
      <c r="W224">
        <f>Cardiac_Table[[#This Row],[Risk of Death % (Model 2)]]/100</f>
        <v>0.51159999999999994</v>
      </c>
      <c r="X224" s="18">
        <f>Cardiac_Table[[#This Row],[Procedure Start Date and Time]]-Cardiac_Table[[#This Row],[Hospital Admit Date ]]</f>
        <v>11.227777777778101</v>
      </c>
    </row>
    <row r="225" spans="1:24" x14ac:dyDescent="0.35">
      <c r="A225">
        <v>228</v>
      </c>
      <c r="B225" s="9">
        <v>43882.666666666664</v>
      </c>
      <c r="C225" s="10">
        <f>INT(Cardiac_Table[[#This Row],[Hospital Admit Date ]])</f>
        <v>43882</v>
      </c>
      <c r="D225" s="11" t="str">
        <f t="shared" si="3"/>
        <v>16:00</v>
      </c>
      <c r="E225" s="9">
        <v>43883.329861111109</v>
      </c>
      <c r="F225" s="10">
        <f>INT(Cardiac_Table[[#This Row],[Procedure Start Date and Time]])</f>
        <v>43883</v>
      </c>
      <c r="G225" s="12">
        <f>MOD(Cardiac_Table[[#This Row],[Procedure Start Date and Time]],1)</f>
        <v>0.32986111110949423</v>
      </c>
      <c r="H225">
        <v>5</v>
      </c>
      <c r="I225" t="s">
        <v>4</v>
      </c>
      <c r="J225" t="s">
        <v>10</v>
      </c>
      <c r="K225" t="s">
        <v>23</v>
      </c>
      <c r="L225">
        <v>61</v>
      </c>
      <c r="M225">
        <v>1.52</v>
      </c>
      <c r="N225">
        <v>0.95</v>
      </c>
      <c r="O225" t="s">
        <v>15</v>
      </c>
      <c r="P225">
        <v>113</v>
      </c>
      <c r="Q225">
        <v>157</v>
      </c>
      <c r="R225">
        <v>61</v>
      </c>
      <c r="S225">
        <v>25</v>
      </c>
      <c r="T225" t="s">
        <v>49</v>
      </c>
      <c r="U225">
        <f>IF(Cardiac_Table[[#This Row],[Patient Status at Discharge]]="Died", 1,0)</f>
        <v>0</v>
      </c>
      <c r="V225">
        <f>Cardiac_Table[[#This Row],[Risk of Death % (Model 1)]]/100</f>
        <v>1.52E-2</v>
      </c>
      <c r="W225">
        <f>Cardiac_Table[[#This Row],[Risk of Death % (Model 2)]]/100</f>
        <v>9.4999999999999998E-3</v>
      </c>
      <c r="X225" s="18">
        <f>Cardiac_Table[[#This Row],[Procedure Start Date and Time]]-Cardiac_Table[[#This Row],[Hospital Admit Date ]]</f>
        <v>0.66319444444525288</v>
      </c>
    </row>
    <row r="226" spans="1:24" x14ac:dyDescent="0.35">
      <c r="A226">
        <v>229</v>
      </c>
      <c r="B226" s="9">
        <v>43882.593055555553</v>
      </c>
      <c r="C226" s="10">
        <f>INT(Cardiac_Table[[#This Row],[Hospital Admit Date ]])</f>
        <v>43882</v>
      </c>
      <c r="D226" s="11" t="str">
        <f t="shared" si="3"/>
        <v>14:14</v>
      </c>
      <c r="E226" s="9">
        <v>43883.336111111108</v>
      </c>
      <c r="F226" s="10">
        <f>INT(Cardiac_Table[[#This Row],[Procedure Start Date and Time]])</f>
        <v>43883</v>
      </c>
      <c r="G226" s="12">
        <f>MOD(Cardiac_Table[[#This Row],[Procedure Start Date and Time]],1)</f>
        <v>0.33611111110803904</v>
      </c>
      <c r="H226">
        <v>2</v>
      </c>
      <c r="I226" t="s">
        <v>4</v>
      </c>
      <c r="J226" t="s">
        <v>10</v>
      </c>
      <c r="K226" t="s">
        <v>30</v>
      </c>
      <c r="L226">
        <v>73</v>
      </c>
      <c r="M226">
        <v>2.21</v>
      </c>
      <c r="N226">
        <v>1.0900000000000001</v>
      </c>
      <c r="O226" t="s">
        <v>15</v>
      </c>
      <c r="P226">
        <v>81</v>
      </c>
      <c r="Q226">
        <v>174</v>
      </c>
      <c r="R226">
        <v>92</v>
      </c>
      <c r="S226">
        <v>66</v>
      </c>
      <c r="T226" t="s">
        <v>48</v>
      </c>
      <c r="U226">
        <f>IF(Cardiac_Table[[#This Row],[Patient Status at Discharge]]="Died", 1,0)</f>
        <v>0</v>
      </c>
      <c r="V226">
        <f>Cardiac_Table[[#This Row],[Risk of Death % (Model 1)]]/100</f>
        <v>2.2099999999999998E-2</v>
      </c>
      <c r="W226">
        <f>Cardiac_Table[[#This Row],[Risk of Death % (Model 2)]]/100</f>
        <v>1.09E-2</v>
      </c>
      <c r="X226" s="18">
        <f>Cardiac_Table[[#This Row],[Procedure Start Date and Time]]-Cardiac_Table[[#This Row],[Hospital Admit Date ]]</f>
        <v>0.74305555555474712</v>
      </c>
    </row>
    <row r="227" spans="1:24" x14ac:dyDescent="0.35">
      <c r="A227">
        <v>230</v>
      </c>
      <c r="B227" s="9">
        <v>43882.59375</v>
      </c>
      <c r="C227" s="10">
        <f>INT(Cardiac_Table[[#This Row],[Hospital Admit Date ]])</f>
        <v>43882</v>
      </c>
      <c r="D227" s="11" t="str">
        <f t="shared" si="3"/>
        <v>14:15</v>
      </c>
      <c r="E227" s="9">
        <v>43883.493750000001</v>
      </c>
      <c r="F227" s="10">
        <f>INT(Cardiac_Table[[#This Row],[Procedure Start Date and Time]])</f>
        <v>43883</v>
      </c>
      <c r="G227" s="12">
        <f>MOD(Cardiac_Table[[#This Row],[Procedure Start Date and Time]],1)</f>
        <v>0.49375000000145519</v>
      </c>
      <c r="H227">
        <v>2</v>
      </c>
      <c r="I227" t="s">
        <v>4</v>
      </c>
      <c r="J227" t="s">
        <v>10</v>
      </c>
      <c r="K227" t="s">
        <v>30</v>
      </c>
      <c r="L227">
        <v>68</v>
      </c>
      <c r="M227">
        <v>1.59</v>
      </c>
      <c r="N227">
        <v>0.95</v>
      </c>
      <c r="O227" t="s">
        <v>15</v>
      </c>
      <c r="P227">
        <v>85</v>
      </c>
      <c r="Q227">
        <v>170</v>
      </c>
      <c r="R227">
        <v>78</v>
      </c>
      <c r="S227">
        <v>16</v>
      </c>
      <c r="T227" t="s">
        <v>51</v>
      </c>
      <c r="U227">
        <f>IF(Cardiac_Table[[#This Row],[Patient Status at Discharge]]="Died", 1,0)</f>
        <v>0</v>
      </c>
      <c r="V227">
        <f>Cardiac_Table[[#This Row],[Risk of Death % (Model 1)]]/100</f>
        <v>1.5900000000000001E-2</v>
      </c>
      <c r="W227">
        <f>Cardiac_Table[[#This Row],[Risk of Death % (Model 2)]]/100</f>
        <v>9.4999999999999998E-3</v>
      </c>
      <c r="X227" s="18">
        <f>Cardiac_Table[[#This Row],[Procedure Start Date and Time]]-Cardiac_Table[[#This Row],[Hospital Admit Date ]]</f>
        <v>0.90000000000145519</v>
      </c>
    </row>
    <row r="228" spans="1:24" x14ac:dyDescent="0.35">
      <c r="A228">
        <v>231</v>
      </c>
      <c r="B228" s="9">
        <v>43882.666666666664</v>
      </c>
      <c r="C228" s="10">
        <f>INT(Cardiac_Table[[#This Row],[Hospital Admit Date ]])</f>
        <v>43882</v>
      </c>
      <c r="D228" s="11" t="str">
        <f t="shared" si="3"/>
        <v>16:00</v>
      </c>
      <c r="E228" s="9">
        <v>43883.529166666667</v>
      </c>
      <c r="F228" s="10">
        <f>INT(Cardiac_Table[[#This Row],[Procedure Start Date and Time]])</f>
        <v>43883</v>
      </c>
      <c r="G228" s="12">
        <f>MOD(Cardiac_Table[[#This Row],[Procedure Start Date and Time]],1)</f>
        <v>0.52916666666715173</v>
      </c>
      <c r="H228">
        <v>5</v>
      </c>
      <c r="I228" t="s">
        <v>4</v>
      </c>
      <c r="J228" t="s">
        <v>10</v>
      </c>
      <c r="K228" t="s">
        <v>23</v>
      </c>
      <c r="L228">
        <v>73</v>
      </c>
      <c r="M228">
        <v>2.21</v>
      </c>
      <c r="N228">
        <v>0.73</v>
      </c>
      <c r="O228" t="s">
        <v>15</v>
      </c>
      <c r="P228">
        <v>83</v>
      </c>
      <c r="Q228">
        <v>170</v>
      </c>
      <c r="R228">
        <v>98</v>
      </c>
      <c r="S228">
        <v>55</v>
      </c>
      <c r="T228" t="s">
        <v>48</v>
      </c>
      <c r="U228">
        <f>IF(Cardiac_Table[[#This Row],[Patient Status at Discharge]]="Died", 1,0)</f>
        <v>0</v>
      </c>
      <c r="V228">
        <f>Cardiac_Table[[#This Row],[Risk of Death % (Model 1)]]/100</f>
        <v>2.2099999999999998E-2</v>
      </c>
      <c r="W228">
        <f>Cardiac_Table[[#This Row],[Risk of Death % (Model 2)]]/100</f>
        <v>7.3000000000000001E-3</v>
      </c>
      <c r="X228" s="18">
        <f>Cardiac_Table[[#This Row],[Procedure Start Date and Time]]-Cardiac_Table[[#This Row],[Hospital Admit Date ]]</f>
        <v>0.86250000000291038</v>
      </c>
    </row>
    <row r="229" spans="1:24" x14ac:dyDescent="0.35">
      <c r="A229">
        <v>232</v>
      </c>
      <c r="B229" s="9">
        <v>43873.458333333336</v>
      </c>
      <c r="C229" s="10">
        <f>INT(Cardiac_Table[[#This Row],[Hospital Admit Date ]])</f>
        <v>43873</v>
      </c>
      <c r="D229" s="11" t="str">
        <f t="shared" si="3"/>
        <v>11:00</v>
      </c>
      <c r="E229" s="9">
        <v>43885.329861111109</v>
      </c>
      <c r="F229" s="10">
        <f>INT(Cardiac_Table[[#This Row],[Procedure Start Date and Time]])</f>
        <v>43885</v>
      </c>
      <c r="G229" s="12">
        <f>MOD(Cardiac_Table[[#This Row],[Procedure Start Date and Time]],1)</f>
        <v>0.32986111110949423</v>
      </c>
      <c r="H229">
        <v>5</v>
      </c>
      <c r="I229" t="s">
        <v>6</v>
      </c>
      <c r="J229" t="s">
        <v>3</v>
      </c>
      <c r="K229" t="s">
        <v>32</v>
      </c>
      <c r="L229">
        <v>79</v>
      </c>
      <c r="M229">
        <v>15.46</v>
      </c>
      <c r="N229">
        <v>20.69</v>
      </c>
      <c r="O229" t="s">
        <v>15</v>
      </c>
      <c r="P229">
        <v>77</v>
      </c>
      <c r="Q229">
        <v>182</v>
      </c>
      <c r="R229">
        <v>93</v>
      </c>
      <c r="S229">
        <v>58</v>
      </c>
      <c r="T229" t="s">
        <v>48</v>
      </c>
      <c r="U229">
        <f>IF(Cardiac_Table[[#This Row],[Patient Status at Discharge]]="Died", 1,0)</f>
        <v>0</v>
      </c>
      <c r="V229">
        <f>Cardiac_Table[[#This Row],[Risk of Death % (Model 1)]]/100</f>
        <v>0.15460000000000002</v>
      </c>
      <c r="W229">
        <f>Cardiac_Table[[#This Row],[Risk of Death % (Model 2)]]/100</f>
        <v>0.2069</v>
      </c>
      <c r="X229" s="18">
        <f>Cardiac_Table[[#This Row],[Procedure Start Date and Time]]-Cardiac_Table[[#This Row],[Hospital Admit Date ]]</f>
        <v>11.871527777773736</v>
      </c>
    </row>
    <row r="230" spans="1:24" x14ac:dyDescent="0.35">
      <c r="A230">
        <v>233</v>
      </c>
      <c r="B230" s="9">
        <v>43884.458333333336</v>
      </c>
      <c r="C230" s="10">
        <f>INT(Cardiac_Table[[#This Row],[Hospital Admit Date ]])</f>
        <v>43884</v>
      </c>
      <c r="D230" s="11" t="str">
        <f t="shared" si="3"/>
        <v>11:00</v>
      </c>
      <c r="E230" s="9">
        <v>43885.361111111109</v>
      </c>
      <c r="F230" s="10">
        <f>INT(Cardiac_Table[[#This Row],[Procedure Start Date and Time]])</f>
        <v>43885</v>
      </c>
      <c r="G230" s="12">
        <f>MOD(Cardiac_Table[[#This Row],[Procedure Start Date and Time]],1)</f>
        <v>0.36111111110949423</v>
      </c>
      <c r="H230">
        <v>6</v>
      </c>
      <c r="I230" t="s">
        <v>6</v>
      </c>
      <c r="J230" t="s">
        <v>3</v>
      </c>
      <c r="K230" t="s">
        <v>23</v>
      </c>
      <c r="L230">
        <v>73</v>
      </c>
      <c r="M230">
        <v>20.86</v>
      </c>
      <c r="N230">
        <v>14.43</v>
      </c>
      <c r="O230" t="s">
        <v>15</v>
      </c>
      <c r="P230">
        <v>83</v>
      </c>
      <c r="Q230">
        <v>170</v>
      </c>
      <c r="R230">
        <v>74</v>
      </c>
      <c r="S230">
        <v>29</v>
      </c>
      <c r="T230" t="s">
        <v>49</v>
      </c>
      <c r="U230">
        <f>IF(Cardiac_Table[[#This Row],[Patient Status at Discharge]]="Died", 1,0)</f>
        <v>0</v>
      </c>
      <c r="V230">
        <f>Cardiac_Table[[#This Row],[Risk of Death % (Model 1)]]/100</f>
        <v>0.20860000000000001</v>
      </c>
      <c r="W230">
        <f>Cardiac_Table[[#This Row],[Risk of Death % (Model 2)]]/100</f>
        <v>0.14429999999999998</v>
      </c>
      <c r="X230" s="18">
        <f>Cardiac_Table[[#This Row],[Procedure Start Date and Time]]-Cardiac_Table[[#This Row],[Hospital Admit Date ]]</f>
        <v>0.90277777777373558</v>
      </c>
    </row>
    <row r="231" spans="1:24" x14ac:dyDescent="0.35">
      <c r="A231">
        <v>234</v>
      </c>
      <c r="B231" s="9">
        <v>43884.581944444442</v>
      </c>
      <c r="C231" s="10">
        <f>INT(Cardiac_Table[[#This Row],[Hospital Admit Date ]])</f>
        <v>43884</v>
      </c>
      <c r="D231" s="11" t="str">
        <f t="shared" si="3"/>
        <v>13:58</v>
      </c>
      <c r="E231" s="9">
        <v>43885.363888888889</v>
      </c>
      <c r="F231" s="10">
        <f>INT(Cardiac_Table[[#This Row],[Procedure Start Date and Time]])</f>
        <v>43885</v>
      </c>
      <c r="G231" s="12">
        <f>MOD(Cardiac_Table[[#This Row],[Procedure Start Date and Time]],1)</f>
        <v>0.36388888888905058</v>
      </c>
      <c r="H231">
        <v>2</v>
      </c>
      <c r="I231" t="s">
        <v>4</v>
      </c>
      <c r="J231" t="s">
        <v>11</v>
      </c>
      <c r="K231" t="s">
        <v>31</v>
      </c>
      <c r="L231">
        <v>60</v>
      </c>
      <c r="M231">
        <v>1.61</v>
      </c>
      <c r="N231">
        <v>1.47</v>
      </c>
      <c r="O231" t="s">
        <v>15</v>
      </c>
      <c r="P231">
        <v>73</v>
      </c>
      <c r="Q231">
        <v>156</v>
      </c>
      <c r="R231">
        <v>66</v>
      </c>
      <c r="S231">
        <v>21</v>
      </c>
      <c r="T231" t="s">
        <v>49</v>
      </c>
      <c r="U231">
        <f>IF(Cardiac_Table[[#This Row],[Patient Status at Discharge]]="Died", 1,0)</f>
        <v>0</v>
      </c>
      <c r="V231">
        <f>Cardiac_Table[[#This Row],[Risk of Death % (Model 1)]]/100</f>
        <v>1.61E-2</v>
      </c>
      <c r="W231">
        <f>Cardiac_Table[[#This Row],[Risk of Death % (Model 2)]]/100</f>
        <v>1.47E-2</v>
      </c>
      <c r="X231" s="18">
        <f>Cardiac_Table[[#This Row],[Procedure Start Date and Time]]-Cardiac_Table[[#This Row],[Hospital Admit Date ]]</f>
        <v>0.78194444444670808</v>
      </c>
    </row>
    <row r="232" spans="1:24" x14ac:dyDescent="0.35">
      <c r="A232">
        <v>235</v>
      </c>
      <c r="B232" s="9">
        <v>43875.003472222219</v>
      </c>
      <c r="C232" s="10">
        <f>INT(Cardiac_Table[[#This Row],[Hospital Admit Date ]])</f>
        <v>43875</v>
      </c>
      <c r="D232" s="11" t="str">
        <f t="shared" si="3"/>
        <v>00:05</v>
      </c>
      <c r="E232" s="9">
        <v>43885.510416666664</v>
      </c>
      <c r="F232" s="10">
        <f>INT(Cardiac_Table[[#This Row],[Procedure Start Date and Time]])</f>
        <v>43885</v>
      </c>
      <c r="G232" s="12">
        <f>MOD(Cardiac_Table[[#This Row],[Procedure Start Date and Time]],1)</f>
        <v>0.51041666666424135</v>
      </c>
      <c r="H232">
        <v>5</v>
      </c>
      <c r="I232" t="s">
        <v>6</v>
      </c>
      <c r="J232" t="s">
        <v>10</v>
      </c>
      <c r="K232" t="s">
        <v>32</v>
      </c>
      <c r="L232">
        <v>73</v>
      </c>
      <c r="M232">
        <v>35.71</v>
      </c>
      <c r="N232">
        <v>29.56</v>
      </c>
      <c r="O232" t="s">
        <v>15</v>
      </c>
      <c r="P232">
        <v>99</v>
      </c>
      <c r="Q232">
        <v>173</v>
      </c>
      <c r="R232">
        <v>103</v>
      </c>
      <c r="S232">
        <v>45</v>
      </c>
      <c r="T232" t="s">
        <v>50</v>
      </c>
      <c r="U232">
        <f>IF(Cardiac_Table[[#This Row],[Patient Status at Discharge]]="Died", 1,0)</f>
        <v>0</v>
      </c>
      <c r="V232">
        <f>Cardiac_Table[[#This Row],[Risk of Death % (Model 1)]]/100</f>
        <v>0.35710000000000003</v>
      </c>
      <c r="W232">
        <f>Cardiac_Table[[#This Row],[Risk of Death % (Model 2)]]/100</f>
        <v>0.29559999999999997</v>
      </c>
      <c r="X232" s="18">
        <f>Cardiac_Table[[#This Row],[Procedure Start Date and Time]]-Cardiac_Table[[#This Row],[Hospital Admit Date ]]</f>
        <v>10.506944444445253</v>
      </c>
    </row>
    <row r="233" spans="1:24" x14ac:dyDescent="0.35">
      <c r="A233">
        <v>236</v>
      </c>
      <c r="B233" s="9">
        <v>43884.444444444445</v>
      </c>
      <c r="C233" s="10">
        <f>INT(Cardiac_Table[[#This Row],[Hospital Admit Date ]])</f>
        <v>43884</v>
      </c>
      <c r="D233" s="11" t="str">
        <f t="shared" si="3"/>
        <v>10:40</v>
      </c>
      <c r="E233" s="9">
        <v>43885.560416666667</v>
      </c>
      <c r="F233" s="10">
        <f>INT(Cardiac_Table[[#This Row],[Procedure Start Date and Time]])</f>
        <v>43885</v>
      </c>
      <c r="G233" s="12">
        <f>MOD(Cardiac_Table[[#This Row],[Procedure Start Date and Time]],1)</f>
        <v>0.56041666666715173</v>
      </c>
      <c r="H233">
        <v>3</v>
      </c>
      <c r="I233" t="s">
        <v>4</v>
      </c>
      <c r="J233" t="s">
        <v>3</v>
      </c>
      <c r="K233" t="s">
        <v>33</v>
      </c>
      <c r="L233">
        <v>69</v>
      </c>
      <c r="M233">
        <v>5.92</v>
      </c>
      <c r="N233">
        <v>3.15</v>
      </c>
      <c r="O233" t="s">
        <v>15</v>
      </c>
      <c r="P233">
        <v>94</v>
      </c>
      <c r="Q233">
        <v>170</v>
      </c>
      <c r="R233">
        <v>68</v>
      </c>
      <c r="S233">
        <v>45</v>
      </c>
      <c r="T233" t="s">
        <v>50</v>
      </c>
      <c r="U233">
        <f>IF(Cardiac_Table[[#This Row],[Patient Status at Discharge]]="Died", 1,0)</f>
        <v>0</v>
      </c>
      <c r="V233">
        <f>Cardiac_Table[[#This Row],[Risk of Death % (Model 1)]]/100</f>
        <v>5.9200000000000003E-2</v>
      </c>
      <c r="W233">
        <f>Cardiac_Table[[#This Row],[Risk of Death % (Model 2)]]/100</f>
        <v>3.15E-2</v>
      </c>
      <c r="X233" s="18">
        <f>Cardiac_Table[[#This Row],[Procedure Start Date and Time]]-Cardiac_Table[[#This Row],[Hospital Admit Date ]]</f>
        <v>1.1159722222218988</v>
      </c>
    </row>
    <row r="234" spans="1:24" x14ac:dyDescent="0.35">
      <c r="A234">
        <v>237</v>
      </c>
      <c r="B234" s="9">
        <v>43885.550694444442</v>
      </c>
      <c r="C234" s="10">
        <f>INT(Cardiac_Table[[#This Row],[Hospital Admit Date ]])</f>
        <v>43885</v>
      </c>
      <c r="D234" s="11" t="str">
        <f t="shared" si="3"/>
        <v>13:13</v>
      </c>
      <c r="E234" s="9">
        <v>43886.329861111109</v>
      </c>
      <c r="F234" s="10">
        <f>INT(Cardiac_Table[[#This Row],[Procedure Start Date and Time]])</f>
        <v>43886</v>
      </c>
      <c r="G234" s="12">
        <f>MOD(Cardiac_Table[[#This Row],[Procedure Start Date and Time]],1)</f>
        <v>0.32986111110949423</v>
      </c>
      <c r="H234">
        <v>3</v>
      </c>
      <c r="I234" t="s">
        <v>4</v>
      </c>
      <c r="J234" t="s">
        <v>3</v>
      </c>
      <c r="K234" t="s">
        <v>29</v>
      </c>
      <c r="L234">
        <v>58</v>
      </c>
      <c r="M234">
        <v>1.51</v>
      </c>
      <c r="N234">
        <v>0.67</v>
      </c>
      <c r="O234" t="s">
        <v>15</v>
      </c>
      <c r="P234">
        <v>65</v>
      </c>
      <c r="Q234">
        <v>155</v>
      </c>
      <c r="R234">
        <v>58</v>
      </c>
      <c r="S234">
        <v>46</v>
      </c>
      <c r="T234" t="s">
        <v>50</v>
      </c>
      <c r="U234">
        <f>IF(Cardiac_Table[[#This Row],[Patient Status at Discharge]]="Died", 1,0)</f>
        <v>0</v>
      </c>
      <c r="V234">
        <f>Cardiac_Table[[#This Row],[Risk of Death % (Model 1)]]/100</f>
        <v>1.5100000000000001E-2</v>
      </c>
      <c r="W234">
        <f>Cardiac_Table[[#This Row],[Risk of Death % (Model 2)]]/100</f>
        <v>6.7000000000000002E-3</v>
      </c>
      <c r="X234" s="18">
        <f>Cardiac_Table[[#This Row],[Procedure Start Date and Time]]-Cardiac_Table[[#This Row],[Hospital Admit Date ]]</f>
        <v>0.77916666666715173</v>
      </c>
    </row>
    <row r="235" spans="1:24" x14ac:dyDescent="0.35">
      <c r="A235">
        <v>238</v>
      </c>
      <c r="B235" s="9">
        <v>43885.470138888886</v>
      </c>
      <c r="C235" s="10">
        <f>INT(Cardiac_Table[[#This Row],[Hospital Admit Date ]])</f>
        <v>43885</v>
      </c>
      <c r="D235" s="11" t="str">
        <f t="shared" si="3"/>
        <v>11:17</v>
      </c>
      <c r="E235" s="9">
        <v>43886.343055555553</v>
      </c>
      <c r="F235" s="10">
        <f>INT(Cardiac_Table[[#This Row],[Procedure Start Date and Time]])</f>
        <v>43886</v>
      </c>
      <c r="G235" s="12">
        <f>MOD(Cardiac_Table[[#This Row],[Procedure Start Date and Time]],1)</f>
        <v>0.34305555555329192</v>
      </c>
      <c r="H235">
        <v>5</v>
      </c>
      <c r="I235" t="s">
        <v>6</v>
      </c>
      <c r="J235" t="s">
        <v>10</v>
      </c>
      <c r="K235" t="s">
        <v>26</v>
      </c>
      <c r="L235">
        <v>70</v>
      </c>
      <c r="M235">
        <v>11.52</v>
      </c>
      <c r="N235">
        <v>8.9600000000000009</v>
      </c>
      <c r="O235" t="s">
        <v>15</v>
      </c>
      <c r="P235">
        <v>66</v>
      </c>
      <c r="Q235">
        <v>159</v>
      </c>
      <c r="R235">
        <v>73</v>
      </c>
      <c r="S235">
        <v>65</v>
      </c>
      <c r="T235" t="s">
        <v>48</v>
      </c>
      <c r="U235">
        <f>IF(Cardiac_Table[[#This Row],[Patient Status at Discharge]]="Died", 1,0)</f>
        <v>0</v>
      </c>
      <c r="V235">
        <f>Cardiac_Table[[#This Row],[Risk of Death % (Model 1)]]/100</f>
        <v>0.1152</v>
      </c>
      <c r="W235">
        <f>Cardiac_Table[[#This Row],[Risk of Death % (Model 2)]]/100</f>
        <v>8.9600000000000013E-2</v>
      </c>
      <c r="X235" s="18">
        <f>Cardiac_Table[[#This Row],[Procedure Start Date and Time]]-Cardiac_Table[[#This Row],[Hospital Admit Date ]]</f>
        <v>0.87291666666715173</v>
      </c>
    </row>
    <row r="236" spans="1:24" x14ac:dyDescent="0.35">
      <c r="A236">
        <v>239</v>
      </c>
      <c r="B236" s="9">
        <v>43885.444444444445</v>
      </c>
      <c r="C236" s="10">
        <f>INT(Cardiac_Table[[#This Row],[Hospital Admit Date ]])</f>
        <v>43885</v>
      </c>
      <c r="D236" s="11" t="str">
        <f t="shared" si="3"/>
        <v>10:40</v>
      </c>
      <c r="E236" s="9">
        <v>43886.352083333331</v>
      </c>
      <c r="F236" s="10">
        <f>INT(Cardiac_Table[[#This Row],[Procedure Start Date and Time]])</f>
        <v>43886</v>
      </c>
      <c r="G236" s="12">
        <f>MOD(Cardiac_Table[[#This Row],[Procedure Start Date and Time]],1)</f>
        <v>0.35208333333139308</v>
      </c>
      <c r="H236">
        <v>6</v>
      </c>
      <c r="I236" t="s">
        <v>4</v>
      </c>
      <c r="J236" t="s">
        <v>3</v>
      </c>
      <c r="K236" t="s">
        <v>24</v>
      </c>
      <c r="L236">
        <v>73</v>
      </c>
      <c r="M236">
        <v>3.74</v>
      </c>
      <c r="N236">
        <v>1.02</v>
      </c>
      <c r="O236" t="s">
        <v>15</v>
      </c>
      <c r="P236">
        <v>86</v>
      </c>
      <c r="Q236">
        <v>183</v>
      </c>
      <c r="R236">
        <v>95</v>
      </c>
      <c r="S236">
        <v>28</v>
      </c>
      <c r="T236" t="s">
        <v>49</v>
      </c>
      <c r="U236">
        <f>IF(Cardiac_Table[[#This Row],[Patient Status at Discharge]]="Died", 1,0)</f>
        <v>0</v>
      </c>
      <c r="V236">
        <f>Cardiac_Table[[#This Row],[Risk of Death % (Model 1)]]/100</f>
        <v>3.7400000000000003E-2</v>
      </c>
      <c r="W236">
        <f>Cardiac_Table[[#This Row],[Risk of Death % (Model 2)]]/100</f>
        <v>1.0200000000000001E-2</v>
      </c>
      <c r="X236" s="18">
        <f>Cardiac_Table[[#This Row],[Procedure Start Date and Time]]-Cardiac_Table[[#This Row],[Hospital Admit Date ]]</f>
        <v>0.90763888888614019</v>
      </c>
    </row>
    <row r="237" spans="1:24" x14ac:dyDescent="0.35">
      <c r="A237">
        <v>240</v>
      </c>
      <c r="B237" s="9">
        <v>43885.568749999999</v>
      </c>
      <c r="C237" s="10">
        <f>INT(Cardiac_Table[[#This Row],[Hospital Admit Date ]])</f>
        <v>43885</v>
      </c>
      <c r="D237" s="11" t="str">
        <f t="shared" si="3"/>
        <v>13:39</v>
      </c>
      <c r="E237" s="9">
        <v>43886.353472222225</v>
      </c>
      <c r="F237" s="10">
        <f>INT(Cardiac_Table[[#This Row],[Procedure Start Date and Time]])</f>
        <v>43886</v>
      </c>
      <c r="G237" s="12">
        <f>MOD(Cardiac_Table[[#This Row],[Procedure Start Date and Time]],1)</f>
        <v>0.35347222222480923</v>
      </c>
      <c r="H237">
        <v>2</v>
      </c>
      <c r="I237" t="s">
        <v>4</v>
      </c>
      <c r="J237" t="s">
        <v>10</v>
      </c>
      <c r="K237" t="s">
        <v>21</v>
      </c>
      <c r="L237">
        <v>79</v>
      </c>
      <c r="M237">
        <v>3.26</v>
      </c>
      <c r="N237">
        <v>1.1599999999999999</v>
      </c>
      <c r="O237" t="s">
        <v>15</v>
      </c>
      <c r="P237">
        <v>65</v>
      </c>
      <c r="Q237">
        <v>181</v>
      </c>
      <c r="R237">
        <v>76</v>
      </c>
      <c r="S237">
        <v>49</v>
      </c>
      <c r="T237" t="s">
        <v>50</v>
      </c>
      <c r="U237">
        <f>IF(Cardiac_Table[[#This Row],[Patient Status at Discharge]]="Died", 1,0)</f>
        <v>0</v>
      </c>
      <c r="V237">
        <f>Cardiac_Table[[#This Row],[Risk of Death % (Model 1)]]/100</f>
        <v>3.2599999999999997E-2</v>
      </c>
      <c r="W237">
        <f>Cardiac_Table[[#This Row],[Risk of Death % (Model 2)]]/100</f>
        <v>1.1599999999999999E-2</v>
      </c>
      <c r="X237" s="18">
        <f>Cardiac_Table[[#This Row],[Procedure Start Date and Time]]-Cardiac_Table[[#This Row],[Hospital Admit Date ]]</f>
        <v>0.78472222222626442</v>
      </c>
    </row>
    <row r="238" spans="1:24" x14ac:dyDescent="0.35">
      <c r="A238">
        <v>242</v>
      </c>
      <c r="B238" s="9">
        <v>43886.309027777781</v>
      </c>
      <c r="C238" s="10">
        <f>INT(Cardiac_Table[[#This Row],[Hospital Admit Date ]])</f>
        <v>43886</v>
      </c>
      <c r="D238" s="11" t="str">
        <f t="shared" si="3"/>
        <v>07:25</v>
      </c>
      <c r="E238" s="9">
        <v>43886.593055555553</v>
      </c>
      <c r="F238" s="10">
        <f>INT(Cardiac_Table[[#This Row],[Procedure Start Date and Time]])</f>
        <v>43886</v>
      </c>
      <c r="G238" s="12">
        <f>MOD(Cardiac_Table[[#This Row],[Procedure Start Date and Time]],1)</f>
        <v>0.59305555555329192</v>
      </c>
      <c r="H238">
        <v>5</v>
      </c>
      <c r="I238" t="s">
        <v>4</v>
      </c>
      <c r="J238" t="s">
        <v>10</v>
      </c>
      <c r="K238" t="s">
        <v>26</v>
      </c>
      <c r="L238">
        <v>75</v>
      </c>
      <c r="M238">
        <v>3.47</v>
      </c>
      <c r="N238">
        <v>1.43</v>
      </c>
      <c r="O238" t="s">
        <v>15</v>
      </c>
      <c r="P238">
        <v>101</v>
      </c>
      <c r="Q238">
        <v>177</v>
      </c>
      <c r="R238">
        <v>103</v>
      </c>
      <c r="S238">
        <v>60</v>
      </c>
      <c r="T238" t="s">
        <v>48</v>
      </c>
      <c r="U238">
        <f>IF(Cardiac_Table[[#This Row],[Patient Status at Discharge]]="Died", 1,0)</f>
        <v>0</v>
      </c>
      <c r="V238">
        <f>Cardiac_Table[[#This Row],[Risk of Death % (Model 1)]]/100</f>
        <v>3.4700000000000002E-2</v>
      </c>
      <c r="W238">
        <f>Cardiac_Table[[#This Row],[Risk of Death % (Model 2)]]/100</f>
        <v>1.43E-2</v>
      </c>
      <c r="X238" s="18">
        <f>Cardiac_Table[[#This Row],[Procedure Start Date and Time]]-Cardiac_Table[[#This Row],[Hospital Admit Date ]]</f>
        <v>0.28402777777228039</v>
      </c>
    </row>
    <row r="239" spans="1:24" x14ac:dyDescent="0.35">
      <c r="A239">
        <v>243</v>
      </c>
      <c r="B239" s="9">
        <v>43886.457638888889</v>
      </c>
      <c r="C239" s="10">
        <f>INT(Cardiac_Table[[#This Row],[Hospital Admit Date ]])</f>
        <v>43886</v>
      </c>
      <c r="D239" s="11" t="str">
        <f t="shared" si="3"/>
        <v>10:59</v>
      </c>
      <c r="E239" s="9">
        <v>43887.34652777778</v>
      </c>
      <c r="F239" s="10">
        <f>INT(Cardiac_Table[[#This Row],[Procedure Start Date and Time]])</f>
        <v>43887</v>
      </c>
      <c r="G239" s="12">
        <f>MOD(Cardiac_Table[[#This Row],[Procedure Start Date and Time]],1)</f>
        <v>0.34652777777955635</v>
      </c>
      <c r="H239">
        <v>6</v>
      </c>
      <c r="I239" t="s">
        <v>6</v>
      </c>
      <c r="J239" t="s">
        <v>10</v>
      </c>
      <c r="K239" t="s">
        <v>24</v>
      </c>
      <c r="L239">
        <v>63</v>
      </c>
      <c r="M239">
        <v>1.1499999999999999</v>
      </c>
      <c r="N239">
        <v>1.25</v>
      </c>
      <c r="O239" t="s">
        <v>15</v>
      </c>
      <c r="P239">
        <v>76</v>
      </c>
      <c r="Q239">
        <v>167</v>
      </c>
      <c r="R239">
        <v>76</v>
      </c>
      <c r="S239">
        <v>42</v>
      </c>
      <c r="T239" t="s">
        <v>50</v>
      </c>
      <c r="U239">
        <f>IF(Cardiac_Table[[#This Row],[Patient Status at Discharge]]="Died", 1,0)</f>
        <v>0</v>
      </c>
      <c r="V239">
        <f>Cardiac_Table[[#This Row],[Risk of Death % (Model 1)]]/100</f>
        <v>1.15E-2</v>
      </c>
      <c r="W239">
        <f>Cardiac_Table[[#This Row],[Risk of Death % (Model 2)]]/100</f>
        <v>1.2500000000000001E-2</v>
      </c>
      <c r="X239" s="18">
        <f>Cardiac_Table[[#This Row],[Procedure Start Date and Time]]-Cardiac_Table[[#This Row],[Hospital Admit Date ]]</f>
        <v>0.88888888889050577</v>
      </c>
    </row>
    <row r="240" spans="1:24" x14ac:dyDescent="0.35">
      <c r="A240">
        <v>244</v>
      </c>
      <c r="B240" s="9">
        <v>43886.57916666667</v>
      </c>
      <c r="C240" s="10">
        <f>INT(Cardiac_Table[[#This Row],[Hospital Admit Date ]])</f>
        <v>43886</v>
      </c>
      <c r="D240" s="11" t="str">
        <f t="shared" si="3"/>
        <v>13:54</v>
      </c>
      <c r="E240" s="9">
        <v>43887.35833333333</v>
      </c>
      <c r="F240" s="10">
        <f>INT(Cardiac_Table[[#This Row],[Procedure Start Date and Time]])</f>
        <v>43887</v>
      </c>
      <c r="G240" s="12">
        <f>MOD(Cardiac_Table[[#This Row],[Procedure Start Date and Time]],1)</f>
        <v>0.35833333332993789</v>
      </c>
      <c r="H240">
        <v>2</v>
      </c>
      <c r="I240" t="s">
        <v>4</v>
      </c>
      <c r="J240" t="s">
        <v>10</v>
      </c>
      <c r="K240" t="s">
        <v>34</v>
      </c>
      <c r="L240">
        <v>67</v>
      </c>
      <c r="M240">
        <v>3.34</v>
      </c>
      <c r="N240">
        <v>2.2200000000000002</v>
      </c>
      <c r="O240" t="s">
        <v>15</v>
      </c>
      <c r="P240">
        <v>62</v>
      </c>
      <c r="Q240">
        <v>160</v>
      </c>
      <c r="R240">
        <v>87</v>
      </c>
      <c r="S240">
        <v>35</v>
      </c>
      <c r="T240" t="s">
        <v>50</v>
      </c>
      <c r="U240">
        <f>IF(Cardiac_Table[[#This Row],[Patient Status at Discharge]]="Died", 1,0)</f>
        <v>0</v>
      </c>
      <c r="V240">
        <f>Cardiac_Table[[#This Row],[Risk of Death % (Model 1)]]/100</f>
        <v>3.3399999999999999E-2</v>
      </c>
      <c r="W240">
        <f>Cardiac_Table[[#This Row],[Risk of Death % (Model 2)]]/100</f>
        <v>2.2200000000000001E-2</v>
      </c>
      <c r="X240" s="18">
        <f>Cardiac_Table[[#This Row],[Procedure Start Date and Time]]-Cardiac_Table[[#This Row],[Hospital Admit Date ]]</f>
        <v>0.77916666665987577</v>
      </c>
    </row>
    <row r="241" spans="1:24" x14ac:dyDescent="0.35">
      <c r="A241">
        <v>245</v>
      </c>
      <c r="B241" s="9">
        <v>43886.63958333333</v>
      </c>
      <c r="C241" s="10">
        <f>INT(Cardiac_Table[[#This Row],[Hospital Admit Date ]])</f>
        <v>43886</v>
      </c>
      <c r="D241" s="11" t="str">
        <f t="shared" si="3"/>
        <v>15:21</v>
      </c>
      <c r="E241" s="9">
        <v>43887.400694444441</v>
      </c>
      <c r="F241" s="10">
        <f>INT(Cardiac_Table[[#This Row],[Procedure Start Date and Time]])</f>
        <v>43887</v>
      </c>
      <c r="G241" s="12">
        <f>MOD(Cardiac_Table[[#This Row],[Procedure Start Date and Time]],1)</f>
        <v>0.40069444444088731</v>
      </c>
      <c r="H241">
        <v>3</v>
      </c>
      <c r="I241" t="s">
        <v>4</v>
      </c>
      <c r="J241" t="s">
        <v>11</v>
      </c>
      <c r="K241" t="s">
        <v>30</v>
      </c>
      <c r="L241">
        <v>67</v>
      </c>
      <c r="M241">
        <v>4.09</v>
      </c>
      <c r="N241">
        <v>1.41</v>
      </c>
      <c r="O241" t="s">
        <v>15</v>
      </c>
      <c r="P241">
        <v>77</v>
      </c>
      <c r="Q241">
        <v>170</v>
      </c>
      <c r="R241">
        <v>91</v>
      </c>
      <c r="S241">
        <v>71</v>
      </c>
      <c r="T241" t="s">
        <v>48</v>
      </c>
      <c r="U241">
        <f>IF(Cardiac_Table[[#This Row],[Patient Status at Discharge]]="Died", 1,0)</f>
        <v>0</v>
      </c>
      <c r="V241">
        <f>Cardiac_Table[[#This Row],[Risk of Death % (Model 1)]]/100</f>
        <v>4.0899999999999999E-2</v>
      </c>
      <c r="W241">
        <f>Cardiac_Table[[#This Row],[Risk of Death % (Model 2)]]/100</f>
        <v>1.41E-2</v>
      </c>
      <c r="X241" s="18">
        <f>Cardiac_Table[[#This Row],[Procedure Start Date and Time]]-Cardiac_Table[[#This Row],[Hospital Admit Date ]]</f>
        <v>0.76111111111094942</v>
      </c>
    </row>
    <row r="242" spans="1:24" x14ac:dyDescent="0.35">
      <c r="A242">
        <v>246</v>
      </c>
      <c r="B242" s="9">
        <v>43886.443749999999</v>
      </c>
      <c r="C242" s="10">
        <f>INT(Cardiac_Table[[#This Row],[Hospital Admit Date ]])</f>
        <v>43886</v>
      </c>
      <c r="D242" s="11" t="str">
        <f t="shared" si="3"/>
        <v>10:39</v>
      </c>
      <c r="E242" s="9">
        <v>43887.504166666666</v>
      </c>
      <c r="F242" s="10">
        <f>INT(Cardiac_Table[[#This Row],[Procedure Start Date and Time]])</f>
        <v>43887</v>
      </c>
      <c r="G242" s="12">
        <f>MOD(Cardiac_Table[[#This Row],[Procedure Start Date and Time]],1)</f>
        <v>0.50416666666569654</v>
      </c>
      <c r="H242">
        <v>5</v>
      </c>
      <c r="I242" t="s">
        <v>4</v>
      </c>
      <c r="J242" t="s">
        <v>3</v>
      </c>
      <c r="K242" t="s">
        <v>35</v>
      </c>
      <c r="L242">
        <v>61</v>
      </c>
      <c r="M242">
        <v>1.39</v>
      </c>
      <c r="N242">
        <v>0.96</v>
      </c>
      <c r="O242" t="s">
        <v>15</v>
      </c>
      <c r="P242">
        <v>76</v>
      </c>
      <c r="Q242">
        <v>173</v>
      </c>
      <c r="R242">
        <v>92</v>
      </c>
      <c r="S242">
        <v>35</v>
      </c>
      <c r="T242" t="s">
        <v>50</v>
      </c>
      <c r="U242">
        <f>IF(Cardiac_Table[[#This Row],[Patient Status at Discharge]]="Died", 1,0)</f>
        <v>0</v>
      </c>
      <c r="V242">
        <f>Cardiac_Table[[#This Row],[Risk of Death % (Model 1)]]/100</f>
        <v>1.3899999999999999E-2</v>
      </c>
      <c r="W242">
        <f>Cardiac_Table[[#This Row],[Risk of Death % (Model 2)]]/100</f>
        <v>9.5999999999999992E-3</v>
      </c>
      <c r="X242" s="18">
        <f>Cardiac_Table[[#This Row],[Procedure Start Date and Time]]-Cardiac_Table[[#This Row],[Hospital Admit Date ]]</f>
        <v>1.0604166666671517</v>
      </c>
    </row>
    <row r="243" spans="1:24" x14ac:dyDescent="0.35">
      <c r="A243">
        <v>247</v>
      </c>
      <c r="B243" s="9">
        <v>43886.663888888892</v>
      </c>
      <c r="C243" s="10">
        <f>INT(Cardiac_Table[[#This Row],[Hospital Admit Date ]])</f>
        <v>43886</v>
      </c>
      <c r="D243" s="11" t="str">
        <f t="shared" si="3"/>
        <v>15:56</v>
      </c>
      <c r="E243" s="9">
        <v>43887.62222222222</v>
      </c>
      <c r="F243" s="10">
        <f>INT(Cardiac_Table[[#This Row],[Procedure Start Date and Time]])</f>
        <v>43887</v>
      </c>
      <c r="G243" s="12">
        <f>MOD(Cardiac_Table[[#This Row],[Procedure Start Date and Time]],1)</f>
        <v>0.62222222222044365</v>
      </c>
      <c r="H243">
        <v>3</v>
      </c>
      <c r="I243" t="s">
        <v>4</v>
      </c>
      <c r="J243" t="s">
        <v>10</v>
      </c>
      <c r="K243" t="s">
        <v>30</v>
      </c>
      <c r="L243">
        <v>74</v>
      </c>
      <c r="M243">
        <v>3.54</v>
      </c>
      <c r="N243">
        <v>1.1299999999999999</v>
      </c>
      <c r="O243" t="s">
        <v>15</v>
      </c>
      <c r="P243">
        <v>65</v>
      </c>
      <c r="Q243">
        <v>177</v>
      </c>
      <c r="R243">
        <v>85</v>
      </c>
      <c r="S243">
        <v>55</v>
      </c>
      <c r="T243" t="s">
        <v>48</v>
      </c>
      <c r="U243">
        <f>IF(Cardiac_Table[[#This Row],[Patient Status at Discharge]]="Died", 1,0)</f>
        <v>0</v>
      </c>
      <c r="V243">
        <f>Cardiac_Table[[#This Row],[Risk of Death % (Model 1)]]/100</f>
        <v>3.5400000000000001E-2</v>
      </c>
      <c r="W243">
        <f>Cardiac_Table[[#This Row],[Risk of Death % (Model 2)]]/100</f>
        <v>1.1299999999999999E-2</v>
      </c>
      <c r="X243" s="18">
        <f>Cardiac_Table[[#This Row],[Procedure Start Date and Time]]-Cardiac_Table[[#This Row],[Hospital Admit Date ]]</f>
        <v>0.95833333332848269</v>
      </c>
    </row>
    <row r="244" spans="1:24" x14ac:dyDescent="0.35">
      <c r="A244">
        <v>248</v>
      </c>
      <c r="B244" s="9">
        <v>43887.583333333336</v>
      </c>
      <c r="C244" s="10">
        <f>INT(Cardiac_Table[[#This Row],[Hospital Admit Date ]])</f>
        <v>43887</v>
      </c>
      <c r="D244" s="11" t="str">
        <f t="shared" si="3"/>
        <v>14:00</v>
      </c>
      <c r="E244" s="9">
        <v>43888.333333333336</v>
      </c>
      <c r="F244" s="10">
        <f>INT(Cardiac_Table[[#This Row],[Procedure Start Date and Time]])</f>
        <v>43888</v>
      </c>
      <c r="G244" s="12">
        <f>MOD(Cardiac_Table[[#This Row],[Procedure Start Date and Time]],1)</f>
        <v>0.33333333333575865</v>
      </c>
      <c r="H244">
        <v>3</v>
      </c>
      <c r="I244" t="s">
        <v>4</v>
      </c>
      <c r="J244" t="s">
        <v>3</v>
      </c>
      <c r="K244" t="s">
        <v>23</v>
      </c>
      <c r="L244">
        <v>63</v>
      </c>
      <c r="M244">
        <v>10.49</v>
      </c>
      <c r="N244">
        <v>3.27</v>
      </c>
      <c r="O244" t="s">
        <v>15</v>
      </c>
      <c r="P244">
        <v>89</v>
      </c>
      <c r="Q244">
        <v>169</v>
      </c>
      <c r="R244">
        <v>66</v>
      </c>
      <c r="S244">
        <v>27</v>
      </c>
      <c r="T244" t="s">
        <v>49</v>
      </c>
      <c r="U244">
        <f>IF(Cardiac_Table[[#This Row],[Patient Status at Discharge]]="Died", 1,0)</f>
        <v>0</v>
      </c>
      <c r="V244">
        <f>Cardiac_Table[[#This Row],[Risk of Death % (Model 1)]]/100</f>
        <v>0.10490000000000001</v>
      </c>
      <c r="W244">
        <f>Cardiac_Table[[#This Row],[Risk of Death % (Model 2)]]/100</f>
        <v>3.27E-2</v>
      </c>
      <c r="X244" s="18">
        <f>Cardiac_Table[[#This Row],[Procedure Start Date and Time]]-Cardiac_Table[[#This Row],[Hospital Admit Date ]]</f>
        <v>0.75</v>
      </c>
    </row>
    <row r="245" spans="1:24" x14ac:dyDescent="0.35">
      <c r="A245">
        <v>249</v>
      </c>
      <c r="B245" s="9">
        <v>43874.5</v>
      </c>
      <c r="C245" s="10">
        <f>INT(Cardiac_Table[[#This Row],[Hospital Admit Date ]])</f>
        <v>43874</v>
      </c>
      <c r="D245" s="11" t="str">
        <f t="shared" si="3"/>
        <v>12:00</v>
      </c>
      <c r="E245" s="9">
        <v>43888.465277777781</v>
      </c>
      <c r="F245" s="10">
        <f>INT(Cardiac_Table[[#This Row],[Procedure Start Date and Time]])</f>
        <v>43888</v>
      </c>
      <c r="G245" s="12">
        <f>MOD(Cardiac_Table[[#This Row],[Procedure Start Date and Time]],1)</f>
        <v>0.46527777778101154</v>
      </c>
      <c r="H245">
        <v>6</v>
      </c>
      <c r="I245" t="s">
        <v>6</v>
      </c>
      <c r="J245" t="s">
        <v>10</v>
      </c>
      <c r="K245" t="s">
        <v>22</v>
      </c>
      <c r="L245">
        <v>83</v>
      </c>
      <c r="M245">
        <v>46.31</v>
      </c>
      <c r="N245">
        <v>34.32</v>
      </c>
      <c r="O245" t="s">
        <v>15</v>
      </c>
      <c r="P245">
        <v>109</v>
      </c>
      <c r="Q245">
        <v>181</v>
      </c>
      <c r="R245">
        <v>85</v>
      </c>
      <c r="S245">
        <v>55</v>
      </c>
      <c r="T245" t="s">
        <v>48</v>
      </c>
      <c r="U245">
        <f>IF(Cardiac_Table[[#This Row],[Patient Status at Discharge]]="Died", 1,0)</f>
        <v>0</v>
      </c>
      <c r="V245">
        <f>Cardiac_Table[[#This Row],[Risk of Death % (Model 1)]]/100</f>
        <v>0.46310000000000001</v>
      </c>
      <c r="W245">
        <f>Cardiac_Table[[#This Row],[Risk of Death % (Model 2)]]/100</f>
        <v>0.34320000000000001</v>
      </c>
      <c r="X245" s="18">
        <f>Cardiac_Table[[#This Row],[Procedure Start Date and Time]]-Cardiac_Table[[#This Row],[Hospital Admit Date ]]</f>
        <v>13.965277777781012</v>
      </c>
    </row>
    <row r="246" spans="1:24" x14ac:dyDescent="0.35">
      <c r="A246">
        <v>250</v>
      </c>
      <c r="B246" s="9">
        <v>43887.458333333336</v>
      </c>
      <c r="C246" s="10">
        <f>INT(Cardiac_Table[[#This Row],[Hospital Admit Date ]])</f>
        <v>43887</v>
      </c>
      <c r="D246" s="11" t="str">
        <f t="shared" si="3"/>
        <v>11:00</v>
      </c>
      <c r="E246" s="9">
        <v>43888.542361111111</v>
      </c>
      <c r="F246" s="10">
        <f>INT(Cardiac_Table[[#This Row],[Procedure Start Date and Time]])</f>
        <v>43888</v>
      </c>
      <c r="G246" s="12">
        <f>MOD(Cardiac_Table[[#This Row],[Procedure Start Date and Time]],1)</f>
        <v>0.54236111111094942</v>
      </c>
      <c r="H246">
        <v>2</v>
      </c>
      <c r="I246" t="s">
        <v>6</v>
      </c>
      <c r="J246" t="s">
        <v>3</v>
      </c>
      <c r="K246" t="s">
        <v>24</v>
      </c>
      <c r="L246">
        <v>74</v>
      </c>
      <c r="M246">
        <v>9.3699999999999992</v>
      </c>
      <c r="N246">
        <v>3.02</v>
      </c>
      <c r="O246" t="s">
        <v>15</v>
      </c>
      <c r="P246">
        <v>73</v>
      </c>
      <c r="Q246">
        <v>164</v>
      </c>
      <c r="R246">
        <v>73</v>
      </c>
      <c r="S246">
        <v>60</v>
      </c>
      <c r="T246" t="s">
        <v>48</v>
      </c>
      <c r="U246">
        <f>IF(Cardiac_Table[[#This Row],[Patient Status at Discharge]]="Died", 1,0)</f>
        <v>0</v>
      </c>
      <c r="V246">
        <f>Cardiac_Table[[#This Row],[Risk of Death % (Model 1)]]/100</f>
        <v>9.3699999999999992E-2</v>
      </c>
      <c r="W246">
        <f>Cardiac_Table[[#This Row],[Risk of Death % (Model 2)]]/100</f>
        <v>3.0200000000000001E-2</v>
      </c>
      <c r="X246" s="18">
        <f>Cardiac_Table[[#This Row],[Procedure Start Date and Time]]-Cardiac_Table[[#This Row],[Hospital Admit Date ]]</f>
        <v>1.0840277777751908</v>
      </c>
    </row>
    <row r="247" spans="1:24" x14ac:dyDescent="0.35">
      <c r="A247">
        <v>251</v>
      </c>
      <c r="B247" s="9">
        <v>43885.42083333333</v>
      </c>
      <c r="C247" s="10">
        <f>INT(Cardiac_Table[[#This Row],[Hospital Admit Date ]])</f>
        <v>43885</v>
      </c>
      <c r="D247" s="11" t="str">
        <f t="shared" si="3"/>
        <v>10:06</v>
      </c>
      <c r="E247" s="9">
        <v>43888.568749999999</v>
      </c>
      <c r="F247" s="10">
        <f>INT(Cardiac_Table[[#This Row],[Procedure Start Date and Time]])</f>
        <v>43888</v>
      </c>
      <c r="G247" s="12">
        <f>MOD(Cardiac_Table[[#This Row],[Procedure Start Date and Time]],1)</f>
        <v>0.56874999999854481</v>
      </c>
      <c r="H247">
        <v>3</v>
      </c>
      <c r="I247" t="s">
        <v>2</v>
      </c>
      <c r="J247" t="s">
        <v>5</v>
      </c>
      <c r="K247" t="s">
        <v>33</v>
      </c>
      <c r="L247">
        <v>80</v>
      </c>
      <c r="M247">
        <v>61.72</v>
      </c>
      <c r="N247">
        <v>53.08</v>
      </c>
      <c r="O247" t="s">
        <v>13</v>
      </c>
      <c r="P247">
        <v>80</v>
      </c>
      <c r="Q247">
        <v>171</v>
      </c>
      <c r="R247">
        <v>67</v>
      </c>
      <c r="S247">
        <v>42</v>
      </c>
      <c r="T247" t="s">
        <v>50</v>
      </c>
      <c r="U247">
        <f>IF(Cardiac_Table[[#This Row],[Patient Status at Discharge]]="Died", 1,0)</f>
        <v>1</v>
      </c>
      <c r="V247">
        <f>Cardiac_Table[[#This Row],[Risk of Death % (Model 1)]]/100</f>
        <v>0.61719999999999997</v>
      </c>
      <c r="W247">
        <f>Cardiac_Table[[#This Row],[Risk of Death % (Model 2)]]/100</f>
        <v>0.53079999999999994</v>
      </c>
      <c r="X247" s="18">
        <f>Cardiac_Table[[#This Row],[Procedure Start Date and Time]]-Cardiac_Table[[#This Row],[Hospital Admit Date ]]</f>
        <v>3.1479166666686069</v>
      </c>
    </row>
    <row r="248" spans="1:24" x14ac:dyDescent="0.35">
      <c r="A248">
        <v>252</v>
      </c>
      <c r="B248" s="9">
        <v>43888.455555555556</v>
      </c>
      <c r="C248" s="10">
        <f>INT(Cardiac_Table[[#This Row],[Hospital Admit Date ]])</f>
        <v>43888</v>
      </c>
      <c r="D248" s="11" t="str">
        <f t="shared" si="3"/>
        <v>10:56</v>
      </c>
      <c r="E248" s="9">
        <v>43889.509722222225</v>
      </c>
      <c r="F248" s="10">
        <f>INT(Cardiac_Table[[#This Row],[Procedure Start Date and Time]])</f>
        <v>43889</v>
      </c>
      <c r="G248" s="12">
        <f>MOD(Cardiac_Table[[#This Row],[Procedure Start Date and Time]],1)</f>
        <v>0.50972222222480923</v>
      </c>
      <c r="H248">
        <v>2</v>
      </c>
      <c r="I248" t="s">
        <v>6</v>
      </c>
      <c r="J248" t="s">
        <v>11</v>
      </c>
      <c r="K248" t="s">
        <v>21</v>
      </c>
      <c r="L248">
        <v>62</v>
      </c>
      <c r="M248">
        <v>4.67</v>
      </c>
      <c r="N248">
        <v>2.2000000000000002</v>
      </c>
      <c r="O248" t="s">
        <v>15</v>
      </c>
      <c r="P248">
        <v>85</v>
      </c>
      <c r="Q248">
        <v>173</v>
      </c>
      <c r="R248">
        <v>66</v>
      </c>
      <c r="S248">
        <v>47</v>
      </c>
      <c r="T248" t="s">
        <v>50</v>
      </c>
      <c r="U248">
        <f>IF(Cardiac_Table[[#This Row],[Patient Status at Discharge]]="Died", 1,0)</f>
        <v>0</v>
      </c>
      <c r="V248">
        <f>Cardiac_Table[[#This Row],[Risk of Death % (Model 1)]]/100</f>
        <v>4.6699999999999998E-2</v>
      </c>
      <c r="W248">
        <f>Cardiac_Table[[#This Row],[Risk of Death % (Model 2)]]/100</f>
        <v>2.2000000000000002E-2</v>
      </c>
      <c r="X248" s="18">
        <f>Cardiac_Table[[#This Row],[Procedure Start Date and Time]]-Cardiac_Table[[#This Row],[Hospital Admit Date ]]</f>
        <v>1.0541666666686069</v>
      </c>
    </row>
    <row r="249" spans="1:24" x14ac:dyDescent="0.35">
      <c r="A249">
        <v>253</v>
      </c>
      <c r="B249" s="9">
        <v>43889.583333333336</v>
      </c>
      <c r="C249" s="10">
        <f>INT(Cardiac_Table[[#This Row],[Hospital Admit Date ]])</f>
        <v>43889</v>
      </c>
      <c r="D249" s="11" t="str">
        <f t="shared" si="3"/>
        <v>14:00</v>
      </c>
      <c r="E249" s="9">
        <v>43890.333333333336</v>
      </c>
      <c r="F249" s="10">
        <f>INT(Cardiac_Table[[#This Row],[Procedure Start Date and Time]])</f>
        <v>43890</v>
      </c>
      <c r="G249" s="12">
        <f>MOD(Cardiac_Table[[#This Row],[Procedure Start Date and Time]],1)</f>
        <v>0.33333333333575865</v>
      </c>
      <c r="H249">
        <v>1</v>
      </c>
      <c r="I249" t="s">
        <v>2</v>
      </c>
      <c r="J249" t="s">
        <v>3</v>
      </c>
      <c r="K249" t="s">
        <v>33</v>
      </c>
      <c r="L249">
        <v>46</v>
      </c>
      <c r="M249">
        <v>8.57</v>
      </c>
      <c r="N249">
        <v>1.86</v>
      </c>
      <c r="O249" t="s">
        <v>15</v>
      </c>
      <c r="P249">
        <v>71</v>
      </c>
      <c r="Q249">
        <v>181</v>
      </c>
      <c r="R249">
        <v>94</v>
      </c>
      <c r="S249">
        <v>66</v>
      </c>
      <c r="T249" t="s">
        <v>48</v>
      </c>
      <c r="U249">
        <f>IF(Cardiac_Table[[#This Row],[Patient Status at Discharge]]="Died", 1,0)</f>
        <v>0</v>
      </c>
      <c r="V249">
        <f>Cardiac_Table[[#This Row],[Risk of Death % (Model 1)]]/100</f>
        <v>8.5699999999999998E-2</v>
      </c>
      <c r="W249">
        <f>Cardiac_Table[[#This Row],[Risk of Death % (Model 2)]]/100</f>
        <v>1.8600000000000002E-2</v>
      </c>
      <c r="X249" s="18">
        <f>Cardiac_Table[[#This Row],[Procedure Start Date and Time]]-Cardiac_Table[[#This Row],[Hospital Admit Date ]]</f>
        <v>0.75</v>
      </c>
    </row>
    <row r="250" spans="1:24" x14ac:dyDescent="0.35">
      <c r="A250">
        <v>254</v>
      </c>
      <c r="B250" s="9">
        <v>43889.451388888891</v>
      </c>
      <c r="C250" s="10">
        <f>INT(Cardiac_Table[[#This Row],[Hospital Admit Date ]])</f>
        <v>43889</v>
      </c>
      <c r="D250" s="11" t="str">
        <f t="shared" si="3"/>
        <v>10:50</v>
      </c>
      <c r="E250" s="9">
        <v>43890.340277777781</v>
      </c>
      <c r="F250" s="10">
        <f>INT(Cardiac_Table[[#This Row],[Procedure Start Date and Time]])</f>
        <v>43890</v>
      </c>
      <c r="G250" s="12">
        <f>MOD(Cardiac_Table[[#This Row],[Procedure Start Date and Time]],1)</f>
        <v>0.34027777778101154</v>
      </c>
      <c r="H250">
        <v>2</v>
      </c>
      <c r="I250" t="s">
        <v>4</v>
      </c>
      <c r="J250" t="s">
        <v>10</v>
      </c>
      <c r="K250" t="s">
        <v>25</v>
      </c>
      <c r="L250">
        <v>70</v>
      </c>
      <c r="M250">
        <v>4.4000000000000004</v>
      </c>
      <c r="N250">
        <v>1.22</v>
      </c>
      <c r="O250" t="s">
        <v>15</v>
      </c>
      <c r="P250">
        <v>65</v>
      </c>
      <c r="Q250">
        <v>177</v>
      </c>
      <c r="R250">
        <v>88</v>
      </c>
      <c r="S250">
        <v>20</v>
      </c>
      <c r="T250" t="s">
        <v>51</v>
      </c>
      <c r="U250">
        <f>IF(Cardiac_Table[[#This Row],[Patient Status at Discharge]]="Died", 1,0)</f>
        <v>0</v>
      </c>
      <c r="V250">
        <f>Cardiac_Table[[#This Row],[Risk of Death % (Model 1)]]/100</f>
        <v>4.4000000000000004E-2</v>
      </c>
      <c r="W250">
        <f>Cardiac_Table[[#This Row],[Risk of Death % (Model 2)]]/100</f>
        <v>1.2199999999999999E-2</v>
      </c>
      <c r="X250" s="18">
        <f>Cardiac_Table[[#This Row],[Procedure Start Date and Time]]-Cardiac_Table[[#This Row],[Hospital Admit Date ]]</f>
        <v>0.88888888889050577</v>
      </c>
    </row>
    <row r="251" spans="1:24" x14ac:dyDescent="0.35">
      <c r="A251">
        <v>255</v>
      </c>
      <c r="B251" s="9">
        <v>43889.599305555559</v>
      </c>
      <c r="C251" s="10">
        <f>INT(Cardiac_Table[[#This Row],[Hospital Admit Date ]])</f>
        <v>43889</v>
      </c>
      <c r="D251" s="11" t="str">
        <f t="shared" si="3"/>
        <v>14:23</v>
      </c>
      <c r="E251" s="9">
        <v>43890.374305555553</v>
      </c>
      <c r="F251" s="10">
        <f>INT(Cardiac_Table[[#This Row],[Procedure Start Date and Time]])</f>
        <v>43890</v>
      </c>
      <c r="G251" s="12">
        <f>MOD(Cardiac_Table[[#This Row],[Procedure Start Date and Time]],1)</f>
        <v>0.37430555555329192</v>
      </c>
      <c r="H251">
        <v>5</v>
      </c>
      <c r="I251" t="s">
        <v>4</v>
      </c>
      <c r="J251" t="s">
        <v>3</v>
      </c>
      <c r="K251" t="s">
        <v>35</v>
      </c>
      <c r="L251">
        <v>61</v>
      </c>
      <c r="M251">
        <v>1.72</v>
      </c>
      <c r="N251">
        <v>0.7</v>
      </c>
      <c r="O251" t="s">
        <v>15</v>
      </c>
      <c r="P251">
        <v>108</v>
      </c>
      <c r="Q251">
        <v>188</v>
      </c>
      <c r="R251">
        <v>80</v>
      </c>
      <c r="S251">
        <v>55</v>
      </c>
      <c r="T251" t="s">
        <v>48</v>
      </c>
      <c r="U251">
        <f>IF(Cardiac_Table[[#This Row],[Patient Status at Discharge]]="Died", 1,0)</f>
        <v>0</v>
      </c>
      <c r="V251">
        <f>Cardiac_Table[[#This Row],[Risk of Death % (Model 1)]]/100</f>
        <v>1.72E-2</v>
      </c>
      <c r="W251">
        <f>Cardiac_Table[[#This Row],[Risk of Death % (Model 2)]]/100</f>
        <v>6.9999999999999993E-3</v>
      </c>
      <c r="X251" s="18">
        <f>Cardiac_Table[[#This Row],[Procedure Start Date and Time]]-Cardiac_Table[[#This Row],[Hospital Admit Date ]]</f>
        <v>0.77499999999417923</v>
      </c>
    </row>
    <row r="252" spans="1:24" x14ac:dyDescent="0.35">
      <c r="A252">
        <v>256</v>
      </c>
      <c r="B252" s="9">
        <v>43857.638888888891</v>
      </c>
      <c r="C252" s="10">
        <f>INT(Cardiac_Table[[#This Row],[Hospital Admit Date ]])</f>
        <v>43857</v>
      </c>
      <c r="D252" s="11" t="str">
        <f t="shared" si="3"/>
        <v>15:20</v>
      </c>
      <c r="E252" s="9">
        <v>43892.329861111109</v>
      </c>
      <c r="F252" s="10">
        <f>INT(Cardiac_Table[[#This Row],[Procedure Start Date and Time]])</f>
        <v>43892</v>
      </c>
      <c r="G252" s="12">
        <f>MOD(Cardiac_Table[[#This Row],[Procedure Start Date and Time]],1)</f>
        <v>0.32986111110949423</v>
      </c>
      <c r="H252">
        <v>1</v>
      </c>
      <c r="I252" t="s">
        <v>6</v>
      </c>
      <c r="J252" t="s">
        <v>11</v>
      </c>
      <c r="K252" t="s">
        <v>30</v>
      </c>
      <c r="L252">
        <v>67</v>
      </c>
      <c r="M252">
        <v>11.84</v>
      </c>
      <c r="N252">
        <v>7.66</v>
      </c>
      <c r="O252" t="s">
        <v>15</v>
      </c>
      <c r="P252">
        <v>87</v>
      </c>
      <c r="Q252">
        <v>194</v>
      </c>
      <c r="R252">
        <v>103</v>
      </c>
      <c r="S252">
        <v>55</v>
      </c>
      <c r="T252" t="s">
        <v>48</v>
      </c>
      <c r="U252">
        <f>IF(Cardiac_Table[[#This Row],[Patient Status at Discharge]]="Died", 1,0)</f>
        <v>0</v>
      </c>
      <c r="V252">
        <f>Cardiac_Table[[#This Row],[Risk of Death % (Model 1)]]/100</f>
        <v>0.11840000000000001</v>
      </c>
      <c r="W252">
        <f>Cardiac_Table[[#This Row],[Risk of Death % (Model 2)]]/100</f>
        <v>7.6600000000000001E-2</v>
      </c>
      <c r="X252" s="18">
        <f>Cardiac_Table[[#This Row],[Procedure Start Date and Time]]-Cardiac_Table[[#This Row],[Hospital Admit Date ]]</f>
        <v>34.690972222218988</v>
      </c>
    </row>
    <row r="253" spans="1:24" x14ac:dyDescent="0.35">
      <c r="A253">
        <v>257</v>
      </c>
      <c r="B253" s="9">
        <v>43891.583333333336</v>
      </c>
      <c r="C253" s="10">
        <f>INT(Cardiac_Table[[#This Row],[Hospital Admit Date ]])</f>
        <v>43891</v>
      </c>
      <c r="D253" s="11" t="str">
        <f t="shared" si="3"/>
        <v>14:00</v>
      </c>
      <c r="E253" s="9">
        <v>43892.336805555555</v>
      </c>
      <c r="F253" s="10">
        <f>INT(Cardiac_Table[[#This Row],[Procedure Start Date and Time]])</f>
        <v>43892</v>
      </c>
      <c r="G253" s="12">
        <f>MOD(Cardiac_Table[[#This Row],[Procedure Start Date and Time]],1)</f>
        <v>0.33680555555474712</v>
      </c>
      <c r="H253">
        <v>5</v>
      </c>
      <c r="I253" t="s">
        <v>4</v>
      </c>
      <c r="J253" t="s">
        <v>3</v>
      </c>
      <c r="K253" t="s">
        <v>33</v>
      </c>
      <c r="L253">
        <v>79</v>
      </c>
      <c r="M253">
        <v>8.1</v>
      </c>
      <c r="N253">
        <v>1.86</v>
      </c>
      <c r="O253" t="s">
        <v>15</v>
      </c>
      <c r="P253">
        <v>123</v>
      </c>
      <c r="Q253">
        <v>164</v>
      </c>
      <c r="R253">
        <v>67</v>
      </c>
      <c r="S253">
        <v>53</v>
      </c>
      <c r="T253" t="s">
        <v>48</v>
      </c>
      <c r="U253">
        <f>IF(Cardiac_Table[[#This Row],[Patient Status at Discharge]]="Died", 1,0)</f>
        <v>0</v>
      </c>
      <c r="V253">
        <f>Cardiac_Table[[#This Row],[Risk of Death % (Model 1)]]/100</f>
        <v>8.1000000000000003E-2</v>
      </c>
      <c r="W253">
        <f>Cardiac_Table[[#This Row],[Risk of Death % (Model 2)]]/100</f>
        <v>1.8600000000000002E-2</v>
      </c>
      <c r="X253" s="18">
        <f>Cardiac_Table[[#This Row],[Procedure Start Date and Time]]-Cardiac_Table[[#This Row],[Hospital Admit Date ]]</f>
        <v>0.75347222221898846</v>
      </c>
    </row>
    <row r="254" spans="1:24" x14ac:dyDescent="0.35">
      <c r="A254">
        <v>258</v>
      </c>
      <c r="B254" s="9">
        <v>43891.541666666664</v>
      </c>
      <c r="C254" s="10">
        <f>INT(Cardiac_Table[[#This Row],[Hospital Admit Date ]])</f>
        <v>43891</v>
      </c>
      <c r="D254" s="11" t="str">
        <f t="shared" si="3"/>
        <v>13:00</v>
      </c>
      <c r="E254" s="9">
        <v>43892.340277777781</v>
      </c>
      <c r="F254" s="10">
        <f>INT(Cardiac_Table[[#This Row],[Procedure Start Date and Time]])</f>
        <v>43892</v>
      </c>
      <c r="G254" s="12">
        <f>MOD(Cardiac_Table[[#This Row],[Procedure Start Date and Time]],1)</f>
        <v>0.34027777778101154</v>
      </c>
      <c r="H254">
        <v>3</v>
      </c>
      <c r="I254" t="s">
        <v>4</v>
      </c>
      <c r="J254" t="s">
        <v>10</v>
      </c>
      <c r="K254" t="s">
        <v>26</v>
      </c>
      <c r="L254">
        <v>70</v>
      </c>
      <c r="M254">
        <v>8.7100000000000009</v>
      </c>
      <c r="N254">
        <v>3.1</v>
      </c>
      <c r="O254" t="s">
        <v>15</v>
      </c>
      <c r="P254">
        <v>70</v>
      </c>
      <c r="Q254">
        <v>184</v>
      </c>
      <c r="R254">
        <v>96</v>
      </c>
      <c r="S254">
        <v>50</v>
      </c>
      <c r="T254" t="s">
        <v>50</v>
      </c>
      <c r="U254">
        <f>IF(Cardiac_Table[[#This Row],[Patient Status at Discharge]]="Died", 1,0)</f>
        <v>0</v>
      </c>
      <c r="V254">
        <f>Cardiac_Table[[#This Row],[Risk of Death % (Model 1)]]/100</f>
        <v>8.7100000000000011E-2</v>
      </c>
      <c r="W254">
        <f>Cardiac_Table[[#This Row],[Risk of Death % (Model 2)]]/100</f>
        <v>3.1E-2</v>
      </c>
      <c r="X254" s="18">
        <f>Cardiac_Table[[#This Row],[Procedure Start Date and Time]]-Cardiac_Table[[#This Row],[Hospital Admit Date ]]</f>
        <v>0.79861111111677019</v>
      </c>
    </row>
    <row r="255" spans="1:24" x14ac:dyDescent="0.35">
      <c r="A255">
        <v>259</v>
      </c>
      <c r="B255" s="9">
        <v>43891.583333333336</v>
      </c>
      <c r="C255" s="10">
        <f>INT(Cardiac_Table[[#This Row],[Hospital Admit Date ]])</f>
        <v>43891</v>
      </c>
      <c r="D255" s="11" t="str">
        <f t="shared" si="3"/>
        <v>14:00</v>
      </c>
      <c r="E255" s="9">
        <v>43892.34375</v>
      </c>
      <c r="F255" s="10">
        <f>INT(Cardiac_Table[[#This Row],[Procedure Start Date and Time]])</f>
        <v>43892</v>
      </c>
      <c r="G255" s="12">
        <f>MOD(Cardiac_Table[[#This Row],[Procedure Start Date and Time]],1)</f>
        <v>0.34375</v>
      </c>
      <c r="H255">
        <v>6</v>
      </c>
      <c r="I255" t="s">
        <v>4</v>
      </c>
      <c r="J255" t="s">
        <v>1</v>
      </c>
      <c r="K255" t="s">
        <v>23</v>
      </c>
      <c r="L255">
        <v>64</v>
      </c>
      <c r="M255">
        <v>20.51</v>
      </c>
      <c r="N255">
        <v>5.31</v>
      </c>
      <c r="O255" t="s">
        <v>15</v>
      </c>
      <c r="P255">
        <v>71</v>
      </c>
      <c r="Q255">
        <v>178</v>
      </c>
      <c r="R255">
        <v>126</v>
      </c>
      <c r="S255">
        <v>65</v>
      </c>
      <c r="T255" t="s">
        <v>48</v>
      </c>
      <c r="U255">
        <f>IF(Cardiac_Table[[#This Row],[Patient Status at Discharge]]="Died", 1,0)</f>
        <v>0</v>
      </c>
      <c r="V255">
        <f>Cardiac_Table[[#This Row],[Risk of Death % (Model 1)]]/100</f>
        <v>0.2051</v>
      </c>
      <c r="W255">
        <f>Cardiac_Table[[#This Row],[Risk of Death % (Model 2)]]/100</f>
        <v>5.3099999999999994E-2</v>
      </c>
      <c r="X255" s="18">
        <f>Cardiac_Table[[#This Row],[Procedure Start Date and Time]]-Cardiac_Table[[#This Row],[Hospital Admit Date ]]</f>
        <v>0.76041666666424135</v>
      </c>
    </row>
    <row r="256" spans="1:24" x14ac:dyDescent="0.35">
      <c r="A256">
        <v>260</v>
      </c>
      <c r="B256" s="9">
        <v>43891.583333333336</v>
      </c>
      <c r="C256" s="10">
        <f>INT(Cardiac_Table[[#This Row],[Hospital Admit Date ]])</f>
        <v>43891</v>
      </c>
      <c r="D256" s="11" t="str">
        <f t="shared" si="3"/>
        <v>14:00</v>
      </c>
      <c r="E256" s="9">
        <v>43892.34652777778</v>
      </c>
      <c r="F256" s="10">
        <f>INT(Cardiac_Table[[#This Row],[Procedure Start Date and Time]])</f>
        <v>43892</v>
      </c>
      <c r="G256" s="12">
        <f>MOD(Cardiac_Table[[#This Row],[Procedure Start Date and Time]],1)</f>
        <v>0.34652777777955635</v>
      </c>
      <c r="H256">
        <v>2</v>
      </c>
      <c r="I256" t="s">
        <v>4</v>
      </c>
      <c r="J256" t="s">
        <v>1</v>
      </c>
      <c r="K256" t="s">
        <v>31</v>
      </c>
      <c r="L256">
        <v>61</v>
      </c>
      <c r="M256">
        <v>8.77</v>
      </c>
      <c r="N256">
        <v>2.62</v>
      </c>
      <c r="O256" t="s">
        <v>15</v>
      </c>
      <c r="P256">
        <v>105</v>
      </c>
      <c r="Q256">
        <v>182</v>
      </c>
      <c r="R256">
        <v>103</v>
      </c>
      <c r="S256">
        <v>60</v>
      </c>
      <c r="T256" t="s">
        <v>48</v>
      </c>
      <c r="U256">
        <f>IF(Cardiac_Table[[#This Row],[Patient Status at Discharge]]="Died", 1,0)</f>
        <v>0</v>
      </c>
      <c r="V256">
        <f>Cardiac_Table[[#This Row],[Risk of Death % (Model 1)]]/100</f>
        <v>8.77E-2</v>
      </c>
      <c r="W256">
        <f>Cardiac_Table[[#This Row],[Risk of Death % (Model 2)]]/100</f>
        <v>2.6200000000000001E-2</v>
      </c>
      <c r="X256" s="18">
        <f>Cardiac_Table[[#This Row],[Procedure Start Date and Time]]-Cardiac_Table[[#This Row],[Hospital Admit Date ]]</f>
        <v>0.76319444444379769</v>
      </c>
    </row>
    <row r="257" spans="1:24" x14ac:dyDescent="0.35">
      <c r="A257">
        <v>261</v>
      </c>
      <c r="B257" s="9">
        <v>43892.305555555555</v>
      </c>
      <c r="C257" s="10">
        <f>INT(Cardiac_Table[[#This Row],[Hospital Admit Date ]])</f>
        <v>43892</v>
      </c>
      <c r="D257" s="11" t="str">
        <f t="shared" si="3"/>
        <v>07:20</v>
      </c>
      <c r="E257" s="9">
        <v>43892.541666666664</v>
      </c>
      <c r="F257" s="10">
        <f>INT(Cardiac_Table[[#This Row],[Procedure Start Date and Time]])</f>
        <v>43892</v>
      </c>
      <c r="G257" s="12">
        <f>MOD(Cardiac_Table[[#This Row],[Procedure Start Date and Time]],1)</f>
        <v>0.54166666666424135</v>
      </c>
      <c r="H257">
        <v>2</v>
      </c>
      <c r="I257" t="s">
        <v>4</v>
      </c>
      <c r="J257" t="s">
        <v>3</v>
      </c>
      <c r="K257" t="s">
        <v>31</v>
      </c>
      <c r="L257">
        <v>82</v>
      </c>
      <c r="M257">
        <v>13.89</v>
      </c>
      <c r="N257">
        <v>2.52</v>
      </c>
      <c r="O257" t="s">
        <v>15</v>
      </c>
      <c r="P257">
        <v>109</v>
      </c>
      <c r="Q257">
        <v>170</v>
      </c>
      <c r="R257">
        <v>84</v>
      </c>
      <c r="S257">
        <v>50</v>
      </c>
      <c r="T257" t="s">
        <v>50</v>
      </c>
      <c r="U257">
        <f>IF(Cardiac_Table[[#This Row],[Patient Status at Discharge]]="Died", 1,0)</f>
        <v>0</v>
      </c>
      <c r="V257">
        <f>Cardiac_Table[[#This Row],[Risk of Death % (Model 1)]]/100</f>
        <v>0.1389</v>
      </c>
      <c r="W257">
        <f>Cardiac_Table[[#This Row],[Risk of Death % (Model 2)]]/100</f>
        <v>2.52E-2</v>
      </c>
      <c r="X257" s="18">
        <f>Cardiac_Table[[#This Row],[Procedure Start Date and Time]]-Cardiac_Table[[#This Row],[Hospital Admit Date ]]</f>
        <v>0.23611111110949423</v>
      </c>
    </row>
    <row r="258" spans="1:24" x14ac:dyDescent="0.35">
      <c r="A258">
        <v>262</v>
      </c>
      <c r="B258" s="9">
        <v>43880.461805555555</v>
      </c>
      <c r="C258" s="10">
        <f>INT(Cardiac_Table[[#This Row],[Hospital Admit Date ]])</f>
        <v>43880</v>
      </c>
      <c r="D258" s="11" t="str">
        <f t="shared" ref="D258:D321" si="4">TEXT(B258,"HH:MM")</f>
        <v>11:05</v>
      </c>
      <c r="E258" s="9">
        <v>43892.559027777781</v>
      </c>
      <c r="F258" s="10">
        <f>INT(Cardiac_Table[[#This Row],[Procedure Start Date and Time]])</f>
        <v>43892</v>
      </c>
      <c r="G258" s="12">
        <f>MOD(Cardiac_Table[[#This Row],[Procedure Start Date and Time]],1)</f>
        <v>0.55902777778101154</v>
      </c>
      <c r="H258">
        <v>3</v>
      </c>
      <c r="I258" t="s">
        <v>6</v>
      </c>
      <c r="J258" t="s">
        <v>10</v>
      </c>
      <c r="K258" t="s">
        <v>26</v>
      </c>
      <c r="L258">
        <v>82</v>
      </c>
      <c r="M258">
        <v>5.89</v>
      </c>
      <c r="N258">
        <v>3.14</v>
      </c>
      <c r="O258" t="s">
        <v>15</v>
      </c>
      <c r="P258">
        <v>61</v>
      </c>
      <c r="Q258">
        <v>163</v>
      </c>
      <c r="R258">
        <v>62</v>
      </c>
      <c r="S258">
        <v>65</v>
      </c>
      <c r="T258" t="s">
        <v>48</v>
      </c>
      <c r="U258">
        <f>IF(Cardiac_Table[[#This Row],[Patient Status at Discharge]]="Died", 1,0)</f>
        <v>0</v>
      </c>
      <c r="V258">
        <f>Cardiac_Table[[#This Row],[Risk of Death % (Model 1)]]/100</f>
        <v>5.8899999999999994E-2</v>
      </c>
      <c r="W258">
        <f>Cardiac_Table[[#This Row],[Risk of Death % (Model 2)]]/100</f>
        <v>3.1400000000000004E-2</v>
      </c>
      <c r="X258" s="18">
        <f>Cardiac_Table[[#This Row],[Procedure Start Date and Time]]-Cardiac_Table[[#This Row],[Hospital Admit Date ]]</f>
        <v>12.097222222226264</v>
      </c>
    </row>
    <row r="259" spans="1:24" x14ac:dyDescent="0.35">
      <c r="A259">
        <v>263</v>
      </c>
      <c r="B259" s="9">
        <v>43892.313888888886</v>
      </c>
      <c r="C259" s="10">
        <f>INT(Cardiac_Table[[#This Row],[Hospital Admit Date ]])</f>
        <v>43892</v>
      </c>
      <c r="D259" s="11" t="str">
        <f t="shared" si="4"/>
        <v>07:32</v>
      </c>
      <c r="E259" s="9">
        <v>43892.613194444442</v>
      </c>
      <c r="F259" s="10">
        <f>INT(Cardiac_Table[[#This Row],[Procedure Start Date and Time]])</f>
        <v>43892</v>
      </c>
      <c r="G259" s="12">
        <f>MOD(Cardiac_Table[[#This Row],[Procedure Start Date and Time]],1)</f>
        <v>0.6131944444423425</v>
      </c>
      <c r="H259">
        <v>1</v>
      </c>
      <c r="I259" t="s">
        <v>4</v>
      </c>
      <c r="J259" t="s">
        <v>10</v>
      </c>
      <c r="K259" t="s">
        <v>30</v>
      </c>
      <c r="L259">
        <v>51</v>
      </c>
      <c r="M259">
        <v>1.22</v>
      </c>
      <c r="N259">
        <v>0.69</v>
      </c>
      <c r="O259" t="s">
        <v>15</v>
      </c>
      <c r="P259">
        <v>156</v>
      </c>
      <c r="Q259">
        <v>174</v>
      </c>
      <c r="R259">
        <v>80</v>
      </c>
      <c r="S259">
        <v>62</v>
      </c>
      <c r="T259" t="s">
        <v>48</v>
      </c>
      <c r="U259">
        <f>IF(Cardiac_Table[[#This Row],[Patient Status at Discharge]]="Died", 1,0)</f>
        <v>0</v>
      </c>
      <c r="V259">
        <f>Cardiac_Table[[#This Row],[Risk of Death % (Model 1)]]/100</f>
        <v>1.2199999999999999E-2</v>
      </c>
      <c r="W259">
        <f>Cardiac_Table[[#This Row],[Risk of Death % (Model 2)]]/100</f>
        <v>6.8999999999999999E-3</v>
      </c>
      <c r="X259" s="18">
        <f>Cardiac_Table[[#This Row],[Procedure Start Date and Time]]-Cardiac_Table[[#This Row],[Hospital Admit Date ]]</f>
        <v>0.29930555555620231</v>
      </c>
    </row>
    <row r="260" spans="1:24" x14ac:dyDescent="0.35">
      <c r="A260">
        <v>264</v>
      </c>
      <c r="B260" s="9">
        <v>43892.576388888891</v>
      </c>
      <c r="C260" s="10">
        <f>INT(Cardiac_Table[[#This Row],[Hospital Admit Date ]])</f>
        <v>43892</v>
      </c>
      <c r="D260" s="11" t="str">
        <f t="shared" si="4"/>
        <v>13:50</v>
      </c>
      <c r="E260" s="9">
        <v>43893.329861111109</v>
      </c>
      <c r="F260" s="10">
        <f>INT(Cardiac_Table[[#This Row],[Procedure Start Date and Time]])</f>
        <v>43893</v>
      </c>
      <c r="G260" s="12">
        <f>MOD(Cardiac_Table[[#This Row],[Procedure Start Date and Time]],1)</f>
        <v>0.32986111110949423</v>
      </c>
      <c r="H260">
        <v>5</v>
      </c>
      <c r="I260" t="s">
        <v>4</v>
      </c>
      <c r="J260" t="s">
        <v>3</v>
      </c>
      <c r="K260" t="s">
        <v>31</v>
      </c>
      <c r="L260">
        <v>77</v>
      </c>
      <c r="M260">
        <v>4.83</v>
      </c>
      <c r="N260">
        <v>2.99</v>
      </c>
      <c r="O260" t="s">
        <v>15</v>
      </c>
      <c r="P260">
        <v>91</v>
      </c>
      <c r="Q260">
        <v>183</v>
      </c>
      <c r="R260">
        <v>80</v>
      </c>
      <c r="S260">
        <v>29</v>
      </c>
      <c r="T260" t="s">
        <v>49</v>
      </c>
      <c r="U260">
        <f>IF(Cardiac_Table[[#This Row],[Patient Status at Discharge]]="Died", 1,0)</f>
        <v>0</v>
      </c>
      <c r="V260">
        <f>Cardiac_Table[[#This Row],[Risk of Death % (Model 1)]]/100</f>
        <v>4.8300000000000003E-2</v>
      </c>
      <c r="W260">
        <f>Cardiac_Table[[#This Row],[Risk of Death % (Model 2)]]/100</f>
        <v>2.9900000000000003E-2</v>
      </c>
      <c r="X260" s="18">
        <f>Cardiac_Table[[#This Row],[Procedure Start Date and Time]]-Cardiac_Table[[#This Row],[Hospital Admit Date ]]</f>
        <v>0.75347222221898846</v>
      </c>
    </row>
    <row r="261" spans="1:24" x14ac:dyDescent="0.35">
      <c r="A261">
        <v>265</v>
      </c>
      <c r="B261" s="9">
        <v>43887.458333333336</v>
      </c>
      <c r="C261" s="10">
        <f>INT(Cardiac_Table[[#This Row],[Hospital Admit Date ]])</f>
        <v>43887</v>
      </c>
      <c r="D261" s="11" t="str">
        <f t="shared" si="4"/>
        <v>11:00</v>
      </c>
      <c r="E261" s="9">
        <v>43893.333333333336</v>
      </c>
      <c r="F261" s="10">
        <f>INT(Cardiac_Table[[#This Row],[Procedure Start Date and Time]])</f>
        <v>43893</v>
      </c>
      <c r="G261" s="12">
        <f>MOD(Cardiac_Table[[#This Row],[Procedure Start Date and Time]],1)</f>
        <v>0.33333333333575865</v>
      </c>
      <c r="H261">
        <v>6</v>
      </c>
      <c r="I261" t="s">
        <v>6</v>
      </c>
      <c r="J261" t="s">
        <v>10</v>
      </c>
      <c r="K261" t="s">
        <v>21</v>
      </c>
      <c r="L261">
        <v>57</v>
      </c>
      <c r="M261">
        <v>3.95</v>
      </c>
      <c r="N261">
        <v>1.22</v>
      </c>
      <c r="O261" t="s">
        <v>15</v>
      </c>
      <c r="P261">
        <v>103</v>
      </c>
      <c r="Q261">
        <v>174</v>
      </c>
      <c r="R261">
        <v>80</v>
      </c>
      <c r="S261">
        <v>65</v>
      </c>
      <c r="T261" t="s">
        <v>48</v>
      </c>
      <c r="U261">
        <f>IF(Cardiac_Table[[#This Row],[Patient Status at Discharge]]="Died", 1,0)</f>
        <v>0</v>
      </c>
      <c r="V261">
        <f>Cardiac_Table[[#This Row],[Risk of Death % (Model 1)]]/100</f>
        <v>3.95E-2</v>
      </c>
      <c r="W261">
        <f>Cardiac_Table[[#This Row],[Risk of Death % (Model 2)]]/100</f>
        <v>1.2199999999999999E-2</v>
      </c>
      <c r="X261" s="18">
        <f>Cardiac_Table[[#This Row],[Procedure Start Date and Time]]-Cardiac_Table[[#This Row],[Hospital Admit Date ]]</f>
        <v>5.875</v>
      </c>
    </row>
    <row r="262" spans="1:24" x14ac:dyDescent="0.35">
      <c r="A262">
        <v>266</v>
      </c>
      <c r="B262" s="9">
        <v>43892.586111111108</v>
      </c>
      <c r="C262" s="10">
        <f>INT(Cardiac_Table[[#This Row],[Hospital Admit Date ]])</f>
        <v>43892</v>
      </c>
      <c r="D262" s="11" t="str">
        <f t="shared" si="4"/>
        <v>14:04</v>
      </c>
      <c r="E262" s="9">
        <v>43893.336805555555</v>
      </c>
      <c r="F262" s="10">
        <f>INT(Cardiac_Table[[#This Row],[Procedure Start Date and Time]])</f>
        <v>43893</v>
      </c>
      <c r="G262" s="12">
        <f>MOD(Cardiac_Table[[#This Row],[Procedure Start Date and Time]],1)</f>
        <v>0.33680555555474712</v>
      </c>
      <c r="H262">
        <v>3</v>
      </c>
      <c r="I262" t="s">
        <v>4</v>
      </c>
      <c r="J262" t="s">
        <v>11</v>
      </c>
      <c r="K262" t="s">
        <v>23</v>
      </c>
      <c r="L262">
        <v>82</v>
      </c>
      <c r="M262">
        <v>12</v>
      </c>
      <c r="N262">
        <v>5.67</v>
      </c>
      <c r="O262" t="s">
        <v>15</v>
      </c>
      <c r="P262">
        <v>61</v>
      </c>
      <c r="Q262">
        <v>172</v>
      </c>
      <c r="R262">
        <v>78</v>
      </c>
      <c r="S262">
        <v>35</v>
      </c>
      <c r="T262" t="s">
        <v>50</v>
      </c>
      <c r="U262">
        <f>IF(Cardiac_Table[[#This Row],[Patient Status at Discharge]]="Died", 1,0)</f>
        <v>0</v>
      </c>
      <c r="V262">
        <f>Cardiac_Table[[#This Row],[Risk of Death % (Model 1)]]/100</f>
        <v>0.12</v>
      </c>
      <c r="W262">
        <f>Cardiac_Table[[#This Row],[Risk of Death % (Model 2)]]/100</f>
        <v>5.67E-2</v>
      </c>
      <c r="X262" s="18">
        <f>Cardiac_Table[[#This Row],[Procedure Start Date and Time]]-Cardiac_Table[[#This Row],[Hospital Admit Date ]]</f>
        <v>0.75069444444670808</v>
      </c>
    </row>
    <row r="263" spans="1:24" x14ac:dyDescent="0.35">
      <c r="A263">
        <v>267</v>
      </c>
      <c r="B263" s="9">
        <v>43892.576388888891</v>
      </c>
      <c r="C263" s="10">
        <f>INT(Cardiac_Table[[#This Row],[Hospital Admit Date ]])</f>
        <v>43892</v>
      </c>
      <c r="D263" s="11" t="str">
        <f t="shared" si="4"/>
        <v>13:50</v>
      </c>
      <c r="E263" s="9">
        <v>43893.347222222219</v>
      </c>
      <c r="F263" s="10">
        <f>INT(Cardiac_Table[[#This Row],[Procedure Start Date and Time]])</f>
        <v>43893</v>
      </c>
      <c r="G263" s="12">
        <f>MOD(Cardiac_Table[[#This Row],[Procedure Start Date and Time]],1)</f>
        <v>0.34722222221898846</v>
      </c>
      <c r="H263">
        <v>2</v>
      </c>
      <c r="I263" t="s">
        <v>4</v>
      </c>
      <c r="J263" t="s">
        <v>3</v>
      </c>
      <c r="K263" t="s">
        <v>28</v>
      </c>
      <c r="L263">
        <v>72</v>
      </c>
      <c r="M263">
        <v>4.8099999999999996</v>
      </c>
      <c r="N263">
        <v>2.27</v>
      </c>
      <c r="O263" t="s">
        <v>15</v>
      </c>
      <c r="P263">
        <v>83</v>
      </c>
      <c r="Q263">
        <v>172</v>
      </c>
      <c r="R263">
        <v>66</v>
      </c>
      <c r="S263">
        <v>55</v>
      </c>
      <c r="T263" t="s">
        <v>48</v>
      </c>
      <c r="U263">
        <f>IF(Cardiac_Table[[#This Row],[Patient Status at Discharge]]="Died", 1,0)</f>
        <v>0</v>
      </c>
      <c r="V263">
        <f>Cardiac_Table[[#This Row],[Risk of Death % (Model 1)]]/100</f>
        <v>4.8099999999999997E-2</v>
      </c>
      <c r="W263">
        <f>Cardiac_Table[[#This Row],[Risk of Death % (Model 2)]]/100</f>
        <v>2.2700000000000001E-2</v>
      </c>
      <c r="X263" s="18">
        <f>Cardiac_Table[[#This Row],[Procedure Start Date and Time]]-Cardiac_Table[[#This Row],[Hospital Admit Date ]]</f>
        <v>0.77083333332848269</v>
      </c>
    </row>
    <row r="264" spans="1:24" x14ac:dyDescent="0.35">
      <c r="A264">
        <v>268</v>
      </c>
      <c r="B264" s="9">
        <v>43892.708333333336</v>
      </c>
      <c r="C264" s="10">
        <f>INT(Cardiac_Table[[#This Row],[Hospital Admit Date ]])</f>
        <v>43892</v>
      </c>
      <c r="D264" s="11" t="str">
        <f t="shared" si="4"/>
        <v>17:00</v>
      </c>
      <c r="E264" s="9">
        <v>43893.5</v>
      </c>
      <c r="F264" s="10">
        <f>INT(Cardiac_Table[[#This Row],[Procedure Start Date and Time]])</f>
        <v>43893</v>
      </c>
      <c r="G264" s="12">
        <f>MOD(Cardiac_Table[[#This Row],[Procedure Start Date and Time]],1)</f>
        <v>0.5</v>
      </c>
      <c r="H264">
        <v>5</v>
      </c>
      <c r="I264" t="s">
        <v>6</v>
      </c>
      <c r="J264" t="s">
        <v>10</v>
      </c>
      <c r="K264" t="s">
        <v>31</v>
      </c>
      <c r="L264">
        <v>82</v>
      </c>
      <c r="M264">
        <v>9.75</v>
      </c>
      <c r="N264">
        <v>6.17</v>
      </c>
      <c r="O264" t="s">
        <v>15</v>
      </c>
      <c r="P264">
        <v>95</v>
      </c>
      <c r="Q264">
        <v>174</v>
      </c>
      <c r="R264">
        <v>80</v>
      </c>
      <c r="S264">
        <v>44</v>
      </c>
      <c r="T264" t="s">
        <v>50</v>
      </c>
      <c r="U264">
        <f>IF(Cardiac_Table[[#This Row],[Patient Status at Discharge]]="Died", 1,0)</f>
        <v>0</v>
      </c>
      <c r="V264">
        <f>Cardiac_Table[[#This Row],[Risk of Death % (Model 1)]]/100</f>
        <v>9.7500000000000003E-2</v>
      </c>
      <c r="W264">
        <f>Cardiac_Table[[#This Row],[Risk of Death % (Model 2)]]/100</f>
        <v>6.1699999999999998E-2</v>
      </c>
      <c r="X264" s="18">
        <f>Cardiac_Table[[#This Row],[Procedure Start Date and Time]]-Cardiac_Table[[#This Row],[Hospital Admit Date ]]</f>
        <v>0.79166666666424135</v>
      </c>
    </row>
    <row r="265" spans="1:24" x14ac:dyDescent="0.35">
      <c r="A265">
        <v>269</v>
      </c>
      <c r="B265" s="9">
        <v>43893.325694444444</v>
      </c>
      <c r="C265" s="10">
        <f>INT(Cardiac_Table[[#This Row],[Hospital Admit Date ]])</f>
        <v>43893</v>
      </c>
      <c r="D265" s="11" t="str">
        <f t="shared" si="4"/>
        <v>07:49</v>
      </c>
      <c r="E265" s="9">
        <v>43893.590277777781</v>
      </c>
      <c r="F265" s="10">
        <f>INT(Cardiac_Table[[#This Row],[Procedure Start Date and Time]])</f>
        <v>43893</v>
      </c>
      <c r="G265" s="12">
        <f>MOD(Cardiac_Table[[#This Row],[Procedure Start Date and Time]],1)</f>
        <v>0.59027777778101154</v>
      </c>
      <c r="H265">
        <v>3</v>
      </c>
      <c r="I265" t="s">
        <v>4</v>
      </c>
      <c r="J265" t="s">
        <v>10</v>
      </c>
      <c r="K265" t="s">
        <v>23</v>
      </c>
      <c r="L265">
        <v>57</v>
      </c>
      <c r="M265">
        <v>1.33</v>
      </c>
      <c r="N265">
        <v>0.69</v>
      </c>
      <c r="O265" t="s">
        <v>15</v>
      </c>
      <c r="P265">
        <v>79</v>
      </c>
      <c r="Q265">
        <v>163</v>
      </c>
      <c r="R265">
        <v>82</v>
      </c>
      <c r="S265">
        <v>40</v>
      </c>
      <c r="T265" t="s">
        <v>50</v>
      </c>
      <c r="U265">
        <f>IF(Cardiac_Table[[#This Row],[Patient Status at Discharge]]="Died", 1,0)</f>
        <v>0</v>
      </c>
      <c r="V265">
        <f>Cardiac_Table[[#This Row],[Risk of Death % (Model 1)]]/100</f>
        <v>1.3300000000000001E-2</v>
      </c>
      <c r="W265">
        <f>Cardiac_Table[[#This Row],[Risk of Death % (Model 2)]]/100</f>
        <v>6.8999999999999999E-3</v>
      </c>
      <c r="X265" s="18">
        <f>Cardiac_Table[[#This Row],[Procedure Start Date and Time]]-Cardiac_Table[[#This Row],[Hospital Admit Date ]]</f>
        <v>0.26458333333721384</v>
      </c>
    </row>
    <row r="266" spans="1:24" x14ac:dyDescent="0.35">
      <c r="A266">
        <v>270</v>
      </c>
      <c r="B266" s="9">
        <v>43893.348611111112</v>
      </c>
      <c r="C266" s="10">
        <f>INT(Cardiac_Table[[#This Row],[Hospital Admit Date ]])</f>
        <v>43893</v>
      </c>
      <c r="D266" s="11" t="str">
        <f t="shared" si="4"/>
        <v>08:22</v>
      </c>
      <c r="E266" s="9">
        <v>43893.611805555556</v>
      </c>
      <c r="F266" s="10">
        <f>INT(Cardiac_Table[[#This Row],[Procedure Start Date and Time]])</f>
        <v>43893</v>
      </c>
      <c r="G266" s="12">
        <f>MOD(Cardiac_Table[[#This Row],[Procedure Start Date and Time]],1)</f>
        <v>0.61180555555620231</v>
      </c>
      <c r="H266">
        <v>2</v>
      </c>
      <c r="I266" t="s">
        <v>4</v>
      </c>
      <c r="J266" t="s">
        <v>3</v>
      </c>
      <c r="K266" t="s">
        <v>28</v>
      </c>
      <c r="L266">
        <v>69</v>
      </c>
      <c r="M266">
        <v>3.98</v>
      </c>
      <c r="N266">
        <v>2.3199999999999998</v>
      </c>
      <c r="O266" t="s">
        <v>15</v>
      </c>
      <c r="P266">
        <v>94</v>
      </c>
      <c r="Q266">
        <v>172</v>
      </c>
      <c r="R266">
        <v>80</v>
      </c>
      <c r="S266">
        <v>25</v>
      </c>
      <c r="T266" t="s">
        <v>49</v>
      </c>
      <c r="U266">
        <f>IF(Cardiac_Table[[#This Row],[Patient Status at Discharge]]="Died", 1,0)</f>
        <v>0</v>
      </c>
      <c r="V266">
        <f>Cardiac_Table[[#This Row],[Risk of Death % (Model 1)]]/100</f>
        <v>3.9800000000000002E-2</v>
      </c>
      <c r="W266">
        <f>Cardiac_Table[[#This Row],[Risk of Death % (Model 2)]]/100</f>
        <v>2.3199999999999998E-2</v>
      </c>
      <c r="X266" s="18">
        <f>Cardiac_Table[[#This Row],[Procedure Start Date and Time]]-Cardiac_Table[[#This Row],[Hospital Admit Date ]]</f>
        <v>0.26319444444379769</v>
      </c>
    </row>
    <row r="267" spans="1:24" x14ac:dyDescent="0.35">
      <c r="A267">
        <v>271</v>
      </c>
      <c r="B267" s="9">
        <v>43893.335416666669</v>
      </c>
      <c r="C267" s="10">
        <f>INT(Cardiac_Table[[#This Row],[Hospital Admit Date ]])</f>
        <v>43893</v>
      </c>
      <c r="D267" s="11" t="str">
        <f t="shared" si="4"/>
        <v>08:03</v>
      </c>
      <c r="E267" s="9">
        <v>43893.625694444447</v>
      </c>
      <c r="F267" s="10">
        <f>INT(Cardiac_Table[[#This Row],[Procedure Start Date and Time]])</f>
        <v>43893</v>
      </c>
      <c r="G267" s="12">
        <f>MOD(Cardiac_Table[[#This Row],[Procedure Start Date and Time]],1)</f>
        <v>0.62569444444670808</v>
      </c>
      <c r="H267">
        <v>6</v>
      </c>
      <c r="I267" t="s">
        <v>4</v>
      </c>
      <c r="J267" t="s">
        <v>10</v>
      </c>
      <c r="K267" t="s">
        <v>25</v>
      </c>
      <c r="L267">
        <v>58</v>
      </c>
      <c r="M267">
        <v>0.88</v>
      </c>
      <c r="N267">
        <v>0.75</v>
      </c>
      <c r="O267" t="s">
        <v>15</v>
      </c>
      <c r="P267">
        <v>150</v>
      </c>
      <c r="Q267">
        <v>175</v>
      </c>
      <c r="R267">
        <v>88</v>
      </c>
      <c r="S267">
        <v>55</v>
      </c>
      <c r="T267" t="s">
        <v>48</v>
      </c>
      <c r="U267">
        <f>IF(Cardiac_Table[[#This Row],[Patient Status at Discharge]]="Died", 1,0)</f>
        <v>0</v>
      </c>
      <c r="V267">
        <f>Cardiac_Table[[#This Row],[Risk of Death % (Model 1)]]/100</f>
        <v>8.8000000000000005E-3</v>
      </c>
      <c r="W267">
        <f>Cardiac_Table[[#This Row],[Risk of Death % (Model 2)]]/100</f>
        <v>7.4999999999999997E-3</v>
      </c>
      <c r="X267" s="18">
        <f>Cardiac_Table[[#This Row],[Procedure Start Date and Time]]-Cardiac_Table[[#This Row],[Hospital Admit Date ]]</f>
        <v>0.29027777777810115</v>
      </c>
    </row>
    <row r="268" spans="1:24" x14ac:dyDescent="0.35">
      <c r="A268">
        <v>272</v>
      </c>
      <c r="B268" s="9">
        <v>43891.458333333336</v>
      </c>
      <c r="C268" s="10">
        <f>INT(Cardiac_Table[[#This Row],[Hospital Admit Date ]])</f>
        <v>43891</v>
      </c>
      <c r="D268" s="11" t="str">
        <f t="shared" si="4"/>
        <v>11:00</v>
      </c>
      <c r="E268" s="9">
        <v>43894.32916666667</v>
      </c>
      <c r="F268" s="10">
        <f>INT(Cardiac_Table[[#This Row],[Procedure Start Date and Time]])</f>
        <v>43894</v>
      </c>
      <c r="G268" s="12">
        <f>MOD(Cardiac_Table[[#This Row],[Procedure Start Date and Time]],1)</f>
        <v>0.32916666667006211</v>
      </c>
      <c r="H268">
        <v>6</v>
      </c>
      <c r="I268" t="s">
        <v>6</v>
      </c>
      <c r="J268" t="s">
        <v>10</v>
      </c>
      <c r="K268" t="s">
        <v>24</v>
      </c>
      <c r="L268">
        <v>70</v>
      </c>
      <c r="M268">
        <v>3.09</v>
      </c>
      <c r="N268">
        <v>1.43</v>
      </c>
      <c r="O268" t="s">
        <v>15</v>
      </c>
      <c r="P268">
        <v>106</v>
      </c>
      <c r="Q268">
        <v>143</v>
      </c>
      <c r="R268">
        <v>50</v>
      </c>
      <c r="S268">
        <v>54</v>
      </c>
      <c r="T268" t="s">
        <v>48</v>
      </c>
      <c r="U268">
        <f>IF(Cardiac_Table[[#This Row],[Patient Status at Discharge]]="Died", 1,0)</f>
        <v>0</v>
      </c>
      <c r="V268">
        <f>Cardiac_Table[[#This Row],[Risk of Death % (Model 1)]]/100</f>
        <v>3.0899999999999997E-2</v>
      </c>
      <c r="W268">
        <f>Cardiac_Table[[#This Row],[Risk of Death % (Model 2)]]/100</f>
        <v>1.43E-2</v>
      </c>
      <c r="X268" s="18">
        <f>Cardiac_Table[[#This Row],[Procedure Start Date and Time]]-Cardiac_Table[[#This Row],[Hospital Admit Date ]]</f>
        <v>2.8708333333343035</v>
      </c>
    </row>
    <row r="269" spans="1:24" x14ac:dyDescent="0.35">
      <c r="A269">
        <v>273</v>
      </c>
      <c r="B269" s="9">
        <v>43893.56527777778</v>
      </c>
      <c r="C269" s="10">
        <f>INT(Cardiac_Table[[#This Row],[Hospital Admit Date ]])</f>
        <v>43893</v>
      </c>
      <c r="D269" s="11" t="str">
        <f t="shared" si="4"/>
        <v>13:34</v>
      </c>
      <c r="E269" s="9">
        <v>43894.333333333336</v>
      </c>
      <c r="F269" s="10">
        <f>INT(Cardiac_Table[[#This Row],[Procedure Start Date and Time]])</f>
        <v>43894</v>
      </c>
      <c r="G269" s="12">
        <f>MOD(Cardiac_Table[[#This Row],[Procedure Start Date and Time]],1)</f>
        <v>0.33333333333575865</v>
      </c>
      <c r="H269">
        <v>3</v>
      </c>
      <c r="I269" t="s">
        <v>4</v>
      </c>
      <c r="J269" t="s">
        <v>10</v>
      </c>
      <c r="K269" t="s">
        <v>30</v>
      </c>
      <c r="L269">
        <v>74</v>
      </c>
      <c r="M269">
        <v>2.36</v>
      </c>
      <c r="N269">
        <v>0.83</v>
      </c>
      <c r="O269" t="s">
        <v>15</v>
      </c>
      <c r="P269">
        <v>72</v>
      </c>
      <c r="Q269">
        <v>175</v>
      </c>
      <c r="R269">
        <v>70</v>
      </c>
      <c r="S269">
        <v>55</v>
      </c>
      <c r="T269" t="s">
        <v>48</v>
      </c>
      <c r="U269">
        <f>IF(Cardiac_Table[[#This Row],[Patient Status at Discharge]]="Died", 1,0)</f>
        <v>0</v>
      </c>
      <c r="V269">
        <f>Cardiac_Table[[#This Row],[Risk of Death % (Model 1)]]/100</f>
        <v>2.3599999999999999E-2</v>
      </c>
      <c r="W269">
        <f>Cardiac_Table[[#This Row],[Risk of Death % (Model 2)]]/100</f>
        <v>8.3000000000000001E-3</v>
      </c>
      <c r="X269" s="18">
        <f>Cardiac_Table[[#This Row],[Procedure Start Date and Time]]-Cardiac_Table[[#This Row],[Hospital Admit Date ]]</f>
        <v>0.76805555555620231</v>
      </c>
    </row>
    <row r="270" spans="1:24" x14ac:dyDescent="0.35">
      <c r="A270">
        <v>274</v>
      </c>
      <c r="B270" s="9">
        <v>43885.427777777775</v>
      </c>
      <c r="C270" s="10">
        <f>INT(Cardiac_Table[[#This Row],[Hospital Admit Date ]])</f>
        <v>43885</v>
      </c>
      <c r="D270" s="11" t="str">
        <f t="shared" si="4"/>
        <v>10:16</v>
      </c>
      <c r="E270" s="9">
        <v>43894.34375</v>
      </c>
      <c r="F270" s="10">
        <f>INT(Cardiac_Table[[#This Row],[Procedure Start Date and Time]])</f>
        <v>43894</v>
      </c>
      <c r="G270" s="12">
        <f>MOD(Cardiac_Table[[#This Row],[Procedure Start Date and Time]],1)</f>
        <v>0.34375</v>
      </c>
      <c r="H270">
        <v>5</v>
      </c>
      <c r="I270" t="s">
        <v>6</v>
      </c>
      <c r="J270" t="s">
        <v>3</v>
      </c>
      <c r="K270" t="s">
        <v>35</v>
      </c>
      <c r="L270">
        <v>72</v>
      </c>
      <c r="M270">
        <v>12.83</v>
      </c>
      <c r="N270">
        <v>9.5399999999999991</v>
      </c>
      <c r="O270" t="s">
        <v>15</v>
      </c>
      <c r="P270">
        <v>85</v>
      </c>
      <c r="Q270">
        <v>172</v>
      </c>
      <c r="R270">
        <v>75</v>
      </c>
      <c r="S270">
        <v>53</v>
      </c>
      <c r="T270" t="s">
        <v>48</v>
      </c>
      <c r="U270">
        <f>IF(Cardiac_Table[[#This Row],[Patient Status at Discharge]]="Died", 1,0)</f>
        <v>0</v>
      </c>
      <c r="V270">
        <f>Cardiac_Table[[#This Row],[Risk of Death % (Model 1)]]/100</f>
        <v>0.1283</v>
      </c>
      <c r="W270">
        <f>Cardiac_Table[[#This Row],[Risk of Death % (Model 2)]]/100</f>
        <v>9.5399999999999985E-2</v>
      </c>
      <c r="X270" s="18">
        <f>Cardiac_Table[[#This Row],[Procedure Start Date and Time]]-Cardiac_Table[[#This Row],[Hospital Admit Date ]]</f>
        <v>8.9159722222248092</v>
      </c>
    </row>
    <row r="271" spans="1:24" x14ac:dyDescent="0.35">
      <c r="A271">
        <v>275</v>
      </c>
      <c r="B271" s="9">
        <v>43894.275000000001</v>
      </c>
      <c r="C271" s="10">
        <f>INT(Cardiac_Table[[#This Row],[Hospital Admit Date ]])</f>
        <v>43894</v>
      </c>
      <c r="D271" s="11" t="str">
        <f t="shared" si="4"/>
        <v>06:36</v>
      </c>
      <c r="E271" s="9">
        <v>43894.345138888886</v>
      </c>
      <c r="F271" s="10">
        <f>INT(Cardiac_Table[[#This Row],[Procedure Start Date and Time]])</f>
        <v>43894</v>
      </c>
      <c r="G271" s="12">
        <f>MOD(Cardiac_Table[[#This Row],[Procedure Start Date and Time]],1)</f>
        <v>0.34513888888614019</v>
      </c>
      <c r="H271">
        <v>2</v>
      </c>
      <c r="I271" t="s">
        <v>4</v>
      </c>
      <c r="J271" t="s">
        <v>3</v>
      </c>
      <c r="K271" t="s">
        <v>28</v>
      </c>
      <c r="L271">
        <v>67</v>
      </c>
      <c r="M271">
        <v>5.22</v>
      </c>
      <c r="N271">
        <v>3.58</v>
      </c>
      <c r="O271" t="s">
        <v>15</v>
      </c>
      <c r="P271">
        <v>120</v>
      </c>
      <c r="Q271">
        <v>174</v>
      </c>
      <c r="R271">
        <v>109</v>
      </c>
      <c r="S271">
        <v>68</v>
      </c>
      <c r="T271" t="s">
        <v>48</v>
      </c>
      <c r="U271">
        <f>IF(Cardiac_Table[[#This Row],[Patient Status at Discharge]]="Died", 1,0)</f>
        <v>0</v>
      </c>
      <c r="V271">
        <f>Cardiac_Table[[#This Row],[Risk of Death % (Model 1)]]/100</f>
        <v>5.2199999999999996E-2</v>
      </c>
      <c r="W271">
        <f>Cardiac_Table[[#This Row],[Risk of Death % (Model 2)]]/100</f>
        <v>3.5799999999999998E-2</v>
      </c>
      <c r="X271" s="18">
        <f>Cardiac_Table[[#This Row],[Procedure Start Date and Time]]-Cardiac_Table[[#This Row],[Hospital Admit Date ]]</f>
        <v>7.0138888884685002E-2</v>
      </c>
    </row>
    <row r="272" spans="1:24" x14ac:dyDescent="0.35">
      <c r="A272">
        <v>276</v>
      </c>
      <c r="B272" s="9">
        <v>43888.458333333336</v>
      </c>
      <c r="C272" s="10">
        <f>INT(Cardiac_Table[[#This Row],[Hospital Admit Date ]])</f>
        <v>43888</v>
      </c>
      <c r="D272" s="11" t="str">
        <f t="shared" si="4"/>
        <v>11:00</v>
      </c>
      <c r="E272" s="9">
        <v>43895.329861111109</v>
      </c>
      <c r="F272" s="10">
        <f>INT(Cardiac_Table[[#This Row],[Procedure Start Date and Time]])</f>
        <v>43895</v>
      </c>
      <c r="G272" s="12">
        <f>MOD(Cardiac_Table[[#This Row],[Procedure Start Date and Time]],1)</f>
        <v>0.32986111110949423</v>
      </c>
      <c r="H272">
        <v>6</v>
      </c>
      <c r="I272" t="s">
        <v>6</v>
      </c>
      <c r="J272" t="s">
        <v>1</v>
      </c>
      <c r="K272" t="s">
        <v>31</v>
      </c>
      <c r="L272">
        <v>61</v>
      </c>
      <c r="M272">
        <v>5.28</v>
      </c>
      <c r="N272">
        <v>3.08</v>
      </c>
      <c r="O272" t="s">
        <v>15</v>
      </c>
      <c r="P272">
        <v>74</v>
      </c>
      <c r="Q272">
        <v>148</v>
      </c>
      <c r="R272">
        <v>99</v>
      </c>
      <c r="S272">
        <v>62</v>
      </c>
      <c r="T272" t="s">
        <v>48</v>
      </c>
      <c r="U272">
        <f>IF(Cardiac_Table[[#This Row],[Patient Status at Discharge]]="Died", 1,0)</f>
        <v>0</v>
      </c>
      <c r="V272">
        <f>Cardiac_Table[[#This Row],[Risk of Death % (Model 1)]]/100</f>
        <v>5.28E-2</v>
      </c>
      <c r="W272">
        <f>Cardiac_Table[[#This Row],[Risk of Death % (Model 2)]]/100</f>
        <v>3.0800000000000001E-2</v>
      </c>
      <c r="X272" s="18">
        <f>Cardiac_Table[[#This Row],[Procedure Start Date and Time]]-Cardiac_Table[[#This Row],[Hospital Admit Date ]]</f>
        <v>6.8715277777737356</v>
      </c>
    </row>
    <row r="273" spans="1:24" x14ac:dyDescent="0.35">
      <c r="A273">
        <v>277</v>
      </c>
      <c r="B273" s="9">
        <v>43893.434027777781</v>
      </c>
      <c r="C273" s="10">
        <f>INT(Cardiac_Table[[#This Row],[Hospital Admit Date ]])</f>
        <v>43893</v>
      </c>
      <c r="D273" s="11" t="str">
        <f t="shared" si="4"/>
        <v>10:25</v>
      </c>
      <c r="E273" s="9">
        <v>43895.338194444441</v>
      </c>
      <c r="F273" s="10">
        <f>INT(Cardiac_Table[[#This Row],[Procedure Start Date and Time]])</f>
        <v>43895</v>
      </c>
      <c r="G273" s="12">
        <f>MOD(Cardiac_Table[[#This Row],[Procedure Start Date and Time]],1)</f>
        <v>0.33819444444088731</v>
      </c>
      <c r="H273">
        <v>2</v>
      </c>
      <c r="I273" t="s">
        <v>4</v>
      </c>
      <c r="J273" t="s">
        <v>10</v>
      </c>
      <c r="K273" t="s">
        <v>24</v>
      </c>
      <c r="L273">
        <v>69</v>
      </c>
      <c r="M273">
        <v>2.9</v>
      </c>
      <c r="N273">
        <v>2</v>
      </c>
      <c r="O273" t="s">
        <v>15</v>
      </c>
      <c r="P273">
        <v>65</v>
      </c>
      <c r="Q273">
        <v>190</v>
      </c>
      <c r="R273">
        <v>95</v>
      </c>
      <c r="S273">
        <v>45</v>
      </c>
      <c r="T273" t="s">
        <v>50</v>
      </c>
      <c r="U273">
        <f>IF(Cardiac_Table[[#This Row],[Patient Status at Discharge]]="Died", 1,0)</f>
        <v>0</v>
      </c>
      <c r="V273">
        <f>Cardiac_Table[[#This Row],[Risk of Death % (Model 1)]]/100</f>
        <v>2.8999999999999998E-2</v>
      </c>
      <c r="W273">
        <f>Cardiac_Table[[#This Row],[Risk of Death % (Model 2)]]/100</f>
        <v>0.02</v>
      </c>
      <c r="X273" s="18">
        <f>Cardiac_Table[[#This Row],[Procedure Start Date and Time]]-Cardiac_Table[[#This Row],[Hospital Admit Date ]]</f>
        <v>1.9041666666598758</v>
      </c>
    </row>
    <row r="274" spans="1:24" x14ac:dyDescent="0.35">
      <c r="A274">
        <v>278</v>
      </c>
      <c r="B274" s="9">
        <v>43894.451388888891</v>
      </c>
      <c r="C274" s="10">
        <f>INT(Cardiac_Table[[#This Row],[Hospital Admit Date ]])</f>
        <v>43894</v>
      </c>
      <c r="D274" s="11" t="str">
        <f t="shared" si="4"/>
        <v>10:50</v>
      </c>
      <c r="E274" s="9">
        <v>43895.581250000003</v>
      </c>
      <c r="F274" s="10">
        <f>INT(Cardiac_Table[[#This Row],[Procedure Start Date and Time]])</f>
        <v>43895</v>
      </c>
      <c r="G274" s="12">
        <f>MOD(Cardiac_Table[[#This Row],[Procedure Start Date and Time]],1)</f>
        <v>0.58125000000291038</v>
      </c>
      <c r="H274">
        <v>2</v>
      </c>
      <c r="I274" t="s">
        <v>6</v>
      </c>
      <c r="J274" t="s">
        <v>10</v>
      </c>
      <c r="K274" t="s">
        <v>24</v>
      </c>
      <c r="L274">
        <v>76</v>
      </c>
      <c r="M274">
        <v>6.22</v>
      </c>
      <c r="N274">
        <v>1.56</v>
      </c>
      <c r="O274" t="s">
        <v>15</v>
      </c>
      <c r="P274">
        <v>82</v>
      </c>
      <c r="Q274">
        <v>172</v>
      </c>
      <c r="R274">
        <v>80</v>
      </c>
      <c r="S274">
        <v>45</v>
      </c>
      <c r="T274" t="s">
        <v>50</v>
      </c>
      <c r="U274">
        <f>IF(Cardiac_Table[[#This Row],[Patient Status at Discharge]]="Died", 1,0)</f>
        <v>0</v>
      </c>
      <c r="V274">
        <f>Cardiac_Table[[#This Row],[Risk of Death % (Model 1)]]/100</f>
        <v>6.2199999999999998E-2</v>
      </c>
      <c r="W274">
        <f>Cardiac_Table[[#This Row],[Risk of Death % (Model 2)]]/100</f>
        <v>1.5600000000000001E-2</v>
      </c>
      <c r="X274" s="18">
        <f>Cardiac_Table[[#This Row],[Procedure Start Date and Time]]-Cardiac_Table[[#This Row],[Hospital Admit Date ]]</f>
        <v>1.1298611111124046</v>
      </c>
    </row>
    <row r="275" spans="1:24" x14ac:dyDescent="0.35">
      <c r="A275">
        <v>279</v>
      </c>
      <c r="B275" s="9">
        <v>43895.572916666664</v>
      </c>
      <c r="C275" s="10">
        <f>INT(Cardiac_Table[[#This Row],[Hospital Admit Date ]])</f>
        <v>43895</v>
      </c>
      <c r="D275" s="11" t="str">
        <f t="shared" si="4"/>
        <v>13:45</v>
      </c>
      <c r="E275" s="9">
        <v>43896.333333333336</v>
      </c>
      <c r="F275" s="10">
        <f>INT(Cardiac_Table[[#This Row],[Procedure Start Date and Time]])</f>
        <v>43896</v>
      </c>
      <c r="G275" s="12">
        <f>MOD(Cardiac_Table[[#This Row],[Procedure Start Date and Time]],1)</f>
        <v>0.33333333333575865</v>
      </c>
      <c r="H275">
        <v>5</v>
      </c>
      <c r="I275" t="s">
        <v>4</v>
      </c>
      <c r="J275" t="s">
        <v>11</v>
      </c>
      <c r="K275" t="s">
        <v>22</v>
      </c>
      <c r="L275">
        <v>77</v>
      </c>
      <c r="M275">
        <v>4.83</v>
      </c>
      <c r="N275">
        <v>3.77</v>
      </c>
      <c r="O275" t="s">
        <v>15</v>
      </c>
      <c r="P275">
        <v>62</v>
      </c>
      <c r="Q275">
        <v>165</v>
      </c>
      <c r="R275">
        <v>65</v>
      </c>
      <c r="S275">
        <v>52</v>
      </c>
      <c r="T275" t="s">
        <v>48</v>
      </c>
      <c r="U275">
        <f>IF(Cardiac_Table[[#This Row],[Patient Status at Discharge]]="Died", 1,0)</f>
        <v>0</v>
      </c>
      <c r="V275">
        <f>Cardiac_Table[[#This Row],[Risk of Death % (Model 1)]]/100</f>
        <v>4.8300000000000003E-2</v>
      </c>
      <c r="W275">
        <f>Cardiac_Table[[#This Row],[Risk of Death % (Model 2)]]/100</f>
        <v>3.7699999999999997E-2</v>
      </c>
      <c r="X275" s="18">
        <f>Cardiac_Table[[#This Row],[Procedure Start Date and Time]]-Cardiac_Table[[#This Row],[Hospital Admit Date ]]</f>
        <v>0.76041666667151731</v>
      </c>
    </row>
    <row r="276" spans="1:24" x14ac:dyDescent="0.35">
      <c r="A276">
        <v>280</v>
      </c>
      <c r="B276" s="9">
        <v>43895.450694444444</v>
      </c>
      <c r="C276" s="10">
        <f>INT(Cardiac_Table[[#This Row],[Hospital Admit Date ]])</f>
        <v>43895</v>
      </c>
      <c r="D276" s="11" t="str">
        <f t="shared" si="4"/>
        <v>10:49</v>
      </c>
      <c r="E276" s="9">
        <v>43896.34097222222</v>
      </c>
      <c r="F276" s="10">
        <f>INT(Cardiac_Table[[#This Row],[Procedure Start Date and Time]])</f>
        <v>43896</v>
      </c>
      <c r="G276" s="12">
        <f>MOD(Cardiac_Table[[#This Row],[Procedure Start Date and Time]],1)</f>
        <v>0.34097222222044365</v>
      </c>
      <c r="H276">
        <v>3</v>
      </c>
      <c r="I276" t="s">
        <v>4</v>
      </c>
      <c r="J276" t="s">
        <v>1</v>
      </c>
      <c r="K276" t="s">
        <v>23</v>
      </c>
      <c r="L276">
        <v>53</v>
      </c>
      <c r="M276">
        <v>6.35</v>
      </c>
      <c r="N276">
        <v>2.04</v>
      </c>
      <c r="O276" t="s">
        <v>15</v>
      </c>
      <c r="P276">
        <v>76</v>
      </c>
      <c r="Q276">
        <v>165</v>
      </c>
      <c r="R276">
        <v>95</v>
      </c>
      <c r="S276">
        <v>12</v>
      </c>
      <c r="T276" t="s">
        <v>51</v>
      </c>
      <c r="U276">
        <f>IF(Cardiac_Table[[#This Row],[Patient Status at Discharge]]="Died", 1,0)</f>
        <v>0</v>
      </c>
      <c r="V276">
        <f>Cardiac_Table[[#This Row],[Risk of Death % (Model 1)]]/100</f>
        <v>6.3500000000000001E-2</v>
      </c>
      <c r="W276">
        <f>Cardiac_Table[[#This Row],[Risk of Death % (Model 2)]]/100</f>
        <v>2.0400000000000001E-2</v>
      </c>
      <c r="X276" s="18">
        <f>Cardiac_Table[[#This Row],[Procedure Start Date and Time]]-Cardiac_Table[[#This Row],[Hospital Admit Date ]]</f>
        <v>0.89027777777664596</v>
      </c>
    </row>
    <row r="277" spans="1:24" x14ac:dyDescent="0.35">
      <c r="A277">
        <v>281</v>
      </c>
      <c r="B277" s="9">
        <v>43892.458333333336</v>
      </c>
      <c r="C277" s="10">
        <f>INT(Cardiac_Table[[#This Row],[Hospital Admit Date ]])</f>
        <v>43892</v>
      </c>
      <c r="D277" s="11" t="str">
        <f t="shared" si="4"/>
        <v>11:00</v>
      </c>
      <c r="E277" s="9">
        <v>43896.395833333336</v>
      </c>
      <c r="F277" s="10">
        <f>INT(Cardiac_Table[[#This Row],[Procedure Start Date and Time]])</f>
        <v>43896</v>
      </c>
      <c r="G277" s="12">
        <f>MOD(Cardiac_Table[[#This Row],[Procedure Start Date and Time]],1)</f>
        <v>0.39583333333575865</v>
      </c>
      <c r="H277">
        <v>6</v>
      </c>
      <c r="I277" t="s">
        <v>6</v>
      </c>
      <c r="J277" t="s">
        <v>11</v>
      </c>
      <c r="K277" t="s">
        <v>31</v>
      </c>
      <c r="L277">
        <v>77</v>
      </c>
      <c r="M277">
        <v>11.75</v>
      </c>
      <c r="N277">
        <v>5.61</v>
      </c>
      <c r="O277" t="s">
        <v>15</v>
      </c>
      <c r="P277">
        <v>65</v>
      </c>
      <c r="Q277">
        <v>173</v>
      </c>
      <c r="R277">
        <v>87</v>
      </c>
      <c r="S277">
        <v>36</v>
      </c>
      <c r="T277" t="s">
        <v>50</v>
      </c>
      <c r="U277">
        <f>IF(Cardiac_Table[[#This Row],[Patient Status at Discharge]]="Died", 1,0)</f>
        <v>0</v>
      </c>
      <c r="V277">
        <f>Cardiac_Table[[#This Row],[Risk of Death % (Model 1)]]/100</f>
        <v>0.11749999999999999</v>
      </c>
      <c r="W277">
        <f>Cardiac_Table[[#This Row],[Risk of Death % (Model 2)]]/100</f>
        <v>5.6100000000000004E-2</v>
      </c>
      <c r="X277" s="18">
        <f>Cardiac_Table[[#This Row],[Procedure Start Date and Time]]-Cardiac_Table[[#This Row],[Hospital Admit Date ]]</f>
        <v>3.9375</v>
      </c>
    </row>
    <row r="278" spans="1:24" x14ac:dyDescent="0.35">
      <c r="A278">
        <v>282</v>
      </c>
      <c r="B278" s="9">
        <v>43895.463194444441</v>
      </c>
      <c r="C278" s="10">
        <f>INT(Cardiac_Table[[#This Row],[Hospital Admit Date ]])</f>
        <v>43895</v>
      </c>
      <c r="D278" s="11" t="str">
        <f t="shared" si="4"/>
        <v>11:07</v>
      </c>
      <c r="E278" s="9">
        <v>43896.521527777775</v>
      </c>
      <c r="F278" s="10">
        <f>INT(Cardiac_Table[[#This Row],[Procedure Start Date and Time]])</f>
        <v>43896</v>
      </c>
      <c r="G278" s="12">
        <f>MOD(Cardiac_Table[[#This Row],[Procedure Start Date and Time]],1)</f>
        <v>0.52152777777519077</v>
      </c>
      <c r="H278">
        <v>3</v>
      </c>
      <c r="I278" t="s">
        <v>4</v>
      </c>
      <c r="J278" t="s">
        <v>10</v>
      </c>
      <c r="K278" t="s">
        <v>23</v>
      </c>
      <c r="L278">
        <v>66</v>
      </c>
      <c r="M278">
        <v>1.4</v>
      </c>
      <c r="N278">
        <v>0.66</v>
      </c>
      <c r="O278" t="s">
        <v>15</v>
      </c>
      <c r="P278">
        <v>61</v>
      </c>
      <c r="Q278">
        <v>169</v>
      </c>
      <c r="R278">
        <v>125</v>
      </c>
      <c r="S278">
        <v>60</v>
      </c>
      <c r="T278" t="s">
        <v>48</v>
      </c>
      <c r="U278">
        <f>IF(Cardiac_Table[[#This Row],[Patient Status at Discharge]]="Died", 1,0)</f>
        <v>0</v>
      </c>
      <c r="V278">
        <f>Cardiac_Table[[#This Row],[Risk of Death % (Model 1)]]/100</f>
        <v>1.3999999999999999E-2</v>
      </c>
      <c r="W278">
        <f>Cardiac_Table[[#This Row],[Risk of Death % (Model 2)]]/100</f>
        <v>6.6E-3</v>
      </c>
      <c r="X278" s="18">
        <f>Cardiac_Table[[#This Row],[Procedure Start Date and Time]]-Cardiac_Table[[#This Row],[Hospital Admit Date ]]</f>
        <v>1.0583333333343035</v>
      </c>
    </row>
    <row r="279" spans="1:24" x14ac:dyDescent="0.35">
      <c r="A279">
        <v>283</v>
      </c>
      <c r="B279" s="9">
        <v>43896.337500000001</v>
      </c>
      <c r="C279" s="10">
        <f>INT(Cardiac_Table[[#This Row],[Hospital Admit Date ]])</f>
        <v>43896</v>
      </c>
      <c r="D279" s="11" t="str">
        <f t="shared" si="4"/>
        <v>08:06</v>
      </c>
      <c r="E279" s="9">
        <v>43896.541666666664</v>
      </c>
      <c r="F279" s="10">
        <f>INT(Cardiac_Table[[#This Row],[Procedure Start Date and Time]])</f>
        <v>43896</v>
      </c>
      <c r="G279" s="12">
        <f>MOD(Cardiac_Table[[#This Row],[Procedure Start Date and Time]],1)</f>
        <v>0.54166666666424135</v>
      </c>
      <c r="H279">
        <v>5</v>
      </c>
      <c r="I279" t="s">
        <v>4</v>
      </c>
      <c r="J279" t="s">
        <v>11</v>
      </c>
      <c r="K279" t="s">
        <v>22</v>
      </c>
      <c r="L279">
        <v>59</v>
      </c>
      <c r="M279">
        <v>2.27</v>
      </c>
      <c r="N279">
        <v>1.98</v>
      </c>
      <c r="O279" t="s">
        <v>15</v>
      </c>
      <c r="P279">
        <v>83</v>
      </c>
      <c r="Q279">
        <v>165</v>
      </c>
      <c r="R279">
        <v>78</v>
      </c>
      <c r="S279">
        <v>50</v>
      </c>
      <c r="T279" t="s">
        <v>50</v>
      </c>
      <c r="U279">
        <f>IF(Cardiac_Table[[#This Row],[Patient Status at Discharge]]="Died", 1,0)</f>
        <v>0</v>
      </c>
      <c r="V279">
        <f>Cardiac_Table[[#This Row],[Risk of Death % (Model 1)]]/100</f>
        <v>2.2700000000000001E-2</v>
      </c>
      <c r="W279">
        <f>Cardiac_Table[[#This Row],[Risk of Death % (Model 2)]]/100</f>
        <v>1.9799999999999998E-2</v>
      </c>
      <c r="X279" s="18">
        <f>Cardiac_Table[[#This Row],[Procedure Start Date and Time]]-Cardiac_Table[[#This Row],[Hospital Admit Date ]]</f>
        <v>0.20416666666278616</v>
      </c>
    </row>
    <row r="280" spans="1:24" x14ac:dyDescent="0.35">
      <c r="A280">
        <v>284</v>
      </c>
      <c r="B280" s="9">
        <v>43896.622916666667</v>
      </c>
      <c r="C280" s="10">
        <f>INT(Cardiac_Table[[#This Row],[Hospital Admit Date ]])</f>
        <v>43896</v>
      </c>
      <c r="D280" s="11" t="str">
        <f t="shared" si="4"/>
        <v>14:57</v>
      </c>
      <c r="E280" s="9">
        <v>43897.333333333336</v>
      </c>
      <c r="F280" s="10">
        <f>INT(Cardiac_Table[[#This Row],[Procedure Start Date and Time]])</f>
        <v>43897</v>
      </c>
      <c r="G280" s="12">
        <f>MOD(Cardiac_Table[[#This Row],[Procedure Start Date and Time]],1)</f>
        <v>0.33333333333575865</v>
      </c>
      <c r="H280">
        <v>2</v>
      </c>
      <c r="I280" t="s">
        <v>4</v>
      </c>
      <c r="J280" t="s">
        <v>3</v>
      </c>
      <c r="K280" t="s">
        <v>30</v>
      </c>
      <c r="L280">
        <v>52</v>
      </c>
      <c r="M280">
        <v>4.38</v>
      </c>
      <c r="N280">
        <v>1.67</v>
      </c>
      <c r="O280" t="s">
        <v>15</v>
      </c>
      <c r="P280">
        <v>105</v>
      </c>
      <c r="Q280">
        <v>161</v>
      </c>
      <c r="R280">
        <v>46</v>
      </c>
      <c r="S280">
        <v>60</v>
      </c>
      <c r="T280" t="s">
        <v>48</v>
      </c>
      <c r="U280">
        <f>IF(Cardiac_Table[[#This Row],[Patient Status at Discharge]]="Died", 1,0)</f>
        <v>0</v>
      </c>
      <c r="V280">
        <f>Cardiac_Table[[#This Row],[Risk of Death % (Model 1)]]/100</f>
        <v>4.3799999999999999E-2</v>
      </c>
      <c r="W280">
        <f>Cardiac_Table[[#This Row],[Risk of Death % (Model 2)]]/100</f>
        <v>1.67E-2</v>
      </c>
      <c r="X280" s="18">
        <f>Cardiac_Table[[#This Row],[Procedure Start Date and Time]]-Cardiac_Table[[#This Row],[Hospital Admit Date ]]</f>
        <v>0.71041666666860692</v>
      </c>
    </row>
    <row r="281" spans="1:24" x14ac:dyDescent="0.35">
      <c r="A281">
        <v>285</v>
      </c>
      <c r="B281" s="9">
        <v>43896.606249999997</v>
      </c>
      <c r="C281" s="10">
        <f>INT(Cardiac_Table[[#This Row],[Hospital Admit Date ]])</f>
        <v>43896</v>
      </c>
      <c r="D281" s="11" t="str">
        <f t="shared" si="4"/>
        <v>14:33</v>
      </c>
      <c r="E281" s="9">
        <v>43897.336805555555</v>
      </c>
      <c r="F281" s="10">
        <f>INT(Cardiac_Table[[#This Row],[Procedure Start Date and Time]])</f>
        <v>43897</v>
      </c>
      <c r="G281" s="12">
        <f>MOD(Cardiac_Table[[#This Row],[Procedure Start Date and Time]],1)</f>
        <v>0.33680555555474712</v>
      </c>
      <c r="H281">
        <v>5</v>
      </c>
      <c r="I281" t="s">
        <v>4</v>
      </c>
      <c r="J281" t="s">
        <v>1</v>
      </c>
      <c r="K281" t="s">
        <v>22</v>
      </c>
      <c r="L281">
        <v>69</v>
      </c>
      <c r="M281">
        <v>19.12</v>
      </c>
      <c r="N281">
        <v>5.71</v>
      </c>
      <c r="O281" t="s">
        <v>15</v>
      </c>
      <c r="P281">
        <v>78</v>
      </c>
      <c r="Q281">
        <v>154</v>
      </c>
      <c r="R281">
        <v>85</v>
      </c>
      <c r="S281">
        <v>51</v>
      </c>
      <c r="T281" t="s">
        <v>48</v>
      </c>
      <c r="U281">
        <f>IF(Cardiac_Table[[#This Row],[Patient Status at Discharge]]="Died", 1,0)</f>
        <v>0</v>
      </c>
      <c r="V281">
        <f>Cardiac_Table[[#This Row],[Risk of Death % (Model 1)]]/100</f>
        <v>0.19120000000000001</v>
      </c>
      <c r="W281">
        <f>Cardiac_Table[[#This Row],[Risk of Death % (Model 2)]]/100</f>
        <v>5.7099999999999998E-2</v>
      </c>
      <c r="X281" s="18">
        <f>Cardiac_Table[[#This Row],[Procedure Start Date and Time]]-Cardiac_Table[[#This Row],[Hospital Admit Date ]]</f>
        <v>0.7305555555576575</v>
      </c>
    </row>
    <row r="282" spans="1:24" x14ac:dyDescent="0.35">
      <c r="A282">
        <v>286</v>
      </c>
      <c r="B282" s="9">
        <v>43896.584722222222</v>
      </c>
      <c r="C282" s="10">
        <f>INT(Cardiac_Table[[#This Row],[Hospital Admit Date ]])</f>
        <v>43896</v>
      </c>
      <c r="D282" s="11" t="str">
        <f t="shared" si="4"/>
        <v>14:02</v>
      </c>
      <c r="E282" s="9">
        <v>43897.49722222222</v>
      </c>
      <c r="F282" s="10">
        <f>INT(Cardiac_Table[[#This Row],[Procedure Start Date and Time]])</f>
        <v>43897</v>
      </c>
      <c r="G282" s="12">
        <f>MOD(Cardiac_Table[[#This Row],[Procedure Start Date and Time]],1)</f>
        <v>0.49722222222044365</v>
      </c>
      <c r="H282">
        <v>2</v>
      </c>
      <c r="I282" t="s">
        <v>4</v>
      </c>
      <c r="J282" t="s">
        <v>10</v>
      </c>
      <c r="K282" t="s">
        <v>30</v>
      </c>
      <c r="L282">
        <v>76</v>
      </c>
      <c r="M282">
        <v>5.61</v>
      </c>
      <c r="N282">
        <v>1.75</v>
      </c>
      <c r="O282" t="s">
        <v>15</v>
      </c>
      <c r="P282">
        <v>81</v>
      </c>
      <c r="Q282">
        <v>181</v>
      </c>
      <c r="R282">
        <v>93</v>
      </c>
      <c r="S282">
        <v>56</v>
      </c>
      <c r="T282" t="s">
        <v>48</v>
      </c>
      <c r="U282">
        <f>IF(Cardiac_Table[[#This Row],[Patient Status at Discharge]]="Died", 1,0)</f>
        <v>0</v>
      </c>
      <c r="V282">
        <f>Cardiac_Table[[#This Row],[Risk of Death % (Model 1)]]/100</f>
        <v>5.6100000000000004E-2</v>
      </c>
      <c r="W282">
        <f>Cardiac_Table[[#This Row],[Risk of Death % (Model 2)]]/100</f>
        <v>1.7500000000000002E-2</v>
      </c>
      <c r="X282" s="18">
        <f>Cardiac_Table[[#This Row],[Procedure Start Date and Time]]-Cardiac_Table[[#This Row],[Hospital Admit Date ]]</f>
        <v>0.91249999999854481</v>
      </c>
    </row>
    <row r="283" spans="1:24" x14ac:dyDescent="0.35">
      <c r="A283">
        <v>287</v>
      </c>
      <c r="B283" s="9">
        <v>43887.541666666664</v>
      </c>
      <c r="C283" s="10">
        <f>INT(Cardiac_Table[[#This Row],[Hospital Admit Date ]])</f>
        <v>43887</v>
      </c>
      <c r="D283" s="11" t="str">
        <f t="shared" si="4"/>
        <v>13:00</v>
      </c>
      <c r="E283" s="9">
        <v>43899.340277777781</v>
      </c>
      <c r="F283" s="10">
        <f>INT(Cardiac_Table[[#This Row],[Procedure Start Date and Time]])</f>
        <v>43899</v>
      </c>
      <c r="G283" s="12">
        <f>MOD(Cardiac_Table[[#This Row],[Procedure Start Date and Time]],1)</f>
        <v>0.34027777778101154</v>
      </c>
      <c r="H283">
        <v>5</v>
      </c>
      <c r="I283" t="s">
        <v>6</v>
      </c>
      <c r="J283" t="s">
        <v>10</v>
      </c>
      <c r="K283" t="s">
        <v>32</v>
      </c>
      <c r="L283">
        <v>69</v>
      </c>
      <c r="M283">
        <v>3.99</v>
      </c>
      <c r="N283">
        <v>1.28</v>
      </c>
      <c r="O283" t="s">
        <v>15</v>
      </c>
      <c r="P283">
        <v>76</v>
      </c>
      <c r="Q283">
        <v>169</v>
      </c>
      <c r="R283">
        <v>83</v>
      </c>
      <c r="S283">
        <v>60</v>
      </c>
      <c r="T283" t="s">
        <v>48</v>
      </c>
      <c r="U283">
        <f>IF(Cardiac_Table[[#This Row],[Patient Status at Discharge]]="Died", 1,0)</f>
        <v>0</v>
      </c>
      <c r="V283">
        <f>Cardiac_Table[[#This Row],[Risk of Death % (Model 1)]]/100</f>
        <v>3.9900000000000005E-2</v>
      </c>
      <c r="W283">
        <f>Cardiac_Table[[#This Row],[Risk of Death % (Model 2)]]/100</f>
        <v>1.2800000000000001E-2</v>
      </c>
      <c r="X283" s="18">
        <f>Cardiac_Table[[#This Row],[Procedure Start Date and Time]]-Cardiac_Table[[#This Row],[Hospital Admit Date ]]</f>
        <v>11.79861111111677</v>
      </c>
    </row>
    <row r="284" spans="1:24" x14ac:dyDescent="0.35">
      <c r="A284">
        <v>288</v>
      </c>
      <c r="B284" s="9">
        <v>43898.583333333336</v>
      </c>
      <c r="C284" s="10">
        <f>INT(Cardiac_Table[[#This Row],[Hospital Admit Date ]])</f>
        <v>43898</v>
      </c>
      <c r="D284" s="11" t="str">
        <f t="shared" si="4"/>
        <v>14:00</v>
      </c>
      <c r="E284" s="9">
        <v>43899.34375</v>
      </c>
      <c r="F284" s="10">
        <f>INT(Cardiac_Table[[#This Row],[Procedure Start Date and Time]])</f>
        <v>43899</v>
      </c>
      <c r="G284" s="12">
        <f>MOD(Cardiac_Table[[#This Row],[Procedure Start Date and Time]],1)</f>
        <v>0.34375</v>
      </c>
      <c r="H284">
        <v>2</v>
      </c>
      <c r="I284" t="s">
        <v>4</v>
      </c>
      <c r="J284" t="s">
        <v>10</v>
      </c>
      <c r="K284" t="s">
        <v>31</v>
      </c>
      <c r="L284">
        <v>82</v>
      </c>
      <c r="M284">
        <v>3.95</v>
      </c>
      <c r="N284">
        <v>1.04</v>
      </c>
      <c r="O284" t="s">
        <v>15</v>
      </c>
      <c r="P284">
        <v>84</v>
      </c>
      <c r="Q284">
        <v>171</v>
      </c>
      <c r="R284">
        <v>77</v>
      </c>
      <c r="S284">
        <v>10</v>
      </c>
      <c r="T284" t="s">
        <v>51</v>
      </c>
      <c r="U284">
        <f>IF(Cardiac_Table[[#This Row],[Patient Status at Discharge]]="Died", 1,0)</f>
        <v>0</v>
      </c>
      <c r="V284">
        <f>Cardiac_Table[[#This Row],[Risk of Death % (Model 1)]]/100</f>
        <v>3.95E-2</v>
      </c>
      <c r="W284">
        <f>Cardiac_Table[[#This Row],[Risk of Death % (Model 2)]]/100</f>
        <v>1.04E-2</v>
      </c>
      <c r="X284" s="18">
        <f>Cardiac_Table[[#This Row],[Procedure Start Date and Time]]-Cardiac_Table[[#This Row],[Hospital Admit Date ]]</f>
        <v>0.76041666666424135</v>
      </c>
    </row>
    <row r="285" spans="1:24" x14ac:dyDescent="0.35">
      <c r="A285">
        <v>289</v>
      </c>
      <c r="B285" s="9">
        <v>43898.583333333336</v>
      </c>
      <c r="C285" s="10">
        <f>INT(Cardiac_Table[[#This Row],[Hospital Admit Date ]])</f>
        <v>43898</v>
      </c>
      <c r="D285" s="11" t="str">
        <f t="shared" si="4"/>
        <v>14:00</v>
      </c>
      <c r="E285" s="9">
        <v>43899.349305555559</v>
      </c>
      <c r="F285" s="10">
        <f>INT(Cardiac_Table[[#This Row],[Procedure Start Date and Time]])</f>
        <v>43899</v>
      </c>
      <c r="G285" s="12">
        <f>MOD(Cardiac_Table[[#This Row],[Procedure Start Date and Time]],1)</f>
        <v>0.34930555555911269</v>
      </c>
      <c r="H285">
        <v>6</v>
      </c>
      <c r="I285" t="s">
        <v>4</v>
      </c>
      <c r="J285" t="s">
        <v>10</v>
      </c>
      <c r="K285" t="s">
        <v>23</v>
      </c>
      <c r="L285">
        <v>83</v>
      </c>
      <c r="M285">
        <v>4.21</v>
      </c>
      <c r="N285">
        <v>0.96</v>
      </c>
      <c r="O285" t="s">
        <v>15</v>
      </c>
      <c r="P285">
        <v>99</v>
      </c>
      <c r="Q285">
        <v>169</v>
      </c>
      <c r="R285">
        <v>91</v>
      </c>
      <c r="S285">
        <v>60</v>
      </c>
      <c r="T285" t="s">
        <v>48</v>
      </c>
      <c r="U285">
        <f>IF(Cardiac_Table[[#This Row],[Patient Status at Discharge]]="Died", 1,0)</f>
        <v>0</v>
      </c>
      <c r="V285">
        <f>Cardiac_Table[[#This Row],[Risk of Death % (Model 1)]]/100</f>
        <v>4.2099999999999999E-2</v>
      </c>
      <c r="W285">
        <f>Cardiac_Table[[#This Row],[Risk of Death % (Model 2)]]/100</f>
        <v>9.5999999999999992E-3</v>
      </c>
      <c r="X285" s="18">
        <f>Cardiac_Table[[#This Row],[Procedure Start Date and Time]]-Cardiac_Table[[#This Row],[Hospital Admit Date ]]</f>
        <v>0.76597222222335404</v>
      </c>
    </row>
    <row r="286" spans="1:24" x14ac:dyDescent="0.35">
      <c r="A286">
        <v>290</v>
      </c>
      <c r="B286" s="9">
        <v>43898.541666666664</v>
      </c>
      <c r="C286" s="10">
        <f>INT(Cardiac_Table[[#This Row],[Hospital Admit Date ]])</f>
        <v>43898</v>
      </c>
      <c r="D286" s="11" t="str">
        <f t="shared" si="4"/>
        <v>13:00</v>
      </c>
      <c r="E286" s="9">
        <v>43899.427083333336</v>
      </c>
      <c r="F286" s="10">
        <f>INT(Cardiac_Table[[#This Row],[Procedure Start Date and Time]])</f>
        <v>43899</v>
      </c>
      <c r="G286" s="12">
        <f>MOD(Cardiac_Table[[#This Row],[Procedure Start Date and Time]],1)</f>
        <v>0.42708333333575865</v>
      </c>
      <c r="H286">
        <v>3</v>
      </c>
      <c r="I286" t="s">
        <v>4</v>
      </c>
      <c r="J286" t="s">
        <v>11</v>
      </c>
      <c r="K286" t="s">
        <v>33</v>
      </c>
      <c r="L286">
        <v>66</v>
      </c>
      <c r="M286">
        <v>3.57</v>
      </c>
      <c r="N286">
        <v>1.87</v>
      </c>
      <c r="O286" t="s">
        <v>15</v>
      </c>
      <c r="P286">
        <v>66</v>
      </c>
      <c r="Q286">
        <v>173</v>
      </c>
      <c r="R286">
        <v>77</v>
      </c>
      <c r="S286">
        <v>35</v>
      </c>
      <c r="T286" t="s">
        <v>50</v>
      </c>
      <c r="U286">
        <f>IF(Cardiac_Table[[#This Row],[Patient Status at Discharge]]="Died", 1,0)</f>
        <v>0</v>
      </c>
      <c r="V286">
        <f>Cardiac_Table[[#This Row],[Risk of Death % (Model 1)]]/100</f>
        <v>3.5699999999999996E-2</v>
      </c>
      <c r="W286">
        <f>Cardiac_Table[[#This Row],[Risk of Death % (Model 2)]]/100</f>
        <v>1.8700000000000001E-2</v>
      </c>
      <c r="X286" s="18">
        <f>Cardiac_Table[[#This Row],[Procedure Start Date and Time]]-Cardiac_Table[[#This Row],[Hospital Admit Date ]]</f>
        <v>0.88541666667151731</v>
      </c>
    </row>
    <row r="287" spans="1:24" x14ac:dyDescent="0.35">
      <c r="A287">
        <v>291</v>
      </c>
      <c r="B287" s="9">
        <v>43898.458333333336</v>
      </c>
      <c r="C287" s="10">
        <f>INT(Cardiac_Table[[#This Row],[Hospital Admit Date ]])</f>
        <v>43898</v>
      </c>
      <c r="D287" s="11" t="str">
        <f t="shared" si="4"/>
        <v>11:00</v>
      </c>
      <c r="E287" s="9">
        <v>43899.493055555555</v>
      </c>
      <c r="F287" s="10">
        <f>INT(Cardiac_Table[[#This Row],[Procedure Start Date and Time]])</f>
        <v>43899</v>
      </c>
      <c r="G287" s="12">
        <f>MOD(Cardiac_Table[[#This Row],[Procedure Start Date and Time]],1)</f>
        <v>0.49305555555474712</v>
      </c>
      <c r="H287">
        <v>2</v>
      </c>
      <c r="I287" t="s">
        <v>6</v>
      </c>
      <c r="J287" t="s">
        <v>11</v>
      </c>
      <c r="K287" t="s">
        <v>31</v>
      </c>
      <c r="L287">
        <v>80</v>
      </c>
      <c r="M287">
        <v>24.21</v>
      </c>
      <c r="N287">
        <v>5.8</v>
      </c>
      <c r="O287" t="s">
        <v>15</v>
      </c>
      <c r="P287">
        <v>103</v>
      </c>
      <c r="Q287">
        <v>175</v>
      </c>
      <c r="R287">
        <v>82</v>
      </c>
      <c r="S287">
        <v>42</v>
      </c>
      <c r="T287" t="s">
        <v>50</v>
      </c>
      <c r="U287">
        <f>IF(Cardiac_Table[[#This Row],[Patient Status at Discharge]]="Died", 1,0)</f>
        <v>0</v>
      </c>
      <c r="V287">
        <f>Cardiac_Table[[#This Row],[Risk of Death % (Model 1)]]/100</f>
        <v>0.24210000000000001</v>
      </c>
      <c r="W287">
        <f>Cardiac_Table[[#This Row],[Risk of Death % (Model 2)]]/100</f>
        <v>5.7999999999999996E-2</v>
      </c>
      <c r="X287" s="18">
        <f>Cardiac_Table[[#This Row],[Procedure Start Date and Time]]-Cardiac_Table[[#This Row],[Hospital Admit Date ]]</f>
        <v>1.0347222222189885</v>
      </c>
    </row>
    <row r="288" spans="1:24" x14ac:dyDescent="0.35">
      <c r="A288">
        <v>292</v>
      </c>
      <c r="B288" s="9">
        <v>43899.333333333336</v>
      </c>
      <c r="C288" s="10">
        <f>INT(Cardiac_Table[[#This Row],[Hospital Admit Date ]])</f>
        <v>43899</v>
      </c>
      <c r="D288" s="11" t="str">
        <f t="shared" si="4"/>
        <v>08:00</v>
      </c>
      <c r="E288" s="9">
        <v>43899.520833333336</v>
      </c>
      <c r="F288" s="10">
        <f>INT(Cardiac_Table[[#This Row],[Procedure Start Date and Time]])</f>
        <v>43899</v>
      </c>
      <c r="G288" s="12">
        <f>MOD(Cardiac_Table[[#This Row],[Procedure Start Date and Time]],1)</f>
        <v>0.52083333333575865</v>
      </c>
      <c r="H288">
        <v>6</v>
      </c>
      <c r="I288" t="s">
        <v>4</v>
      </c>
      <c r="J288" t="s">
        <v>10</v>
      </c>
      <c r="K288" t="s">
        <v>23</v>
      </c>
      <c r="L288">
        <v>63</v>
      </c>
      <c r="M288">
        <v>1.59</v>
      </c>
      <c r="N288">
        <v>0.68</v>
      </c>
      <c r="O288" t="s">
        <v>15</v>
      </c>
      <c r="P288">
        <v>66</v>
      </c>
      <c r="Q288">
        <v>183</v>
      </c>
      <c r="R288">
        <v>119</v>
      </c>
      <c r="S288">
        <v>39</v>
      </c>
      <c r="T288" t="s">
        <v>50</v>
      </c>
      <c r="U288">
        <f>IF(Cardiac_Table[[#This Row],[Patient Status at Discharge]]="Died", 1,0)</f>
        <v>0</v>
      </c>
      <c r="V288">
        <f>Cardiac_Table[[#This Row],[Risk of Death % (Model 1)]]/100</f>
        <v>1.5900000000000001E-2</v>
      </c>
      <c r="W288">
        <f>Cardiac_Table[[#This Row],[Risk of Death % (Model 2)]]/100</f>
        <v>6.8000000000000005E-3</v>
      </c>
      <c r="X288" s="18">
        <f>Cardiac_Table[[#This Row],[Procedure Start Date and Time]]-Cardiac_Table[[#This Row],[Hospital Admit Date ]]</f>
        <v>0.1875</v>
      </c>
    </row>
    <row r="289" spans="1:24" x14ac:dyDescent="0.35">
      <c r="A289">
        <v>293</v>
      </c>
      <c r="B289" s="9">
        <v>43899.340277777781</v>
      </c>
      <c r="C289" s="10">
        <f>INT(Cardiac_Table[[#This Row],[Hospital Admit Date ]])</f>
        <v>43899</v>
      </c>
      <c r="D289" s="11" t="str">
        <f t="shared" si="4"/>
        <v>08:10</v>
      </c>
      <c r="E289" s="9">
        <v>43899.529861111114</v>
      </c>
      <c r="F289" s="10">
        <f>INT(Cardiac_Table[[#This Row],[Procedure Start Date and Time]])</f>
        <v>43899</v>
      </c>
      <c r="G289" s="12">
        <f>MOD(Cardiac_Table[[#This Row],[Procedure Start Date and Time]],1)</f>
        <v>0.52986111111385981</v>
      </c>
      <c r="H289">
        <v>5</v>
      </c>
      <c r="I289" t="s">
        <v>4</v>
      </c>
      <c r="J289" t="s">
        <v>11</v>
      </c>
      <c r="K289" t="s">
        <v>32</v>
      </c>
      <c r="L289">
        <v>70</v>
      </c>
      <c r="M289">
        <v>4.95</v>
      </c>
      <c r="N289">
        <v>1.53</v>
      </c>
      <c r="O289" t="s">
        <v>15</v>
      </c>
      <c r="P289">
        <v>86</v>
      </c>
      <c r="Q289">
        <v>167</v>
      </c>
      <c r="R289">
        <v>61</v>
      </c>
      <c r="S289">
        <v>55</v>
      </c>
      <c r="T289" t="s">
        <v>48</v>
      </c>
      <c r="U289">
        <f>IF(Cardiac_Table[[#This Row],[Patient Status at Discharge]]="Died", 1,0)</f>
        <v>0</v>
      </c>
      <c r="V289">
        <f>Cardiac_Table[[#This Row],[Risk of Death % (Model 1)]]/100</f>
        <v>4.9500000000000002E-2</v>
      </c>
      <c r="W289">
        <f>Cardiac_Table[[#This Row],[Risk of Death % (Model 2)]]/100</f>
        <v>1.5300000000000001E-2</v>
      </c>
      <c r="X289" s="18">
        <f>Cardiac_Table[[#This Row],[Procedure Start Date and Time]]-Cardiac_Table[[#This Row],[Hospital Admit Date ]]</f>
        <v>0.18958333333284827</v>
      </c>
    </row>
    <row r="290" spans="1:24" x14ac:dyDescent="0.35">
      <c r="A290">
        <v>294</v>
      </c>
      <c r="B290" s="9">
        <v>43899.326388888891</v>
      </c>
      <c r="C290" s="10">
        <f>INT(Cardiac_Table[[#This Row],[Hospital Admit Date ]])</f>
        <v>43899</v>
      </c>
      <c r="D290" s="11" t="str">
        <f t="shared" si="4"/>
        <v>07:50</v>
      </c>
      <c r="E290" s="9">
        <v>43899.628472222219</v>
      </c>
      <c r="F290" s="10">
        <f>INT(Cardiac_Table[[#This Row],[Procedure Start Date and Time]])</f>
        <v>43899</v>
      </c>
      <c r="G290" s="12">
        <f>MOD(Cardiac_Table[[#This Row],[Procedure Start Date and Time]],1)</f>
        <v>0.62847222221898846</v>
      </c>
      <c r="H290">
        <v>3</v>
      </c>
      <c r="I290" t="s">
        <v>4</v>
      </c>
      <c r="J290" t="s">
        <v>10</v>
      </c>
      <c r="K290" t="s">
        <v>33</v>
      </c>
      <c r="L290">
        <v>60</v>
      </c>
      <c r="M290">
        <v>2.23</v>
      </c>
      <c r="N290">
        <v>0.81</v>
      </c>
      <c r="O290" t="s">
        <v>15</v>
      </c>
      <c r="P290">
        <v>90</v>
      </c>
      <c r="Q290">
        <v>162</v>
      </c>
      <c r="R290">
        <v>101</v>
      </c>
      <c r="S290">
        <v>60</v>
      </c>
      <c r="T290" t="s">
        <v>48</v>
      </c>
      <c r="U290">
        <f>IF(Cardiac_Table[[#This Row],[Patient Status at Discharge]]="Died", 1,0)</f>
        <v>0</v>
      </c>
      <c r="V290">
        <f>Cardiac_Table[[#This Row],[Risk of Death % (Model 1)]]/100</f>
        <v>2.23E-2</v>
      </c>
      <c r="W290">
        <f>Cardiac_Table[[#This Row],[Risk of Death % (Model 2)]]/100</f>
        <v>8.1000000000000013E-3</v>
      </c>
      <c r="X290" s="18">
        <f>Cardiac_Table[[#This Row],[Procedure Start Date and Time]]-Cardiac_Table[[#This Row],[Hospital Admit Date ]]</f>
        <v>0.30208333332848269</v>
      </c>
    </row>
    <row r="291" spans="1:24" x14ac:dyDescent="0.35">
      <c r="A291">
        <v>295</v>
      </c>
      <c r="B291" s="9">
        <v>43899.45</v>
      </c>
      <c r="C291" s="10">
        <f>INT(Cardiac_Table[[#This Row],[Hospital Admit Date ]])</f>
        <v>43899</v>
      </c>
      <c r="D291" s="11" t="str">
        <f t="shared" si="4"/>
        <v>10:48</v>
      </c>
      <c r="E291" s="9">
        <v>43900.336805555555</v>
      </c>
      <c r="F291" s="10">
        <f>INT(Cardiac_Table[[#This Row],[Procedure Start Date and Time]])</f>
        <v>43900</v>
      </c>
      <c r="G291" s="12">
        <f>MOD(Cardiac_Table[[#This Row],[Procedure Start Date and Time]],1)</f>
        <v>0.33680555555474712</v>
      </c>
      <c r="H291">
        <v>6</v>
      </c>
      <c r="I291" t="s">
        <v>4</v>
      </c>
      <c r="J291" t="s">
        <v>3</v>
      </c>
      <c r="K291" t="s">
        <v>24</v>
      </c>
      <c r="L291">
        <v>77</v>
      </c>
      <c r="M291">
        <v>6.59</v>
      </c>
      <c r="N291">
        <v>1.82</v>
      </c>
      <c r="O291" t="s">
        <v>15</v>
      </c>
      <c r="P291">
        <v>93</v>
      </c>
      <c r="Q291">
        <v>165</v>
      </c>
      <c r="R291">
        <v>86</v>
      </c>
      <c r="S291">
        <v>45</v>
      </c>
      <c r="T291" t="s">
        <v>50</v>
      </c>
      <c r="U291">
        <f>IF(Cardiac_Table[[#This Row],[Patient Status at Discharge]]="Died", 1,0)</f>
        <v>0</v>
      </c>
      <c r="V291">
        <f>Cardiac_Table[[#This Row],[Risk of Death % (Model 1)]]/100</f>
        <v>6.59E-2</v>
      </c>
      <c r="W291">
        <f>Cardiac_Table[[#This Row],[Risk of Death % (Model 2)]]/100</f>
        <v>1.8200000000000001E-2</v>
      </c>
      <c r="X291" s="18">
        <f>Cardiac_Table[[#This Row],[Procedure Start Date and Time]]-Cardiac_Table[[#This Row],[Hospital Admit Date ]]</f>
        <v>0.8868055555576575</v>
      </c>
    </row>
    <row r="292" spans="1:24" x14ac:dyDescent="0.35">
      <c r="A292">
        <v>296</v>
      </c>
      <c r="B292" s="9">
        <v>43899.445833333331</v>
      </c>
      <c r="C292" s="10">
        <f>INT(Cardiac_Table[[#This Row],[Hospital Admit Date ]])</f>
        <v>43899</v>
      </c>
      <c r="D292" s="11" t="str">
        <f t="shared" si="4"/>
        <v>10:42</v>
      </c>
      <c r="E292" s="9">
        <v>43900.338194444441</v>
      </c>
      <c r="F292" s="10">
        <f>INT(Cardiac_Table[[#This Row],[Procedure Start Date and Time]])</f>
        <v>43900</v>
      </c>
      <c r="G292" s="12">
        <f>MOD(Cardiac_Table[[#This Row],[Procedure Start Date and Time]],1)</f>
        <v>0.33819444444088731</v>
      </c>
      <c r="H292">
        <v>3</v>
      </c>
      <c r="I292" t="s">
        <v>6</v>
      </c>
      <c r="J292" t="s">
        <v>11</v>
      </c>
      <c r="K292" t="s">
        <v>31</v>
      </c>
      <c r="L292">
        <v>77</v>
      </c>
      <c r="M292">
        <v>7.67</v>
      </c>
      <c r="N292">
        <v>2.54</v>
      </c>
      <c r="O292" t="s">
        <v>15</v>
      </c>
      <c r="P292">
        <v>70</v>
      </c>
      <c r="Q292">
        <v>177</v>
      </c>
      <c r="R292">
        <v>75</v>
      </c>
      <c r="S292">
        <v>50</v>
      </c>
      <c r="T292" t="s">
        <v>50</v>
      </c>
      <c r="U292">
        <f>IF(Cardiac_Table[[#This Row],[Patient Status at Discharge]]="Died", 1,0)</f>
        <v>0</v>
      </c>
      <c r="V292">
        <f>Cardiac_Table[[#This Row],[Risk of Death % (Model 1)]]/100</f>
        <v>7.6700000000000004E-2</v>
      </c>
      <c r="W292">
        <f>Cardiac_Table[[#This Row],[Risk of Death % (Model 2)]]/100</f>
        <v>2.5399999999999999E-2</v>
      </c>
      <c r="X292" s="18">
        <f>Cardiac_Table[[#This Row],[Procedure Start Date and Time]]-Cardiac_Table[[#This Row],[Hospital Admit Date ]]</f>
        <v>0.89236111110949423</v>
      </c>
    </row>
    <row r="293" spans="1:24" x14ac:dyDescent="0.35">
      <c r="A293">
        <v>297</v>
      </c>
      <c r="B293" s="9">
        <v>43887.541666666664</v>
      </c>
      <c r="C293" s="10">
        <f>INT(Cardiac_Table[[#This Row],[Hospital Admit Date ]])</f>
        <v>43887</v>
      </c>
      <c r="D293" s="11" t="str">
        <f t="shared" si="4"/>
        <v>13:00</v>
      </c>
      <c r="E293" s="9">
        <v>43900.349305555559</v>
      </c>
      <c r="F293" s="10">
        <f>INT(Cardiac_Table[[#This Row],[Procedure Start Date and Time]])</f>
        <v>43900</v>
      </c>
      <c r="G293" s="12">
        <f>MOD(Cardiac_Table[[#This Row],[Procedure Start Date and Time]],1)</f>
        <v>0.34930555555911269</v>
      </c>
      <c r="H293">
        <v>5</v>
      </c>
      <c r="I293" t="s">
        <v>6</v>
      </c>
      <c r="J293" t="s">
        <v>10</v>
      </c>
      <c r="K293" t="s">
        <v>26</v>
      </c>
      <c r="L293">
        <v>75</v>
      </c>
      <c r="M293">
        <v>4.0599999999999996</v>
      </c>
      <c r="N293">
        <v>1.9</v>
      </c>
      <c r="O293" t="s">
        <v>15</v>
      </c>
      <c r="P293">
        <v>130</v>
      </c>
      <c r="Q293">
        <v>171</v>
      </c>
      <c r="R293">
        <v>78</v>
      </c>
      <c r="S293">
        <v>58</v>
      </c>
      <c r="T293" t="s">
        <v>48</v>
      </c>
      <c r="U293">
        <f>IF(Cardiac_Table[[#This Row],[Patient Status at Discharge]]="Died", 1,0)</f>
        <v>0</v>
      </c>
      <c r="V293">
        <f>Cardiac_Table[[#This Row],[Risk of Death % (Model 1)]]/100</f>
        <v>4.0599999999999997E-2</v>
      </c>
      <c r="W293">
        <f>Cardiac_Table[[#This Row],[Risk of Death % (Model 2)]]/100</f>
        <v>1.9E-2</v>
      </c>
      <c r="X293" s="18">
        <f>Cardiac_Table[[#This Row],[Procedure Start Date and Time]]-Cardiac_Table[[#This Row],[Hospital Admit Date ]]</f>
        <v>12.807638888894871</v>
      </c>
    </row>
    <row r="294" spans="1:24" x14ac:dyDescent="0.35">
      <c r="A294">
        <v>298</v>
      </c>
      <c r="B294" s="9">
        <v>43899.458333333336</v>
      </c>
      <c r="C294" s="10">
        <f>INT(Cardiac_Table[[#This Row],[Hospital Admit Date ]])</f>
        <v>43899</v>
      </c>
      <c r="D294" s="11" t="str">
        <f t="shared" si="4"/>
        <v>11:00</v>
      </c>
      <c r="E294" s="9">
        <v>43900.504861111112</v>
      </c>
      <c r="F294" s="10">
        <f>INT(Cardiac_Table[[#This Row],[Procedure Start Date and Time]])</f>
        <v>43900</v>
      </c>
      <c r="G294" s="12">
        <f>MOD(Cardiac_Table[[#This Row],[Procedure Start Date and Time]],1)</f>
        <v>0.50486111111240461</v>
      </c>
      <c r="H294">
        <v>6</v>
      </c>
      <c r="I294" t="s">
        <v>6</v>
      </c>
      <c r="J294" t="s">
        <v>3</v>
      </c>
      <c r="K294" t="s">
        <v>24</v>
      </c>
      <c r="L294">
        <v>52</v>
      </c>
      <c r="M294">
        <v>1.51</v>
      </c>
      <c r="N294">
        <v>1.31</v>
      </c>
      <c r="O294" t="s">
        <v>15</v>
      </c>
      <c r="P294">
        <v>98</v>
      </c>
      <c r="Q294">
        <v>167</v>
      </c>
      <c r="R294">
        <v>68</v>
      </c>
      <c r="S294">
        <v>49</v>
      </c>
      <c r="T294" t="s">
        <v>50</v>
      </c>
      <c r="U294">
        <f>IF(Cardiac_Table[[#This Row],[Patient Status at Discharge]]="Died", 1,0)</f>
        <v>0</v>
      </c>
      <c r="V294">
        <f>Cardiac_Table[[#This Row],[Risk of Death % (Model 1)]]/100</f>
        <v>1.5100000000000001E-2</v>
      </c>
      <c r="W294">
        <f>Cardiac_Table[[#This Row],[Risk of Death % (Model 2)]]/100</f>
        <v>1.3100000000000001E-2</v>
      </c>
      <c r="X294" s="18">
        <f>Cardiac_Table[[#This Row],[Procedure Start Date and Time]]-Cardiac_Table[[#This Row],[Hospital Admit Date ]]</f>
        <v>1.046527777776646</v>
      </c>
    </row>
    <row r="295" spans="1:24" x14ac:dyDescent="0.35">
      <c r="A295">
        <v>299</v>
      </c>
      <c r="B295" s="9">
        <v>43899.708333333336</v>
      </c>
      <c r="C295" s="10">
        <f>INT(Cardiac_Table[[#This Row],[Hospital Admit Date ]])</f>
        <v>43899</v>
      </c>
      <c r="D295" s="11" t="str">
        <f t="shared" si="4"/>
        <v>17:00</v>
      </c>
      <c r="E295" s="9">
        <v>43900.560416666667</v>
      </c>
      <c r="F295" s="10">
        <f>INT(Cardiac_Table[[#This Row],[Procedure Start Date and Time]])</f>
        <v>43900</v>
      </c>
      <c r="G295" s="12">
        <f>MOD(Cardiac_Table[[#This Row],[Procedure Start Date and Time]],1)</f>
        <v>0.56041666666715173</v>
      </c>
      <c r="H295">
        <v>5</v>
      </c>
      <c r="I295" t="s">
        <v>4</v>
      </c>
      <c r="J295" t="s">
        <v>3</v>
      </c>
      <c r="K295" t="s">
        <v>26</v>
      </c>
      <c r="L295">
        <v>74</v>
      </c>
      <c r="M295">
        <v>3.99</v>
      </c>
      <c r="N295">
        <v>1</v>
      </c>
      <c r="O295" t="s">
        <v>15</v>
      </c>
      <c r="P295">
        <v>80</v>
      </c>
      <c r="Q295">
        <v>185</v>
      </c>
      <c r="R295">
        <v>100</v>
      </c>
      <c r="S295">
        <v>59</v>
      </c>
      <c r="T295" t="s">
        <v>48</v>
      </c>
      <c r="U295">
        <f>IF(Cardiac_Table[[#This Row],[Patient Status at Discharge]]="Died", 1,0)</f>
        <v>0</v>
      </c>
      <c r="V295">
        <f>Cardiac_Table[[#This Row],[Risk of Death % (Model 1)]]/100</f>
        <v>3.9900000000000005E-2</v>
      </c>
      <c r="W295">
        <f>Cardiac_Table[[#This Row],[Risk of Death % (Model 2)]]/100</f>
        <v>0.01</v>
      </c>
      <c r="X295" s="18">
        <f>Cardiac_Table[[#This Row],[Procedure Start Date and Time]]-Cardiac_Table[[#This Row],[Hospital Admit Date ]]</f>
        <v>0.85208333333139308</v>
      </c>
    </row>
    <row r="296" spans="1:24" x14ac:dyDescent="0.35">
      <c r="A296">
        <v>300</v>
      </c>
      <c r="B296" s="9">
        <v>43900.335416666669</v>
      </c>
      <c r="C296" s="10">
        <f>INT(Cardiac_Table[[#This Row],[Hospital Admit Date ]])</f>
        <v>43900</v>
      </c>
      <c r="D296" s="11" t="str">
        <f t="shared" si="4"/>
        <v>08:03</v>
      </c>
      <c r="E296" s="9">
        <v>43900.585416666669</v>
      </c>
      <c r="F296" s="10">
        <f>INT(Cardiac_Table[[#This Row],[Procedure Start Date and Time]])</f>
        <v>43900</v>
      </c>
      <c r="G296" s="12">
        <f>MOD(Cardiac_Table[[#This Row],[Procedure Start Date and Time]],1)</f>
        <v>0.58541666666860692</v>
      </c>
      <c r="H296">
        <v>3</v>
      </c>
      <c r="I296" t="s">
        <v>4</v>
      </c>
      <c r="J296" t="s">
        <v>10</v>
      </c>
      <c r="K296" t="s">
        <v>31</v>
      </c>
      <c r="L296">
        <v>77</v>
      </c>
      <c r="M296">
        <v>2.87</v>
      </c>
      <c r="N296">
        <v>0.9</v>
      </c>
      <c r="O296" t="s">
        <v>15</v>
      </c>
      <c r="P296">
        <v>70</v>
      </c>
      <c r="Q296">
        <v>175</v>
      </c>
      <c r="R296">
        <v>90</v>
      </c>
      <c r="S296">
        <v>55</v>
      </c>
      <c r="T296" t="s">
        <v>48</v>
      </c>
      <c r="U296">
        <f>IF(Cardiac_Table[[#This Row],[Patient Status at Discharge]]="Died", 1,0)</f>
        <v>0</v>
      </c>
      <c r="V296">
        <f>Cardiac_Table[[#This Row],[Risk of Death % (Model 1)]]/100</f>
        <v>2.87E-2</v>
      </c>
      <c r="W296">
        <f>Cardiac_Table[[#This Row],[Risk of Death % (Model 2)]]/100</f>
        <v>9.0000000000000011E-3</v>
      </c>
      <c r="X296" s="18">
        <f>Cardiac_Table[[#This Row],[Procedure Start Date and Time]]-Cardiac_Table[[#This Row],[Hospital Admit Date ]]</f>
        <v>0.25</v>
      </c>
    </row>
    <row r="297" spans="1:24" x14ac:dyDescent="0.35">
      <c r="A297">
        <v>301</v>
      </c>
      <c r="B297" s="9">
        <v>43899.554861111108</v>
      </c>
      <c r="C297" s="10">
        <f>INT(Cardiac_Table[[#This Row],[Hospital Admit Date ]])</f>
        <v>43899</v>
      </c>
      <c r="D297" s="11" t="str">
        <f t="shared" si="4"/>
        <v>13:19</v>
      </c>
      <c r="E297" s="9">
        <v>43900.625</v>
      </c>
      <c r="F297" s="10">
        <f>INT(Cardiac_Table[[#This Row],[Procedure Start Date and Time]])</f>
        <v>43900</v>
      </c>
      <c r="G297" s="12">
        <f>MOD(Cardiac_Table[[#This Row],[Procedure Start Date and Time]],1)</f>
        <v>0.625</v>
      </c>
      <c r="H297">
        <v>4</v>
      </c>
      <c r="I297" t="s">
        <v>4</v>
      </c>
      <c r="J297" t="s">
        <v>10</v>
      </c>
      <c r="K297" t="s">
        <v>28</v>
      </c>
      <c r="L297">
        <v>79</v>
      </c>
      <c r="M297">
        <v>3.26</v>
      </c>
      <c r="N297">
        <v>1.28</v>
      </c>
      <c r="O297" t="s">
        <v>15</v>
      </c>
      <c r="P297">
        <v>110</v>
      </c>
      <c r="Q297">
        <v>157</v>
      </c>
      <c r="R297">
        <v>109</v>
      </c>
      <c r="S297">
        <v>45</v>
      </c>
      <c r="T297" t="s">
        <v>50</v>
      </c>
      <c r="U297">
        <f>IF(Cardiac_Table[[#This Row],[Patient Status at Discharge]]="Died", 1,0)</f>
        <v>0</v>
      </c>
      <c r="V297">
        <f>Cardiac_Table[[#This Row],[Risk of Death % (Model 1)]]/100</f>
        <v>3.2599999999999997E-2</v>
      </c>
      <c r="W297">
        <f>Cardiac_Table[[#This Row],[Risk of Death % (Model 2)]]/100</f>
        <v>1.2800000000000001E-2</v>
      </c>
      <c r="X297" s="18">
        <f>Cardiac_Table[[#This Row],[Procedure Start Date and Time]]-Cardiac_Table[[#This Row],[Hospital Admit Date ]]</f>
        <v>1.070138888891961</v>
      </c>
    </row>
    <row r="298" spans="1:24" x14ac:dyDescent="0.35">
      <c r="A298">
        <v>302</v>
      </c>
      <c r="B298" s="9">
        <v>43900.584027777775</v>
      </c>
      <c r="C298" s="10">
        <f>INT(Cardiac_Table[[#This Row],[Hospital Admit Date ]])</f>
        <v>43900</v>
      </c>
      <c r="D298" s="11" t="str">
        <f t="shared" si="4"/>
        <v>14:01</v>
      </c>
      <c r="E298" s="9">
        <v>43901.333333333336</v>
      </c>
      <c r="F298" s="10">
        <f>INT(Cardiac_Table[[#This Row],[Procedure Start Date and Time]])</f>
        <v>43901</v>
      </c>
      <c r="G298" s="12">
        <f>MOD(Cardiac_Table[[#This Row],[Procedure Start Date and Time]],1)</f>
        <v>0.33333333333575865</v>
      </c>
      <c r="H298">
        <v>3</v>
      </c>
      <c r="I298" t="s">
        <v>4</v>
      </c>
      <c r="J298" t="s">
        <v>1</v>
      </c>
      <c r="K298" t="s">
        <v>24</v>
      </c>
      <c r="L298">
        <v>63</v>
      </c>
      <c r="M298">
        <v>5.98</v>
      </c>
      <c r="N298">
        <v>1.79</v>
      </c>
      <c r="O298" t="s">
        <v>15</v>
      </c>
      <c r="P298">
        <v>73</v>
      </c>
      <c r="Q298">
        <v>176</v>
      </c>
      <c r="R298">
        <v>90</v>
      </c>
      <c r="S298">
        <v>65</v>
      </c>
      <c r="T298" t="s">
        <v>48</v>
      </c>
      <c r="U298">
        <f>IF(Cardiac_Table[[#This Row],[Patient Status at Discharge]]="Died", 1,0)</f>
        <v>0</v>
      </c>
      <c r="V298">
        <f>Cardiac_Table[[#This Row],[Risk of Death % (Model 1)]]/100</f>
        <v>5.9800000000000006E-2</v>
      </c>
      <c r="W298">
        <f>Cardiac_Table[[#This Row],[Risk of Death % (Model 2)]]/100</f>
        <v>1.7899999999999999E-2</v>
      </c>
      <c r="X298" s="18">
        <f>Cardiac_Table[[#This Row],[Procedure Start Date and Time]]-Cardiac_Table[[#This Row],[Hospital Admit Date ]]</f>
        <v>0.74930555556056788</v>
      </c>
    </row>
    <row r="299" spans="1:24" x14ac:dyDescent="0.35">
      <c r="A299">
        <v>303</v>
      </c>
      <c r="B299" s="9">
        <v>43900.458333333336</v>
      </c>
      <c r="C299" s="10">
        <f>INT(Cardiac_Table[[#This Row],[Hospital Admit Date ]])</f>
        <v>43900</v>
      </c>
      <c r="D299" s="11" t="str">
        <f t="shared" si="4"/>
        <v>11:00</v>
      </c>
      <c r="E299" s="9">
        <v>43901.340277777781</v>
      </c>
      <c r="F299" s="10">
        <f>INT(Cardiac_Table[[#This Row],[Procedure Start Date and Time]])</f>
        <v>43901</v>
      </c>
      <c r="G299" s="12">
        <f>MOD(Cardiac_Table[[#This Row],[Procedure Start Date and Time]],1)</f>
        <v>0.34027777778101154</v>
      </c>
      <c r="H299">
        <v>6</v>
      </c>
      <c r="I299" t="s">
        <v>6</v>
      </c>
      <c r="J299" t="s">
        <v>11</v>
      </c>
      <c r="K299" t="s">
        <v>22</v>
      </c>
      <c r="L299">
        <v>81</v>
      </c>
      <c r="M299">
        <v>6.21</v>
      </c>
      <c r="N299">
        <v>3.21</v>
      </c>
      <c r="O299" t="s">
        <v>15</v>
      </c>
      <c r="P299">
        <v>73</v>
      </c>
      <c r="Q299">
        <v>165</v>
      </c>
      <c r="R299">
        <v>83</v>
      </c>
      <c r="S299">
        <v>37</v>
      </c>
      <c r="T299" t="s">
        <v>50</v>
      </c>
      <c r="U299">
        <f>IF(Cardiac_Table[[#This Row],[Patient Status at Discharge]]="Died", 1,0)</f>
        <v>0</v>
      </c>
      <c r="V299">
        <f>Cardiac_Table[[#This Row],[Risk of Death % (Model 1)]]/100</f>
        <v>6.2100000000000002E-2</v>
      </c>
      <c r="W299">
        <f>Cardiac_Table[[#This Row],[Risk of Death % (Model 2)]]/100</f>
        <v>3.2099999999999997E-2</v>
      </c>
      <c r="X299" s="18">
        <f>Cardiac_Table[[#This Row],[Procedure Start Date and Time]]-Cardiac_Table[[#This Row],[Hospital Admit Date ]]</f>
        <v>0.88194444444525288</v>
      </c>
    </row>
    <row r="300" spans="1:24" x14ac:dyDescent="0.35">
      <c r="A300">
        <v>304</v>
      </c>
      <c r="B300" s="9">
        <v>43901.288888888892</v>
      </c>
      <c r="C300" s="10">
        <f>INT(Cardiac_Table[[#This Row],[Hospital Admit Date ]])</f>
        <v>43901</v>
      </c>
      <c r="D300" s="11" t="str">
        <f t="shared" si="4"/>
        <v>06:56</v>
      </c>
      <c r="E300" s="9">
        <v>43901.348611111112</v>
      </c>
      <c r="F300" s="10">
        <f>INT(Cardiac_Table[[#This Row],[Procedure Start Date and Time]])</f>
        <v>43901</v>
      </c>
      <c r="G300" s="12">
        <f>MOD(Cardiac_Table[[#This Row],[Procedure Start Date and Time]],1)</f>
        <v>0.34861111111240461</v>
      </c>
      <c r="H300">
        <v>2</v>
      </c>
      <c r="I300" t="s">
        <v>4</v>
      </c>
      <c r="J300" t="s">
        <v>3</v>
      </c>
      <c r="K300" t="s">
        <v>28</v>
      </c>
      <c r="L300">
        <v>70</v>
      </c>
      <c r="M300">
        <v>6.76</v>
      </c>
      <c r="N300">
        <v>1.5</v>
      </c>
      <c r="O300" t="s">
        <v>15</v>
      </c>
      <c r="P300">
        <v>74</v>
      </c>
      <c r="Q300">
        <v>155</v>
      </c>
      <c r="R300">
        <v>63</v>
      </c>
      <c r="S300">
        <v>51</v>
      </c>
      <c r="T300" t="s">
        <v>48</v>
      </c>
      <c r="U300">
        <f>IF(Cardiac_Table[[#This Row],[Patient Status at Discharge]]="Died", 1,0)</f>
        <v>0</v>
      </c>
      <c r="V300">
        <f>Cardiac_Table[[#This Row],[Risk of Death % (Model 1)]]/100</f>
        <v>6.7599999999999993E-2</v>
      </c>
      <c r="W300">
        <f>Cardiac_Table[[#This Row],[Risk of Death % (Model 2)]]/100</f>
        <v>1.4999999999999999E-2</v>
      </c>
      <c r="X300" s="18">
        <f>Cardiac_Table[[#This Row],[Procedure Start Date and Time]]-Cardiac_Table[[#This Row],[Hospital Admit Date ]]</f>
        <v>5.9722222220443655E-2</v>
      </c>
    </row>
    <row r="301" spans="1:24" x14ac:dyDescent="0.35">
      <c r="A301">
        <v>305</v>
      </c>
      <c r="B301" s="9">
        <v>43900.458333333336</v>
      </c>
      <c r="C301" s="10">
        <f>INT(Cardiac_Table[[#This Row],[Hospital Admit Date ]])</f>
        <v>43900</v>
      </c>
      <c r="D301" s="11" t="str">
        <f t="shared" si="4"/>
        <v>11:00</v>
      </c>
      <c r="E301" s="9">
        <v>43901.577777777777</v>
      </c>
      <c r="F301" s="10">
        <f>INT(Cardiac_Table[[#This Row],[Procedure Start Date and Time]])</f>
        <v>43901</v>
      </c>
      <c r="G301" s="12">
        <f>MOD(Cardiac_Table[[#This Row],[Procedure Start Date and Time]],1)</f>
        <v>0.57777777777664596</v>
      </c>
      <c r="H301">
        <v>2</v>
      </c>
      <c r="I301" t="s">
        <v>6</v>
      </c>
      <c r="J301" t="s">
        <v>10</v>
      </c>
      <c r="K301" t="s">
        <v>28</v>
      </c>
      <c r="L301">
        <v>81</v>
      </c>
      <c r="M301">
        <v>5.53</v>
      </c>
      <c r="N301">
        <v>2.52</v>
      </c>
      <c r="O301" t="s">
        <v>15</v>
      </c>
      <c r="P301">
        <v>78</v>
      </c>
      <c r="Q301">
        <v>180</v>
      </c>
      <c r="R301">
        <v>91</v>
      </c>
      <c r="S301">
        <v>64</v>
      </c>
      <c r="T301" t="s">
        <v>48</v>
      </c>
      <c r="U301">
        <f>IF(Cardiac_Table[[#This Row],[Patient Status at Discharge]]="Died", 1,0)</f>
        <v>0</v>
      </c>
      <c r="V301">
        <f>Cardiac_Table[[#This Row],[Risk of Death % (Model 1)]]/100</f>
        <v>5.5300000000000002E-2</v>
      </c>
      <c r="W301">
        <f>Cardiac_Table[[#This Row],[Risk of Death % (Model 2)]]/100</f>
        <v>2.52E-2</v>
      </c>
      <c r="X301" s="18">
        <f>Cardiac_Table[[#This Row],[Procedure Start Date and Time]]-Cardiac_Table[[#This Row],[Hospital Admit Date ]]</f>
        <v>1.1194444444408873</v>
      </c>
    </row>
    <row r="302" spans="1:24" x14ac:dyDescent="0.35">
      <c r="A302">
        <v>306</v>
      </c>
      <c r="B302" s="9">
        <v>43901.326388888891</v>
      </c>
      <c r="C302" s="10">
        <f>INT(Cardiac_Table[[#This Row],[Hospital Admit Date ]])</f>
        <v>43901</v>
      </c>
      <c r="D302" s="11" t="str">
        <f t="shared" si="4"/>
        <v>07:50</v>
      </c>
      <c r="E302" s="9">
        <v>43901.595138888886</v>
      </c>
      <c r="F302" s="10">
        <f>INT(Cardiac_Table[[#This Row],[Procedure Start Date and Time]])</f>
        <v>43901</v>
      </c>
      <c r="G302" s="12">
        <f>MOD(Cardiac_Table[[#This Row],[Procedure Start Date and Time]],1)</f>
        <v>0.59513888888614019</v>
      </c>
      <c r="H302">
        <v>6</v>
      </c>
      <c r="I302" t="s">
        <v>4</v>
      </c>
      <c r="J302" t="s">
        <v>1</v>
      </c>
      <c r="K302" t="s">
        <v>22</v>
      </c>
      <c r="L302">
        <v>75</v>
      </c>
      <c r="M302">
        <v>3.47</v>
      </c>
      <c r="N302">
        <v>1.28</v>
      </c>
      <c r="O302" t="s">
        <v>13</v>
      </c>
      <c r="P302">
        <v>76</v>
      </c>
      <c r="Q302">
        <v>175</v>
      </c>
      <c r="R302">
        <v>109</v>
      </c>
      <c r="S302">
        <v>65</v>
      </c>
      <c r="T302" t="s">
        <v>48</v>
      </c>
      <c r="U302">
        <f>IF(Cardiac_Table[[#This Row],[Patient Status at Discharge]]="Died", 1,0)</f>
        <v>1</v>
      </c>
      <c r="V302">
        <f>Cardiac_Table[[#This Row],[Risk of Death % (Model 1)]]/100</f>
        <v>3.4700000000000002E-2</v>
      </c>
      <c r="W302">
        <f>Cardiac_Table[[#This Row],[Risk of Death % (Model 2)]]/100</f>
        <v>1.2800000000000001E-2</v>
      </c>
      <c r="X302" s="18">
        <f>Cardiac_Table[[#This Row],[Procedure Start Date and Time]]-Cardiac_Table[[#This Row],[Hospital Admit Date ]]</f>
        <v>0.26874999999563443</v>
      </c>
    </row>
    <row r="303" spans="1:24" x14ac:dyDescent="0.35">
      <c r="A303">
        <v>307</v>
      </c>
      <c r="B303" s="9">
        <v>43900.549305555556</v>
      </c>
      <c r="C303" s="10">
        <f>INT(Cardiac_Table[[#This Row],[Hospital Admit Date ]])</f>
        <v>43900</v>
      </c>
      <c r="D303" s="11" t="str">
        <f t="shared" si="4"/>
        <v>13:11</v>
      </c>
      <c r="E303" s="9">
        <v>43901.618055555555</v>
      </c>
      <c r="F303" s="10">
        <f>INT(Cardiac_Table[[#This Row],[Procedure Start Date and Time]])</f>
        <v>43901</v>
      </c>
      <c r="G303" s="12">
        <f>MOD(Cardiac_Table[[#This Row],[Procedure Start Date and Time]],1)</f>
        <v>0.61805555555474712</v>
      </c>
      <c r="H303">
        <v>3</v>
      </c>
      <c r="I303" t="s">
        <v>4</v>
      </c>
      <c r="J303" t="s">
        <v>3</v>
      </c>
      <c r="K303" t="s">
        <v>24</v>
      </c>
      <c r="L303">
        <v>73</v>
      </c>
      <c r="M303">
        <v>3.74</v>
      </c>
      <c r="N303">
        <v>0.81</v>
      </c>
      <c r="O303" t="s">
        <v>15</v>
      </c>
      <c r="P303">
        <v>66</v>
      </c>
      <c r="Q303">
        <v>178</v>
      </c>
      <c r="R303">
        <v>109</v>
      </c>
      <c r="S303">
        <v>32</v>
      </c>
      <c r="T303" t="s">
        <v>50</v>
      </c>
      <c r="U303">
        <f>IF(Cardiac_Table[[#This Row],[Patient Status at Discharge]]="Died", 1,0)</f>
        <v>0</v>
      </c>
      <c r="V303">
        <f>Cardiac_Table[[#This Row],[Risk of Death % (Model 1)]]/100</f>
        <v>3.7400000000000003E-2</v>
      </c>
      <c r="W303">
        <f>Cardiac_Table[[#This Row],[Risk of Death % (Model 2)]]/100</f>
        <v>8.1000000000000013E-3</v>
      </c>
      <c r="X303" s="18">
        <f>Cardiac_Table[[#This Row],[Procedure Start Date and Time]]-Cardiac_Table[[#This Row],[Hospital Admit Date ]]</f>
        <v>1.0687499999985448</v>
      </c>
    </row>
    <row r="304" spans="1:24" x14ac:dyDescent="0.35">
      <c r="A304">
        <v>308</v>
      </c>
      <c r="B304" s="9">
        <v>43900.458333333336</v>
      </c>
      <c r="C304" s="10">
        <f>INT(Cardiac_Table[[#This Row],[Hospital Admit Date ]])</f>
        <v>43900</v>
      </c>
      <c r="D304" s="11" t="str">
        <f t="shared" si="4"/>
        <v>11:00</v>
      </c>
      <c r="E304" s="9">
        <v>43902.331250000003</v>
      </c>
      <c r="F304" s="10">
        <f>INT(Cardiac_Table[[#This Row],[Procedure Start Date and Time]])</f>
        <v>43902</v>
      </c>
      <c r="G304" s="12">
        <f>MOD(Cardiac_Table[[#This Row],[Procedure Start Date and Time]],1)</f>
        <v>0.33125000000291038</v>
      </c>
      <c r="H304">
        <v>3</v>
      </c>
      <c r="I304" t="s">
        <v>6</v>
      </c>
      <c r="J304" t="s">
        <v>11</v>
      </c>
      <c r="K304" t="s">
        <v>32</v>
      </c>
      <c r="L304">
        <v>66</v>
      </c>
      <c r="M304">
        <v>10.94</v>
      </c>
      <c r="N304">
        <v>7.01</v>
      </c>
      <c r="O304" t="s">
        <v>13</v>
      </c>
      <c r="P304">
        <v>70</v>
      </c>
      <c r="Q304">
        <v>180</v>
      </c>
      <c r="R304">
        <v>68</v>
      </c>
      <c r="S304">
        <v>15</v>
      </c>
      <c r="T304" t="s">
        <v>51</v>
      </c>
      <c r="U304">
        <f>IF(Cardiac_Table[[#This Row],[Patient Status at Discharge]]="Died", 1,0)</f>
        <v>1</v>
      </c>
      <c r="V304">
        <f>Cardiac_Table[[#This Row],[Risk of Death % (Model 1)]]/100</f>
        <v>0.1094</v>
      </c>
      <c r="W304">
        <f>Cardiac_Table[[#This Row],[Risk of Death % (Model 2)]]/100</f>
        <v>7.0099999999999996E-2</v>
      </c>
      <c r="X304" s="18">
        <f>Cardiac_Table[[#This Row],[Procedure Start Date and Time]]-Cardiac_Table[[#This Row],[Hospital Admit Date ]]</f>
        <v>1.8729166666671517</v>
      </c>
    </row>
    <row r="305" spans="1:24" x14ac:dyDescent="0.35">
      <c r="A305">
        <v>309</v>
      </c>
      <c r="B305" s="9">
        <v>43901.652777777781</v>
      </c>
      <c r="C305" s="10">
        <f>INT(Cardiac_Table[[#This Row],[Hospital Admit Date ]])</f>
        <v>43901</v>
      </c>
      <c r="D305" s="11" t="str">
        <f t="shared" si="4"/>
        <v>15:40</v>
      </c>
      <c r="E305" s="9">
        <v>43902.339583333334</v>
      </c>
      <c r="F305" s="10">
        <f>INT(Cardiac_Table[[#This Row],[Procedure Start Date and Time]])</f>
        <v>43902</v>
      </c>
      <c r="G305" s="12">
        <f>MOD(Cardiac_Table[[#This Row],[Procedure Start Date and Time]],1)</f>
        <v>0.33958333333430346</v>
      </c>
      <c r="H305">
        <v>5</v>
      </c>
      <c r="I305" t="s">
        <v>4</v>
      </c>
      <c r="J305" t="s">
        <v>3</v>
      </c>
      <c r="K305" t="s">
        <v>23</v>
      </c>
      <c r="L305">
        <v>79</v>
      </c>
      <c r="M305">
        <v>32.06</v>
      </c>
      <c r="N305">
        <v>20.39</v>
      </c>
      <c r="O305" t="s">
        <v>15</v>
      </c>
      <c r="P305">
        <v>96</v>
      </c>
      <c r="Q305">
        <v>167</v>
      </c>
      <c r="R305">
        <v>72</v>
      </c>
      <c r="S305">
        <v>55</v>
      </c>
      <c r="T305" t="s">
        <v>48</v>
      </c>
      <c r="U305">
        <f>IF(Cardiac_Table[[#This Row],[Patient Status at Discharge]]="Died", 1,0)</f>
        <v>0</v>
      </c>
      <c r="V305">
        <f>Cardiac_Table[[#This Row],[Risk of Death % (Model 1)]]/100</f>
        <v>0.3206</v>
      </c>
      <c r="W305">
        <f>Cardiac_Table[[#This Row],[Risk of Death % (Model 2)]]/100</f>
        <v>0.2039</v>
      </c>
      <c r="X305" s="18">
        <f>Cardiac_Table[[#This Row],[Procedure Start Date and Time]]-Cardiac_Table[[#This Row],[Hospital Admit Date ]]</f>
        <v>0.68680555555329192</v>
      </c>
    </row>
    <row r="306" spans="1:24" x14ac:dyDescent="0.35">
      <c r="A306">
        <v>310</v>
      </c>
      <c r="B306" s="9">
        <v>43901.6875</v>
      </c>
      <c r="C306" s="10">
        <f>INT(Cardiac_Table[[#This Row],[Hospital Admit Date ]])</f>
        <v>43901</v>
      </c>
      <c r="D306" s="11" t="str">
        <f t="shared" si="4"/>
        <v>16:30</v>
      </c>
      <c r="E306" s="9">
        <v>43902.340277777781</v>
      </c>
      <c r="F306" s="10">
        <f>INT(Cardiac_Table[[#This Row],[Procedure Start Date and Time]])</f>
        <v>43902</v>
      </c>
      <c r="G306" s="12">
        <f>MOD(Cardiac_Table[[#This Row],[Procedure Start Date and Time]],1)</f>
        <v>0.34027777778101154</v>
      </c>
      <c r="H306">
        <v>6</v>
      </c>
      <c r="I306" t="s">
        <v>4</v>
      </c>
      <c r="J306" t="s">
        <v>3</v>
      </c>
      <c r="K306" t="s">
        <v>28</v>
      </c>
      <c r="L306">
        <v>73</v>
      </c>
      <c r="M306">
        <v>5.98</v>
      </c>
      <c r="N306">
        <v>2.37</v>
      </c>
      <c r="O306" t="s">
        <v>15</v>
      </c>
      <c r="P306">
        <v>72</v>
      </c>
      <c r="Q306">
        <v>154</v>
      </c>
      <c r="R306">
        <v>98</v>
      </c>
      <c r="S306">
        <v>20</v>
      </c>
      <c r="T306" t="s">
        <v>51</v>
      </c>
      <c r="U306">
        <f>IF(Cardiac_Table[[#This Row],[Patient Status at Discharge]]="Died", 1,0)</f>
        <v>0</v>
      </c>
      <c r="V306">
        <f>Cardiac_Table[[#This Row],[Risk of Death % (Model 1)]]/100</f>
        <v>5.9800000000000006E-2</v>
      </c>
      <c r="W306">
        <f>Cardiac_Table[[#This Row],[Risk of Death % (Model 2)]]/100</f>
        <v>2.3700000000000002E-2</v>
      </c>
      <c r="X306" s="18">
        <f>Cardiac_Table[[#This Row],[Procedure Start Date and Time]]-Cardiac_Table[[#This Row],[Hospital Admit Date ]]</f>
        <v>0.65277777778101154</v>
      </c>
    </row>
    <row r="307" spans="1:24" x14ac:dyDescent="0.35">
      <c r="A307">
        <v>311</v>
      </c>
      <c r="B307" s="9">
        <v>43901.604166666664</v>
      </c>
      <c r="C307" s="10">
        <f>INT(Cardiac_Table[[#This Row],[Hospital Admit Date ]])</f>
        <v>43901</v>
      </c>
      <c r="D307" s="11" t="str">
        <f t="shared" si="4"/>
        <v>14:30</v>
      </c>
      <c r="E307" s="9">
        <v>43902.340277777781</v>
      </c>
      <c r="F307" s="10">
        <f>INT(Cardiac_Table[[#This Row],[Procedure Start Date and Time]])</f>
        <v>43902</v>
      </c>
      <c r="G307" s="12">
        <f>MOD(Cardiac_Table[[#This Row],[Procedure Start Date and Time]],1)</f>
        <v>0.34027777778101154</v>
      </c>
      <c r="H307">
        <v>1</v>
      </c>
      <c r="I307" t="s">
        <v>6</v>
      </c>
      <c r="J307" t="s">
        <v>1</v>
      </c>
      <c r="K307" t="s">
        <v>33</v>
      </c>
      <c r="L307">
        <v>71</v>
      </c>
      <c r="M307">
        <v>14.16</v>
      </c>
      <c r="N307">
        <v>7.27</v>
      </c>
      <c r="O307" t="s">
        <v>15</v>
      </c>
      <c r="P307">
        <v>61</v>
      </c>
      <c r="Q307">
        <v>172</v>
      </c>
      <c r="R307">
        <v>82</v>
      </c>
      <c r="S307">
        <v>30</v>
      </c>
      <c r="T307" t="s">
        <v>49</v>
      </c>
      <c r="U307">
        <f>IF(Cardiac_Table[[#This Row],[Patient Status at Discharge]]="Died", 1,0)</f>
        <v>0</v>
      </c>
      <c r="V307">
        <f>Cardiac_Table[[#This Row],[Risk of Death % (Model 1)]]/100</f>
        <v>0.1416</v>
      </c>
      <c r="W307">
        <f>Cardiac_Table[[#This Row],[Risk of Death % (Model 2)]]/100</f>
        <v>7.2700000000000001E-2</v>
      </c>
      <c r="X307" s="18">
        <f>Cardiac_Table[[#This Row],[Procedure Start Date and Time]]-Cardiac_Table[[#This Row],[Hospital Admit Date ]]</f>
        <v>0.73611111111677019</v>
      </c>
    </row>
    <row r="308" spans="1:24" x14ac:dyDescent="0.35">
      <c r="A308">
        <v>312</v>
      </c>
      <c r="B308" s="9">
        <v>43902.313194444447</v>
      </c>
      <c r="C308" s="10">
        <f>INT(Cardiac_Table[[#This Row],[Hospital Admit Date ]])</f>
        <v>43902</v>
      </c>
      <c r="D308" s="11" t="str">
        <f t="shared" si="4"/>
        <v>07:31</v>
      </c>
      <c r="E308" s="9">
        <v>43902.38958333333</v>
      </c>
      <c r="F308" s="10">
        <f>INT(Cardiac_Table[[#This Row],[Procedure Start Date and Time]])</f>
        <v>43902</v>
      </c>
      <c r="G308" s="12">
        <f>MOD(Cardiac_Table[[#This Row],[Procedure Start Date and Time]],1)</f>
        <v>0.38958333332993789</v>
      </c>
      <c r="H308">
        <v>2</v>
      </c>
      <c r="I308" t="s">
        <v>4</v>
      </c>
      <c r="J308" t="s">
        <v>3</v>
      </c>
      <c r="K308" t="s">
        <v>21</v>
      </c>
      <c r="L308">
        <v>70</v>
      </c>
      <c r="M308">
        <v>3.08</v>
      </c>
      <c r="N308">
        <v>0.67</v>
      </c>
      <c r="O308" t="s">
        <v>15</v>
      </c>
      <c r="P308">
        <v>79</v>
      </c>
      <c r="Q308">
        <v>181</v>
      </c>
      <c r="R308">
        <v>104</v>
      </c>
      <c r="S308">
        <v>51</v>
      </c>
      <c r="T308" t="s">
        <v>48</v>
      </c>
      <c r="U308">
        <f>IF(Cardiac_Table[[#This Row],[Patient Status at Discharge]]="Died", 1,0)</f>
        <v>0</v>
      </c>
      <c r="V308">
        <f>Cardiac_Table[[#This Row],[Risk of Death % (Model 1)]]/100</f>
        <v>3.0800000000000001E-2</v>
      </c>
      <c r="W308">
        <f>Cardiac_Table[[#This Row],[Risk of Death % (Model 2)]]/100</f>
        <v>6.7000000000000002E-3</v>
      </c>
      <c r="X308" s="18">
        <f>Cardiac_Table[[#This Row],[Procedure Start Date and Time]]-Cardiac_Table[[#This Row],[Hospital Admit Date ]]</f>
        <v>7.6388888883229811E-2</v>
      </c>
    </row>
    <row r="309" spans="1:24" x14ac:dyDescent="0.35">
      <c r="A309">
        <v>313</v>
      </c>
      <c r="B309" s="9">
        <v>43902.368055555555</v>
      </c>
      <c r="C309" s="10">
        <f>INT(Cardiac_Table[[#This Row],[Hospital Admit Date ]])</f>
        <v>43902</v>
      </c>
      <c r="D309" s="11" t="str">
        <f t="shared" si="4"/>
        <v>08:50</v>
      </c>
      <c r="E309" s="9">
        <v>43902.515277777777</v>
      </c>
      <c r="F309" s="10">
        <f>INT(Cardiac_Table[[#This Row],[Procedure Start Date and Time]])</f>
        <v>43902</v>
      </c>
      <c r="G309" s="12">
        <f>MOD(Cardiac_Table[[#This Row],[Procedure Start Date and Time]],1)</f>
        <v>0.51527777777664596</v>
      </c>
      <c r="H309">
        <v>1</v>
      </c>
      <c r="I309" t="s">
        <v>4</v>
      </c>
      <c r="J309" t="s">
        <v>3</v>
      </c>
      <c r="K309" t="s">
        <v>33</v>
      </c>
      <c r="L309">
        <v>75</v>
      </c>
      <c r="M309">
        <v>6.32</v>
      </c>
      <c r="N309">
        <v>1.17</v>
      </c>
      <c r="O309" t="s">
        <v>15</v>
      </c>
      <c r="P309">
        <v>108</v>
      </c>
      <c r="Q309">
        <v>156</v>
      </c>
      <c r="R309">
        <v>67</v>
      </c>
      <c r="S309">
        <v>64</v>
      </c>
      <c r="T309" t="s">
        <v>48</v>
      </c>
      <c r="U309">
        <f>IF(Cardiac_Table[[#This Row],[Patient Status at Discharge]]="Died", 1,0)</f>
        <v>0</v>
      </c>
      <c r="V309">
        <f>Cardiac_Table[[#This Row],[Risk of Death % (Model 1)]]/100</f>
        <v>6.3200000000000006E-2</v>
      </c>
      <c r="W309">
        <f>Cardiac_Table[[#This Row],[Risk of Death % (Model 2)]]/100</f>
        <v>1.1699999999999999E-2</v>
      </c>
      <c r="X309" s="18">
        <f>Cardiac_Table[[#This Row],[Procedure Start Date and Time]]-Cardiac_Table[[#This Row],[Hospital Admit Date ]]</f>
        <v>0.14722222222189885</v>
      </c>
    </row>
    <row r="310" spans="1:24" x14ac:dyDescent="0.35">
      <c r="A310">
        <v>314</v>
      </c>
      <c r="B310" s="9">
        <v>43902.333333333336</v>
      </c>
      <c r="C310" s="10">
        <f>INT(Cardiac_Table[[#This Row],[Hospital Admit Date ]])</f>
        <v>43902</v>
      </c>
      <c r="D310" s="11" t="str">
        <f t="shared" si="4"/>
        <v>08:00</v>
      </c>
      <c r="E310" s="9">
        <v>43902.544444444444</v>
      </c>
      <c r="F310" s="10">
        <f>INT(Cardiac_Table[[#This Row],[Procedure Start Date and Time]])</f>
        <v>43902</v>
      </c>
      <c r="G310" s="12">
        <f>MOD(Cardiac_Table[[#This Row],[Procedure Start Date and Time]],1)</f>
        <v>0.54444444444379769</v>
      </c>
      <c r="H310">
        <v>5</v>
      </c>
      <c r="I310" t="s">
        <v>4</v>
      </c>
      <c r="J310" t="s">
        <v>11</v>
      </c>
      <c r="K310" t="s">
        <v>23</v>
      </c>
      <c r="L310">
        <v>72</v>
      </c>
      <c r="M310">
        <v>3.51</v>
      </c>
      <c r="N310">
        <v>2.88</v>
      </c>
      <c r="O310" t="s">
        <v>15</v>
      </c>
      <c r="P310">
        <v>80</v>
      </c>
      <c r="Q310">
        <v>175</v>
      </c>
      <c r="R310">
        <v>167</v>
      </c>
      <c r="S310">
        <v>60</v>
      </c>
      <c r="T310" t="s">
        <v>48</v>
      </c>
      <c r="U310">
        <f>IF(Cardiac_Table[[#This Row],[Patient Status at Discharge]]="Died", 1,0)</f>
        <v>0</v>
      </c>
      <c r="V310">
        <f>Cardiac_Table[[#This Row],[Risk of Death % (Model 1)]]/100</f>
        <v>3.5099999999999999E-2</v>
      </c>
      <c r="W310">
        <f>Cardiac_Table[[#This Row],[Risk of Death % (Model 2)]]/100</f>
        <v>2.8799999999999999E-2</v>
      </c>
      <c r="X310" s="18">
        <f>Cardiac_Table[[#This Row],[Procedure Start Date and Time]]-Cardiac_Table[[#This Row],[Hospital Admit Date ]]</f>
        <v>0.21111111110803904</v>
      </c>
    </row>
    <row r="311" spans="1:24" x14ac:dyDescent="0.35">
      <c r="A311">
        <v>315</v>
      </c>
      <c r="B311" s="9">
        <v>43902.330555555556</v>
      </c>
      <c r="C311" s="10">
        <f>INT(Cardiac_Table[[#This Row],[Hospital Admit Date ]])</f>
        <v>43902</v>
      </c>
      <c r="D311" s="11" t="str">
        <f t="shared" si="4"/>
        <v>07:56</v>
      </c>
      <c r="E311" s="9">
        <v>43902.565972222219</v>
      </c>
      <c r="F311" s="10">
        <f>INT(Cardiac_Table[[#This Row],[Procedure Start Date and Time]])</f>
        <v>43902</v>
      </c>
      <c r="G311" s="12">
        <f>MOD(Cardiac_Table[[#This Row],[Procedure Start Date and Time]],1)</f>
        <v>0.56597222221898846</v>
      </c>
      <c r="H311">
        <v>3</v>
      </c>
      <c r="I311" t="s">
        <v>4</v>
      </c>
      <c r="J311" t="s">
        <v>11</v>
      </c>
      <c r="K311" t="s">
        <v>32</v>
      </c>
      <c r="L311">
        <v>81</v>
      </c>
      <c r="M311">
        <v>20.07</v>
      </c>
      <c r="N311">
        <v>16.09</v>
      </c>
      <c r="O311" t="s">
        <v>13</v>
      </c>
      <c r="P311">
        <v>65</v>
      </c>
      <c r="Q311">
        <v>180</v>
      </c>
      <c r="R311">
        <v>80</v>
      </c>
      <c r="S311">
        <v>28</v>
      </c>
      <c r="T311" t="s">
        <v>49</v>
      </c>
      <c r="U311">
        <f>IF(Cardiac_Table[[#This Row],[Patient Status at Discharge]]="Died", 1,0)</f>
        <v>1</v>
      </c>
      <c r="V311">
        <f>Cardiac_Table[[#This Row],[Risk of Death % (Model 1)]]/100</f>
        <v>0.20069999999999999</v>
      </c>
      <c r="W311">
        <f>Cardiac_Table[[#This Row],[Risk of Death % (Model 2)]]/100</f>
        <v>0.16089999999999999</v>
      </c>
      <c r="X311" s="18">
        <f>Cardiac_Table[[#This Row],[Procedure Start Date and Time]]-Cardiac_Table[[#This Row],[Hospital Admit Date ]]</f>
        <v>0.23541666666278616</v>
      </c>
    </row>
    <row r="312" spans="1:24" x14ac:dyDescent="0.35">
      <c r="A312">
        <v>316</v>
      </c>
      <c r="B312" s="9">
        <v>43902.327777777777</v>
      </c>
      <c r="C312" s="10">
        <f>INT(Cardiac_Table[[#This Row],[Hospital Admit Date ]])</f>
        <v>43902</v>
      </c>
      <c r="D312" s="11" t="str">
        <f t="shared" si="4"/>
        <v>07:52</v>
      </c>
      <c r="E312" s="9">
        <v>43902.602777777778</v>
      </c>
      <c r="F312" s="10">
        <f>INT(Cardiac_Table[[#This Row],[Procedure Start Date and Time]])</f>
        <v>43902</v>
      </c>
      <c r="G312" s="12">
        <f>MOD(Cardiac_Table[[#This Row],[Procedure Start Date and Time]],1)</f>
        <v>0.60277777777810115</v>
      </c>
      <c r="H312">
        <v>6</v>
      </c>
      <c r="I312" t="s">
        <v>4</v>
      </c>
      <c r="J312" t="s">
        <v>3</v>
      </c>
      <c r="K312" t="s">
        <v>28</v>
      </c>
      <c r="L312">
        <v>60</v>
      </c>
      <c r="M312">
        <v>2.2200000000000002</v>
      </c>
      <c r="N312">
        <v>0.62</v>
      </c>
      <c r="O312" t="s">
        <v>15</v>
      </c>
      <c r="P312">
        <v>92</v>
      </c>
      <c r="Q312">
        <v>165</v>
      </c>
      <c r="R312">
        <v>65</v>
      </c>
      <c r="S312">
        <v>51</v>
      </c>
      <c r="T312" t="s">
        <v>48</v>
      </c>
      <c r="U312">
        <f>IF(Cardiac_Table[[#This Row],[Patient Status at Discharge]]="Died", 1,0)</f>
        <v>0</v>
      </c>
      <c r="V312">
        <f>Cardiac_Table[[#This Row],[Risk of Death % (Model 1)]]/100</f>
        <v>2.2200000000000001E-2</v>
      </c>
      <c r="W312">
        <f>Cardiac_Table[[#This Row],[Risk of Death % (Model 2)]]/100</f>
        <v>6.1999999999999998E-3</v>
      </c>
      <c r="X312" s="18">
        <f>Cardiac_Table[[#This Row],[Procedure Start Date and Time]]-Cardiac_Table[[#This Row],[Hospital Admit Date ]]</f>
        <v>0.27500000000145519</v>
      </c>
    </row>
    <row r="313" spans="1:24" x14ac:dyDescent="0.35">
      <c r="A313">
        <v>317</v>
      </c>
      <c r="B313" s="9">
        <v>43901.59375</v>
      </c>
      <c r="C313" s="10">
        <f>INT(Cardiac_Table[[#This Row],[Hospital Admit Date ]])</f>
        <v>43901</v>
      </c>
      <c r="D313" s="11" t="str">
        <f t="shared" si="4"/>
        <v>14:15</v>
      </c>
      <c r="E313" s="9">
        <v>43903.338888888888</v>
      </c>
      <c r="F313" s="10">
        <f>INT(Cardiac_Table[[#This Row],[Procedure Start Date and Time]])</f>
        <v>43903</v>
      </c>
      <c r="G313" s="12">
        <f>MOD(Cardiac_Table[[#This Row],[Procedure Start Date and Time]],1)</f>
        <v>0.33888888888759539</v>
      </c>
      <c r="H313">
        <v>2</v>
      </c>
      <c r="I313" t="s">
        <v>4</v>
      </c>
      <c r="J313" t="s">
        <v>3</v>
      </c>
      <c r="K313" t="s">
        <v>21</v>
      </c>
      <c r="L313">
        <v>60</v>
      </c>
      <c r="M313">
        <v>4.55</v>
      </c>
      <c r="N313">
        <v>3.14</v>
      </c>
      <c r="O313" t="s">
        <v>15</v>
      </c>
      <c r="P313">
        <v>70</v>
      </c>
      <c r="Q313">
        <v>170</v>
      </c>
      <c r="R313">
        <v>71</v>
      </c>
      <c r="S313">
        <v>50</v>
      </c>
      <c r="T313" t="s">
        <v>50</v>
      </c>
      <c r="U313">
        <f>IF(Cardiac_Table[[#This Row],[Patient Status at Discharge]]="Died", 1,0)</f>
        <v>0</v>
      </c>
      <c r="V313">
        <f>Cardiac_Table[[#This Row],[Risk of Death % (Model 1)]]/100</f>
        <v>4.5499999999999999E-2</v>
      </c>
      <c r="W313">
        <f>Cardiac_Table[[#This Row],[Risk of Death % (Model 2)]]/100</f>
        <v>3.1400000000000004E-2</v>
      </c>
      <c r="X313" s="18">
        <f>Cardiac_Table[[#This Row],[Procedure Start Date and Time]]-Cardiac_Table[[#This Row],[Hospital Admit Date ]]</f>
        <v>1.7451388888875954</v>
      </c>
    </row>
    <row r="314" spans="1:24" x14ac:dyDescent="0.35">
      <c r="A314">
        <v>318</v>
      </c>
      <c r="B314" s="9">
        <v>43902.569444444445</v>
      </c>
      <c r="C314" s="10">
        <f>INT(Cardiac_Table[[#This Row],[Hospital Admit Date ]])</f>
        <v>43902</v>
      </c>
      <c r="D314" s="11" t="str">
        <f t="shared" si="4"/>
        <v>13:40</v>
      </c>
      <c r="E314" s="9">
        <v>43903.339583333334</v>
      </c>
      <c r="F314" s="10">
        <f>INT(Cardiac_Table[[#This Row],[Procedure Start Date and Time]])</f>
        <v>43903</v>
      </c>
      <c r="G314" s="12">
        <f>MOD(Cardiac_Table[[#This Row],[Procedure Start Date and Time]],1)</f>
        <v>0.33958333333430346</v>
      </c>
      <c r="H314">
        <v>3</v>
      </c>
      <c r="I314" t="s">
        <v>4</v>
      </c>
      <c r="J314" t="s">
        <v>3</v>
      </c>
      <c r="K314" t="s">
        <v>35</v>
      </c>
      <c r="L314">
        <v>59</v>
      </c>
      <c r="M314">
        <v>1.51</v>
      </c>
      <c r="N314">
        <v>0.5</v>
      </c>
      <c r="O314" t="s">
        <v>15</v>
      </c>
      <c r="P314">
        <v>74</v>
      </c>
      <c r="Q314">
        <v>175</v>
      </c>
      <c r="R314">
        <v>95</v>
      </c>
      <c r="S314">
        <v>71</v>
      </c>
      <c r="T314" t="s">
        <v>48</v>
      </c>
      <c r="U314">
        <f>IF(Cardiac_Table[[#This Row],[Patient Status at Discharge]]="Died", 1,0)</f>
        <v>0</v>
      </c>
      <c r="V314">
        <f>Cardiac_Table[[#This Row],[Risk of Death % (Model 1)]]/100</f>
        <v>1.5100000000000001E-2</v>
      </c>
      <c r="W314">
        <f>Cardiac_Table[[#This Row],[Risk of Death % (Model 2)]]/100</f>
        <v>5.0000000000000001E-3</v>
      </c>
      <c r="X314" s="18">
        <f>Cardiac_Table[[#This Row],[Procedure Start Date and Time]]-Cardiac_Table[[#This Row],[Hospital Admit Date ]]</f>
        <v>0.77013888888905058</v>
      </c>
    </row>
    <row r="315" spans="1:24" x14ac:dyDescent="0.35">
      <c r="A315">
        <v>319</v>
      </c>
      <c r="B315" s="9">
        <v>43903.289583333331</v>
      </c>
      <c r="C315" s="10">
        <f>INT(Cardiac_Table[[#This Row],[Hospital Admit Date ]])</f>
        <v>43903</v>
      </c>
      <c r="D315" s="11" t="str">
        <f t="shared" si="4"/>
        <v>06:57</v>
      </c>
      <c r="E315" s="9">
        <v>43903.34097222222</v>
      </c>
      <c r="F315" s="10">
        <f>INT(Cardiac_Table[[#This Row],[Procedure Start Date and Time]])</f>
        <v>43903</v>
      </c>
      <c r="G315" s="12">
        <f>MOD(Cardiac_Table[[#This Row],[Procedure Start Date and Time]],1)</f>
        <v>0.34097222222044365</v>
      </c>
      <c r="H315">
        <v>5</v>
      </c>
      <c r="I315" t="s">
        <v>4</v>
      </c>
      <c r="J315" t="s">
        <v>3</v>
      </c>
      <c r="K315" t="s">
        <v>28</v>
      </c>
      <c r="L315">
        <v>74</v>
      </c>
      <c r="M315">
        <v>5.46</v>
      </c>
      <c r="N315">
        <v>6.07</v>
      </c>
      <c r="O315" t="s">
        <v>15</v>
      </c>
      <c r="P315">
        <v>73</v>
      </c>
      <c r="Q315">
        <v>173</v>
      </c>
      <c r="R315">
        <v>70</v>
      </c>
      <c r="S315">
        <v>55</v>
      </c>
      <c r="T315" t="s">
        <v>48</v>
      </c>
      <c r="U315">
        <f>IF(Cardiac_Table[[#This Row],[Patient Status at Discharge]]="Died", 1,0)</f>
        <v>0</v>
      </c>
      <c r="V315">
        <f>Cardiac_Table[[#This Row],[Risk of Death % (Model 1)]]/100</f>
        <v>5.4600000000000003E-2</v>
      </c>
      <c r="W315">
        <f>Cardiac_Table[[#This Row],[Risk of Death % (Model 2)]]/100</f>
        <v>6.0700000000000004E-2</v>
      </c>
      <c r="X315" s="18">
        <f>Cardiac_Table[[#This Row],[Procedure Start Date and Time]]-Cardiac_Table[[#This Row],[Hospital Admit Date ]]</f>
        <v>5.1388888889050577E-2</v>
      </c>
    </row>
    <row r="316" spans="1:24" x14ac:dyDescent="0.35">
      <c r="A316">
        <v>320</v>
      </c>
      <c r="B316" s="9">
        <v>43902.432638888888</v>
      </c>
      <c r="C316" s="10">
        <f>INT(Cardiac_Table[[#This Row],[Hospital Admit Date ]])</f>
        <v>43902</v>
      </c>
      <c r="D316" s="11" t="str">
        <f t="shared" si="4"/>
        <v>10:23</v>
      </c>
      <c r="E316" s="9">
        <v>43903.398611111108</v>
      </c>
      <c r="F316" s="10">
        <f>INT(Cardiac_Table[[#This Row],[Procedure Start Date and Time]])</f>
        <v>43903</v>
      </c>
      <c r="G316" s="12">
        <f>MOD(Cardiac_Table[[#This Row],[Procedure Start Date and Time]],1)</f>
        <v>0.39861111110803904</v>
      </c>
      <c r="H316">
        <v>6</v>
      </c>
      <c r="I316" t="s">
        <v>4</v>
      </c>
      <c r="J316" t="s">
        <v>10</v>
      </c>
      <c r="K316" t="s">
        <v>31</v>
      </c>
      <c r="L316">
        <v>81</v>
      </c>
      <c r="M316">
        <v>10.14</v>
      </c>
      <c r="N316">
        <v>2.34</v>
      </c>
      <c r="O316" t="s">
        <v>15</v>
      </c>
      <c r="P316">
        <v>81</v>
      </c>
      <c r="Q316">
        <v>150</v>
      </c>
      <c r="R316">
        <v>60</v>
      </c>
      <c r="S316">
        <v>54</v>
      </c>
      <c r="T316" t="s">
        <v>48</v>
      </c>
      <c r="U316">
        <f>IF(Cardiac_Table[[#This Row],[Patient Status at Discharge]]="Died", 1,0)</f>
        <v>0</v>
      </c>
      <c r="V316">
        <f>Cardiac_Table[[#This Row],[Risk of Death % (Model 1)]]/100</f>
        <v>0.1014</v>
      </c>
      <c r="W316">
        <f>Cardiac_Table[[#This Row],[Risk of Death % (Model 2)]]/100</f>
        <v>2.3399999999999997E-2</v>
      </c>
      <c r="X316" s="18">
        <f>Cardiac_Table[[#This Row],[Procedure Start Date and Time]]-Cardiac_Table[[#This Row],[Hospital Admit Date ]]</f>
        <v>0.96597222222044365</v>
      </c>
    </row>
    <row r="317" spans="1:24" x14ac:dyDescent="0.35">
      <c r="A317">
        <v>321</v>
      </c>
      <c r="B317" s="9">
        <v>43902.525694444441</v>
      </c>
      <c r="C317" s="10">
        <f>INT(Cardiac_Table[[#This Row],[Hospital Admit Date ]])</f>
        <v>43902</v>
      </c>
      <c r="D317" s="11" t="str">
        <f t="shared" si="4"/>
        <v>12:37</v>
      </c>
      <c r="E317" s="9">
        <v>43903.510416666664</v>
      </c>
      <c r="F317" s="10">
        <f>INT(Cardiac_Table[[#This Row],[Procedure Start Date and Time]])</f>
        <v>43903</v>
      </c>
      <c r="G317" s="12">
        <f>MOD(Cardiac_Table[[#This Row],[Procedure Start Date and Time]],1)</f>
        <v>0.51041666666424135</v>
      </c>
      <c r="H317">
        <v>6</v>
      </c>
      <c r="I317" t="s">
        <v>4</v>
      </c>
      <c r="J317" t="s">
        <v>10</v>
      </c>
      <c r="K317" t="s">
        <v>31</v>
      </c>
      <c r="L317">
        <v>70</v>
      </c>
      <c r="M317">
        <v>2.94</v>
      </c>
      <c r="N317">
        <v>0.89</v>
      </c>
      <c r="O317" t="s">
        <v>15</v>
      </c>
      <c r="P317">
        <v>92</v>
      </c>
      <c r="Q317">
        <v>176</v>
      </c>
      <c r="R317">
        <v>89</v>
      </c>
      <c r="S317">
        <v>50</v>
      </c>
      <c r="T317" t="s">
        <v>50</v>
      </c>
      <c r="U317">
        <f>IF(Cardiac_Table[[#This Row],[Patient Status at Discharge]]="Died", 1,0)</f>
        <v>0</v>
      </c>
      <c r="V317">
        <f>Cardiac_Table[[#This Row],[Risk of Death % (Model 1)]]/100</f>
        <v>2.9399999999999999E-2</v>
      </c>
      <c r="W317">
        <f>Cardiac_Table[[#This Row],[Risk of Death % (Model 2)]]/100</f>
        <v>8.8999999999999999E-3</v>
      </c>
      <c r="X317" s="18">
        <f>Cardiac_Table[[#This Row],[Procedure Start Date and Time]]-Cardiac_Table[[#This Row],[Hospital Admit Date ]]</f>
        <v>0.98472222222335404</v>
      </c>
    </row>
    <row r="318" spans="1:24" x14ac:dyDescent="0.35">
      <c r="A318">
        <v>322</v>
      </c>
      <c r="B318" s="9">
        <v>43903.309027777781</v>
      </c>
      <c r="C318" s="10">
        <f>INT(Cardiac_Table[[#This Row],[Hospital Admit Date ]])</f>
        <v>43903</v>
      </c>
      <c r="D318" s="11" t="str">
        <f t="shared" si="4"/>
        <v>07:25</v>
      </c>
      <c r="E318" s="9">
        <v>43903.582638888889</v>
      </c>
      <c r="F318" s="10">
        <f>INT(Cardiac_Table[[#This Row],[Procedure Start Date and Time]])</f>
        <v>43903</v>
      </c>
      <c r="G318" s="12">
        <f>MOD(Cardiac_Table[[#This Row],[Procedure Start Date and Time]],1)</f>
        <v>0.58263888888905058</v>
      </c>
      <c r="H318">
        <v>3</v>
      </c>
      <c r="I318" t="s">
        <v>4</v>
      </c>
      <c r="J318" t="s">
        <v>3</v>
      </c>
      <c r="K318" t="s">
        <v>35</v>
      </c>
      <c r="L318">
        <v>68</v>
      </c>
      <c r="M318">
        <v>1.59</v>
      </c>
      <c r="N318">
        <v>0.63</v>
      </c>
      <c r="O318" t="s">
        <v>15</v>
      </c>
      <c r="P318">
        <v>174</v>
      </c>
      <c r="Q318">
        <v>175</v>
      </c>
      <c r="R318">
        <v>91</v>
      </c>
      <c r="S318">
        <v>34</v>
      </c>
      <c r="T318" t="s">
        <v>50</v>
      </c>
      <c r="U318">
        <f>IF(Cardiac_Table[[#This Row],[Patient Status at Discharge]]="Died", 1,0)</f>
        <v>0</v>
      </c>
      <c r="V318">
        <f>Cardiac_Table[[#This Row],[Risk of Death % (Model 1)]]/100</f>
        <v>1.5900000000000001E-2</v>
      </c>
      <c r="W318">
        <f>Cardiac_Table[[#This Row],[Risk of Death % (Model 2)]]/100</f>
        <v>6.3E-3</v>
      </c>
      <c r="X318" s="18">
        <f>Cardiac_Table[[#This Row],[Procedure Start Date and Time]]-Cardiac_Table[[#This Row],[Hospital Admit Date ]]</f>
        <v>0.27361111110803904</v>
      </c>
    </row>
    <row r="319" spans="1:24" x14ac:dyDescent="0.35">
      <c r="A319">
        <v>323</v>
      </c>
      <c r="B319" s="9">
        <v>43903.659722222219</v>
      </c>
      <c r="C319" s="10">
        <f>INT(Cardiac_Table[[#This Row],[Hospital Admit Date ]])</f>
        <v>43903</v>
      </c>
      <c r="D319" s="11" t="str">
        <f t="shared" si="4"/>
        <v>15:50</v>
      </c>
      <c r="E319" s="9">
        <v>43904.331944444442</v>
      </c>
      <c r="F319" s="10">
        <f>INT(Cardiac_Table[[#This Row],[Procedure Start Date and Time]])</f>
        <v>43904</v>
      </c>
      <c r="G319" s="12">
        <f>MOD(Cardiac_Table[[#This Row],[Procedure Start Date and Time]],1)</f>
        <v>0.3319444444423425</v>
      </c>
      <c r="H319">
        <v>2</v>
      </c>
      <c r="I319" t="s">
        <v>4</v>
      </c>
      <c r="J319" t="s">
        <v>3</v>
      </c>
      <c r="K319" t="s">
        <v>23</v>
      </c>
      <c r="L319">
        <v>76</v>
      </c>
      <c r="M319">
        <v>4.53</v>
      </c>
      <c r="N319">
        <v>0.88</v>
      </c>
      <c r="O319" t="s">
        <v>15</v>
      </c>
      <c r="P319">
        <v>93</v>
      </c>
      <c r="Q319">
        <v>175</v>
      </c>
      <c r="R319">
        <v>93</v>
      </c>
      <c r="S319">
        <v>50</v>
      </c>
      <c r="T319" t="s">
        <v>50</v>
      </c>
      <c r="U319">
        <f>IF(Cardiac_Table[[#This Row],[Patient Status at Discharge]]="Died", 1,0)</f>
        <v>0</v>
      </c>
      <c r="V319">
        <f>Cardiac_Table[[#This Row],[Risk of Death % (Model 1)]]/100</f>
        <v>4.53E-2</v>
      </c>
      <c r="W319">
        <f>Cardiac_Table[[#This Row],[Risk of Death % (Model 2)]]/100</f>
        <v>8.8000000000000005E-3</v>
      </c>
      <c r="X319" s="18">
        <f>Cardiac_Table[[#This Row],[Procedure Start Date and Time]]-Cardiac_Table[[#This Row],[Hospital Admit Date ]]</f>
        <v>0.67222222222335404</v>
      </c>
    </row>
    <row r="320" spans="1:24" x14ac:dyDescent="0.35">
      <c r="A320">
        <v>324</v>
      </c>
      <c r="B320" s="9">
        <v>43903.561805555553</v>
      </c>
      <c r="C320" s="10">
        <f>INT(Cardiac_Table[[#This Row],[Hospital Admit Date ]])</f>
        <v>43903</v>
      </c>
      <c r="D320" s="11" t="str">
        <f t="shared" si="4"/>
        <v>13:29</v>
      </c>
      <c r="E320" s="9">
        <v>43904.333333333336</v>
      </c>
      <c r="F320" s="10">
        <f>INT(Cardiac_Table[[#This Row],[Procedure Start Date and Time]])</f>
        <v>43904</v>
      </c>
      <c r="G320" s="12">
        <f>MOD(Cardiac_Table[[#This Row],[Procedure Start Date and Time]],1)</f>
        <v>0.33333333333575865</v>
      </c>
      <c r="H320">
        <v>5</v>
      </c>
      <c r="I320" t="s">
        <v>4</v>
      </c>
      <c r="J320" t="s">
        <v>3</v>
      </c>
      <c r="K320" t="s">
        <v>24</v>
      </c>
      <c r="L320">
        <v>67</v>
      </c>
      <c r="M320">
        <v>2.54</v>
      </c>
      <c r="N320">
        <v>0.68</v>
      </c>
      <c r="O320" t="s">
        <v>15</v>
      </c>
      <c r="P320">
        <v>135</v>
      </c>
      <c r="Q320">
        <v>159</v>
      </c>
      <c r="R320">
        <v>94</v>
      </c>
      <c r="S320">
        <v>41</v>
      </c>
      <c r="T320" t="s">
        <v>50</v>
      </c>
      <c r="U320">
        <f>IF(Cardiac_Table[[#This Row],[Patient Status at Discharge]]="Died", 1,0)</f>
        <v>0</v>
      </c>
      <c r="V320">
        <f>Cardiac_Table[[#This Row],[Risk of Death % (Model 1)]]/100</f>
        <v>2.5399999999999999E-2</v>
      </c>
      <c r="W320">
        <f>Cardiac_Table[[#This Row],[Risk of Death % (Model 2)]]/100</f>
        <v>6.8000000000000005E-3</v>
      </c>
      <c r="X320" s="18">
        <f>Cardiac_Table[[#This Row],[Procedure Start Date and Time]]-Cardiac_Table[[#This Row],[Hospital Admit Date ]]</f>
        <v>0.77152777778246673</v>
      </c>
    </row>
    <row r="321" spans="1:24" x14ac:dyDescent="0.35">
      <c r="A321">
        <v>325</v>
      </c>
      <c r="B321" s="9">
        <v>43891.5</v>
      </c>
      <c r="C321" s="10">
        <f>INT(Cardiac_Table[[#This Row],[Hospital Admit Date ]])</f>
        <v>43891</v>
      </c>
      <c r="D321" s="11" t="str">
        <f t="shared" si="4"/>
        <v>12:00</v>
      </c>
      <c r="E321" s="9">
        <v>43904.386805555558</v>
      </c>
      <c r="F321" s="10">
        <f>INT(Cardiac_Table[[#This Row],[Procedure Start Date and Time]])</f>
        <v>43904</v>
      </c>
      <c r="G321" s="12">
        <f>MOD(Cardiac_Table[[#This Row],[Procedure Start Date and Time]],1)</f>
        <v>0.3868055555576575</v>
      </c>
      <c r="H321">
        <v>1</v>
      </c>
      <c r="I321" t="s">
        <v>2</v>
      </c>
      <c r="J321" t="s">
        <v>5</v>
      </c>
      <c r="K321" t="s">
        <v>31</v>
      </c>
      <c r="L321">
        <v>67</v>
      </c>
      <c r="M321">
        <v>12.24</v>
      </c>
      <c r="N321">
        <v>6.56</v>
      </c>
      <c r="O321" t="s">
        <v>15</v>
      </c>
      <c r="P321">
        <v>137</v>
      </c>
      <c r="Q321">
        <v>189</v>
      </c>
      <c r="R321">
        <v>88</v>
      </c>
      <c r="S321">
        <v>50</v>
      </c>
      <c r="T321" t="s">
        <v>50</v>
      </c>
      <c r="U321">
        <f>IF(Cardiac_Table[[#This Row],[Patient Status at Discharge]]="Died", 1,0)</f>
        <v>0</v>
      </c>
      <c r="V321">
        <f>Cardiac_Table[[#This Row],[Risk of Death % (Model 1)]]/100</f>
        <v>0.12240000000000001</v>
      </c>
      <c r="W321">
        <f>Cardiac_Table[[#This Row],[Risk of Death % (Model 2)]]/100</f>
        <v>6.5599999999999992E-2</v>
      </c>
      <c r="X321" s="18">
        <f>Cardiac_Table[[#This Row],[Procedure Start Date and Time]]-Cardiac_Table[[#This Row],[Hospital Admit Date ]]</f>
        <v>12.886805555557657</v>
      </c>
    </row>
    <row r="322" spans="1:24" x14ac:dyDescent="0.35">
      <c r="A322">
        <v>326</v>
      </c>
      <c r="B322" s="9">
        <v>43903.57708333333</v>
      </c>
      <c r="C322" s="10">
        <f>INT(Cardiac_Table[[#This Row],[Hospital Admit Date ]])</f>
        <v>43903</v>
      </c>
      <c r="D322" s="11" t="str">
        <f t="shared" ref="D322:D385" si="5">TEXT(B322,"HH:MM")</f>
        <v>13:51</v>
      </c>
      <c r="E322" s="9">
        <v>43904.479166666664</v>
      </c>
      <c r="F322" s="10">
        <f>INT(Cardiac_Table[[#This Row],[Procedure Start Date and Time]])</f>
        <v>43904</v>
      </c>
      <c r="G322" s="12">
        <f>MOD(Cardiac_Table[[#This Row],[Procedure Start Date and Time]],1)</f>
        <v>0.47916666666424135</v>
      </c>
      <c r="H322">
        <v>2</v>
      </c>
      <c r="I322" t="s">
        <v>4</v>
      </c>
      <c r="J322" t="s">
        <v>10</v>
      </c>
      <c r="K322" t="s">
        <v>23</v>
      </c>
      <c r="L322">
        <v>69</v>
      </c>
      <c r="M322">
        <v>3.23</v>
      </c>
      <c r="N322">
        <v>1.48</v>
      </c>
      <c r="O322" t="s">
        <v>15</v>
      </c>
      <c r="P322">
        <v>62</v>
      </c>
      <c r="Q322">
        <v>181</v>
      </c>
      <c r="R322">
        <v>77</v>
      </c>
      <c r="S322">
        <v>50</v>
      </c>
      <c r="T322" t="s">
        <v>50</v>
      </c>
      <c r="U322">
        <f>IF(Cardiac_Table[[#This Row],[Patient Status at Discharge]]="Died", 1,0)</f>
        <v>0</v>
      </c>
      <c r="V322">
        <f>Cardiac_Table[[#This Row],[Risk of Death % (Model 1)]]/100</f>
        <v>3.2300000000000002E-2</v>
      </c>
      <c r="W322">
        <f>Cardiac_Table[[#This Row],[Risk of Death % (Model 2)]]/100</f>
        <v>1.4800000000000001E-2</v>
      </c>
      <c r="X322" s="18">
        <f>Cardiac_Table[[#This Row],[Procedure Start Date and Time]]-Cardiac_Table[[#This Row],[Hospital Admit Date ]]</f>
        <v>0.90208333333430346</v>
      </c>
    </row>
    <row r="323" spans="1:24" x14ac:dyDescent="0.35">
      <c r="A323">
        <v>327</v>
      </c>
      <c r="B323" s="9">
        <v>43903.452777777777</v>
      </c>
      <c r="C323" s="10">
        <f>INT(Cardiac_Table[[#This Row],[Hospital Admit Date ]])</f>
        <v>43903</v>
      </c>
      <c r="D323" s="11" t="str">
        <f t="shared" si="5"/>
        <v>10:52</v>
      </c>
      <c r="E323" s="9">
        <v>43904.54583333333</v>
      </c>
      <c r="F323" s="10">
        <f>INT(Cardiac_Table[[#This Row],[Procedure Start Date and Time]])</f>
        <v>43904</v>
      </c>
      <c r="G323" s="12">
        <f>MOD(Cardiac_Table[[#This Row],[Procedure Start Date and Time]],1)</f>
        <v>0.54583333332993789</v>
      </c>
      <c r="H323">
        <v>5</v>
      </c>
      <c r="I323" t="s">
        <v>4</v>
      </c>
      <c r="J323" t="s">
        <v>11</v>
      </c>
      <c r="K323" t="s">
        <v>24</v>
      </c>
      <c r="L323">
        <v>70</v>
      </c>
      <c r="M323">
        <v>3.08</v>
      </c>
      <c r="N323">
        <v>1.27</v>
      </c>
      <c r="O323" t="s">
        <v>15</v>
      </c>
      <c r="P323">
        <v>92</v>
      </c>
      <c r="Q323">
        <v>170</v>
      </c>
      <c r="R323">
        <v>72</v>
      </c>
      <c r="S323">
        <v>35</v>
      </c>
      <c r="T323" t="s">
        <v>50</v>
      </c>
      <c r="U323">
        <f>IF(Cardiac_Table[[#This Row],[Patient Status at Discharge]]="Died", 1,0)</f>
        <v>0</v>
      </c>
      <c r="V323">
        <f>Cardiac_Table[[#This Row],[Risk of Death % (Model 1)]]/100</f>
        <v>3.0800000000000001E-2</v>
      </c>
      <c r="W323">
        <f>Cardiac_Table[[#This Row],[Risk of Death % (Model 2)]]/100</f>
        <v>1.2699999999999999E-2</v>
      </c>
      <c r="X323" s="18">
        <f>Cardiac_Table[[#This Row],[Procedure Start Date and Time]]-Cardiac_Table[[#This Row],[Hospital Admit Date ]]</f>
        <v>1.0930555555532919</v>
      </c>
    </row>
    <row r="324" spans="1:24" x14ac:dyDescent="0.35">
      <c r="A324">
        <v>328</v>
      </c>
      <c r="B324" s="9">
        <v>43896.5</v>
      </c>
      <c r="C324" s="10">
        <f>INT(Cardiac_Table[[#This Row],[Hospital Admit Date ]])</f>
        <v>43896</v>
      </c>
      <c r="D324" s="11" t="str">
        <f t="shared" si="5"/>
        <v>12:00</v>
      </c>
      <c r="E324" s="9">
        <v>43906.338194444441</v>
      </c>
      <c r="F324" s="10">
        <f>INT(Cardiac_Table[[#This Row],[Procedure Start Date and Time]])</f>
        <v>43906</v>
      </c>
      <c r="G324" s="12">
        <f>MOD(Cardiac_Table[[#This Row],[Procedure Start Date and Time]],1)</f>
        <v>0.33819444444088731</v>
      </c>
      <c r="H324">
        <v>5</v>
      </c>
      <c r="I324" t="s">
        <v>6</v>
      </c>
      <c r="J324" t="s">
        <v>10</v>
      </c>
      <c r="K324" t="s">
        <v>24</v>
      </c>
      <c r="L324">
        <v>54</v>
      </c>
      <c r="M324">
        <v>2.64</v>
      </c>
      <c r="N324">
        <v>1.73</v>
      </c>
      <c r="O324" t="s">
        <v>15</v>
      </c>
      <c r="P324">
        <v>94</v>
      </c>
      <c r="Q324">
        <v>180</v>
      </c>
      <c r="R324">
        <v>130</v>
      </c>
      <c r="S324">
        <v>60</v>
      </c>
      <c r="T324" t="s">
        <v>48</v>
      </c>
      <c r="U324">
        <f>IF(Cardiac_Table[[#This Row],[Patient Status at Discharge]]="Died", 1,0)</f>
        <v>0</v>
      </c>
      <c r="V324">
        <f>Cardiac_Table[[#This Row],[Risk of Death % (Model 1)]]/100</f>
        <v>2.64E-2</v>
      </c>
      <c r="W324">
        <f>Cardiac_Table[[#This Row],[Risk of Death % (Model 2)]]/100</f>
        <v>1.7299999999999999E-2</v>
      </c>
      <c r="X324" s="18">
        <f>Cardiac_Table[[#This Row],[Procedure Start Date and Time]]-Cardiac_Table[[#This Row],[Hospital Admit Date ]]</f>
        <v>9.8381944444408873</v>
      </c>
    </row>
    <row r="325" spans="1:24" x14ac:dyDescent="0.35">
      <c r="A325">
        <v>329</v>
      </c>
      <c r="B325" s="9">
        <v>43905.583333333336</v>
      </c>
      <c r="C325" s="10">
        <f>INT(Cardiac_Table[[#This Row],[Hospital Admit Date ]])</f>
        <v>43905</v>
      </c>
      <c r="D325" s="11" t="str">
        <f t="shared" si="5"/>
        <v>14:00</v>
      </c>
      <c r="E325" s="9">
        <v>43906.34375</v>
      </c>
      <c r="F325" s="10">
        <f>INT(Cardiac_Table[[#This Row],[Procedure Start Date and Time]])</f>
        <v>43906</v>
      </c>
      <c r="G325" s="12">
        <f>MOD(Cardiac_Table[[#This Row],[Procedure Start Date and Time]],1)</f>
        <v>0.34375</v>
      </c>
      <c r="H325">
        <v>2</v>
      </c>
      <c r="I325" t="s">
        <v>4</v>
      </c>
      <c r="J325" t="s">
        <v>10</v>
      </c>
      <c r="K325" t="s">
        <v>31</v>
      </c>
      <c r="L325">
        <v>61</v>
      </c>
      <c r="M325">
        <v>1.01</v>
      </c>
      <c r="N325">
        <v>0.52</v>
      </c>
      <c r="O325" t="s">
        <v>15</v>
      </c>
      <c r="P325">
        <v>159</v>
      </c>
      <c r="Q325">
        <v>152</v>
      </c>
      <c r="R325">
        <v>64</v>
      </c>
      <c r="S325">
        <v>55</v>
      </c>
      <c r="T325" t="s">
        <v>48</v>
      </c>
      <c r="U325">
        <f>IF(Cardiac_Table[[#This Row],[Patient Status at Discharge]]="Died", 1,0)</f>
        <v>0</v>
      </c>
      <c r="V325">
        <f>Cardiac_Table[[#This Row],[Risk of Death % (Model 1)]]/100</f>
        <v>1.01E-2</v>
      </c>
      <c r="W325">
        <f>Cardiac_Table[[#This Row],[Risk of Death % (Model 2)]]/100</f>
        <v>5.1999999999999998E-3</v>
      </c>
      <c r="X325" s="18">
        <f>Cardiac_Table[[#This Row],[Procedure Start Date and Time]]-Cardiac_Table[[#This Row],[Hospital Admit Date ]]</f>
        <v>0.76041666666424135</v>
      </c>
    </row>
    <row r="326" spans="1:24" x14ac:dyDescent="0.35">
      <c r="A326">
        <v>330</v>
      </c>
      <c r="B326" s="9">
        <v>43898.5</v>
      </c>
      <c r="C326" s="10">
        <f>INT(Cardiac_Table[[#This Row],[Hospital Admit Date ]])</f>
        <v>43898</v>
      </c>
      <c r="D326" s="11" t="str">
        <f t="shared" si="5"/>
        <v>12:00</v>
      </c>
      <c r="E326" s="9">
        <v>43906.599305555559</v>
      </c>
      <c r="F326" s="10">
        <f>INT(Cardiac_Table[[#This Row],[Procedure Start Date and Time]])</f>
        <v>43906</v>
      </c>
      <c r="G326" s="12">
        <f>MOD(Cardiac_Table[[#This Row],[Procedure Start Date and Time]],1)</f>
        <v>0.59930555555911269</v>
      </c>
      <c r="H326">
        <v>2</v>
      </c>
      <c r="I326" t="s">
        <v>6</v>
      </c>
      <c r="J326" t="s">
        <v>10</v>
      </c>
      <c r="K326" t="s">
        <v>31</v>
      </c>
      <c r="L326">
        <v>72</v>
      </c>
      <c r="M326">
        <v>3.52</v>
      </c>
      <c r="N326">
        <v>1.25</v>
      </c>
      <c r="O326" t="s">
        <v>15</v>
      </c>
      <c r="P326">
        <v>74</v>
      </c>
      <c r="Q326">
        <v>177</v>
      </c>
      <c r="R326">
        <v>90</v>
      </c>
      <c r="S326">
        <v>42</v>
      </c>
      <c r="T326" t="s">
        <v>50</v>
      </c>
      <c r="U326">
        <f>IF(Cardiac_Table[[#This Row],[Patient Status at Discharge]]="Died", 1,0)</f>
        <v>0</v>
      </c>
      <c r="V326">
        <f>Cardiac_Table[[#This Row],[Risk of Death % (Model 1)]]/100</f>
        <v>3.5200000000000002E-2</v>
      </c>
      <c r="W326">
        <f>Cardiac_Table[[#This Row],[Risk of Death % (Model 2)]]/100</f>
        <v>1.2500000000000001E-2</v>
      </c>
      <c r="X326" s="18">
        <f>Cardiac_Table[[#This Row],[Procedure Start Date and Time]]-Cardiac_Table[[#This Row],[Hospital Admit Date ]]</f>
        <v>8.0993055555591127</v>
      </c>
    </row>
    <row r="327" spans="1:24" x14ac:dyDescent="0.35">
      <c r="A327">
        <v>331</v>
      </c>
      <c r="B327" s="9">
        <v>43905.666666666664</v>
      </c>
      <c r="C327" s="10">
        <f>INT(Cardiac_Table[[#This Row],[Hospital Admit Date ]])</f>
        <v>43905</v>
      </c>
      <c r="D327" s="11" t="str">
        <f t="shared" si="5"/>
        <v>16:00</v>
      </c>
      <c r="E327" s="9">
        <v>43907.34652777778</v>
      </c>
      <c r="F327" s="10">
        <f>INT(Cardiac_Table[[#This Row],[Procedure Start Date and Time]])</f>
        <v>43907</v>
      </c>
      <c r="G327" s="12">
        <f>MOD(Cardiac_Table[[#This Row],[Procedure Start Date and Time]],1)</f>
        <v>0.34652777777955635</v>
      </c>
      <c r="H327">
        <v>3</v>
      </c>
      <c r="I327" t="s">
        <v>4</v>
      </c>
      <c r="J327" t="s">
        <v>1</v>
      </c>
      <c r="K327" t="s">
        <v>23</v>
      </c>
      <c r="L327">
        <v>75</v>
      </c>
      <c r="M327">
        <v>16.46</v>
      </c>
      <c r="N327">
        <v>1.82</v>
      </c>
      <c r="O327" t="s">
        <v>15</v>
      </c>
      <c r="P327">
        <v>74</v>
      </c>
      <c r="Q327">
        <v>165</v>
      </c>
      <c r="R327">
        <v>83</v>
      </c>
      <c r="S327">
        <v>55</v>
      </c>
      <c r="T327" t="s">
        <v>48</v>
      </c>
      <c r="U327">
        <f>IF(Cardiac_Table[[#This Row],[Patient Status at Discharge]]="Died", 1,0)</f>
        <v>0</v>
      </c>
      <c r="V327">
        <f>Cardiac_Table[[#This Row],[Risk of Death % (Model 1)]]/100</f>
        <v>0.1646</v>
      </c>
      <c r="W327">
        <f>Cardiac_Table[[#This Row],[Risk of Death % (Model 2)]]/100</f>
        <v>1.8200000000000001E-2</v>
      </c>
      <c r="X327" s="18">
        <f>Cardiac_Table[[#This Row],[Procedure Start Date and Time]]-Cardiac_Table[[#This Row],[Hospital Admit Date ]]</f>
        <v>1.679861111115315</v>
      </c>
    </row>
    <row r="328" spans="1:24" x14ac:dyDescent="0.35">
      <c r="A328">
        <v>332</v>
      </c>
      <c r="B328" s="9">
        <v>43907.293749999997</v>
      </c>
      <c r="C328" s="10">
        <f>INT(Cardiac_Table[[#This Row],[Hospital Admit Date ]])</f>
        <v>43907</v>
      </c>
      <c r="D328" s="11" t="str">
        <f t="shared" si="5"/>
        <v>07:03</v>
      </c>
      <c r="E328" s="9">
        <v>43907.347222222219</v>
      </c>
      <c r="F328" s="10">
        <f>INT(Cardiac_Table[[#This Row],[Procedure Start Date and Time]])</f>
        <v>43907</v>
      </c>
      <c r="G328" s="12">
        <f>MOD(Cardiac_Table[[#This Row],[Procedure Start Date and Time]],1)</f>
        <v>0.34722222221898846</v>
      </c>
      <c r="H328">
        <v>2</v>
      </c>
      <c r="I328" t="s">
        <v>4</v>
      </c>
      <c r="J328" t="s">
        <v>11</v>
      </c>
      <c r="K328" t="s">
        <v>28</v>
      </c>
      <c r="L328">
        <v>84</v>
      </c>
      <c r="M328">
        <v>19.510000000000002</v>
      </c>
      <c r="N328">
        <v>15.66</v>
      </c>
      <c r="O328" t="s">
        <v>15</v>
      </c>
      <c r="P328">
        <v>102</v>
      </c>
      <c r="Q328">
        <v>175</v>
      </c>
      <c r="R328">
        <v>107</v>
      </c>
      <c r="S328">
        <v>55</v>
      </c>
      <c r="T328" t="s">
        <v>48</v>
      </c>
      <c r="U328">
        <f>IF(Cardiac_Table[[#This Row],[Patient Status at Discharge]]="Died", 1,0)</f>
        <v>0</v>
      </c>
      <c r="V328">
        <f>Cardiac_Table[[#This Row],[Risk of Death % (Model 1)]]/100</f>
        <v>0.19510000000000002</v>
      </c>
      <c r="W328">
        <f>Cardiac_Table[[#This Row],[Risk of Death % (Model 2)]]/100</f>
        <v>0.15659999999999999</v>
      </c>
      <c r="X328" s="18">
        <f>Cardiac_Table[[#This Row],[Procedure Start Date and Time]]-Cardiac_Table[[#This Row],[Hospital Admit Date ]]</f>
        <v>5.3472222221898846E-2</v>
      </c>
    </row>
    <row r="329" spans="1:24" x14ac:dyDescent="0.35">
      <c r="A329">
        <v>333</v>
      </c>
      <c r="B329" s="9">
        <v>43905.645833333336</v>
      </c>
      <c r="C329" s="10">
        <f>INT(Cardiac_Table[[#This Row],[Hospital Admit Date ]])</f>
        <v>43905</v>
      </c>
      <c r="D329" s="11" t="str">
        <f t="shared" si="5"/>
        <v>15:30</v>
      </c>
      <c r="E329" s="9">
        <v>43907.385416666664</v>
      </c>
      <c r="F329" s="10">
        <f>INT(Cardiac_Table[[#This Row],[Procedure Start Date and Time]])</f>
        <v>43907</v>
      </c>
      <c r="G329" s="12">
        <f>MOD(Cardiac_Table[[#This Row],[Procedure Start Date and Time]],1)</f>
        <v>0.38541666666424135</v>
      </c>
      <c r="H329">
        <v>6</v>
      </c>
      <c r="I329" t="s">
        <v>6</v>
      </c>
      <c r="J329" t="s">
        <v>10</v>
      </c>
      <c r="K329" t="s">
        <v>21</v>
      </c>
      <c r="L329">
        <v>77</v>
      </c>
      <c r="M329">
        <v>22.08</v>
      </c>
      <c r="N329">
        <v>4.8499999999999996</v>
      </c>
      <c r="O329" t="s">
        <v>15</v>
      </c>
      <c r="P329">
        <v>73</v>
      </c>
      <c r="Q329">
        <v>162</v>
      </c>
      <c r="R329">
        <v>70</v>
      </c>
      <c r="S329">
        <v>57</v>
      </c>
      <c r="T329" t="s">
        <v>48</v>
      </c>
      <c r="U329">
        <f>IF(Cardiac_Table[[#This Row],[Patient Status at Discharge]]="Died", 1,0)</f>
        <v>0</v>
      </c>
      <c r="V329">
        <f>Cardiac_Table[[#This Row],[Risk of Death % (Model 1)]]/100</f>
        <v>0.2208</v>
      </c>
      <c r="W329">
        <f>Cardiac_Table[[#This Row],[Risk of Death % (Model 2)]]/100</f>
        <v>4.8499999999999995E-2</v>
      </c>
      <c r="X329" s="18">
        <f>Cardiac_Table[[#This Row],[Procedure Start Date and Time]]-Cardiac_Table[[#This Row],[Hospital Admit Date ]]</f>
        <v>1.7395833333284827</v>
      </c>
    </row>
    <row r="330" spans="1:24" x14ac:dyDescent="0.35">
      <c r="A330">
        <v>334</v>
      </c>
      <c r="B330" s="9">
        <v>43907.458333333336</v>
      </c>
      <c r="C330" s="10">
        <f>INT(Cardiac_Table[[#This Row],[Hospital Admit Date ]])</f>
        <v>43907</v>
      </c>
      <c r="D330" s="11" t="str">
        <f t="shared" si="5"/>
        <v>11:00</v>
      </c>
      <c r="E330" s="9">
        <v>43908.34375</v>
      </c>
      <c r="F330" s="10">
        <f>INT(Cardiac_Table[[#This Row],[Procedure Start Date and Time]])</f>
        <v>43908</v>
      </c>
      <c r="G330" s="12">
        <f>MOD(Cardiac_Table[[#This Row],[Procedure Start Date and Time]],1)</f>
        <v>0.34375</v>
      </c>
      <c r="H330">
        <v>5</v>
      </c>
      <c r="I330" t="s">
        <v>6</v>
      </c>
      <c r="J330" t="s">
        <v>11</v>
      </c>
      <c r="K330" t="s">
        <v>35</v>
      </c>
      <c r="L330">
        <v>77</v>
      </c>
      <c r="M330">
        <v>2.87</v>
      </c>
      <c r="N330">
        <v>1.1100000000000001</v>
      </c>
      <c r="O330" t="s">
        <v>15</v>
      </c>
      <c r="P330">
        <v>79</v>
      </c>
      <c r="Q330">
        <v>168</v>
      </c>
      <c r="R330">
        <v>74</v>
      </c>
      <c r="S330">
        <v>35</v>
      </c>
      <c r="T330" t="s">
        <v>50</v>
      </c>
      <c r="U330">
        <f>IF(Cardiac_Table[[#This Row],[Patient Status at Discharge]]="Died", 1,0)</f>
        <v>0</v>
      </c>
      <c r="V330">
        <f>Cardiac_Table[[#This Row],[Risk of Death % (Model 1)]]/100</f>
        <v>2.87E-2</v>
      </c>
      <c r="W330">
        <f>Cardiac_Table[[#This Row],[Risk of Death % (Model 2)]]/100</f>
        <v>1.11E-2</v>
      </c>
      <c r="X330" s="18">
        <f>Cardiac_Table[[#This Row],[Procedure Start Date and Time]]-Cardiac_Table[[#This Row],[Hospital Admit Date ]]</f>
        <v>0.88541666666424135</v>
      </c>
    </row>
    <row r="331" spans="1:24" x14ac:dyDescent="0.35">
      <c r="A331">
        <v>335</v>
      </c>
      <c r="B331" s="9">
        <v>43893.4375</v>
      </c>
      <c r="C331" s="10">
        <f>INT(Cardiac_Table[[#This Row],[Hospital Admit Date ]])</f>
        <v>43893</v>
      </c>
      <c r="D331" s="11" t="str">
        <f t="shared" si="5"/>
        <v>10:30</v>
      </c>
      <c r="E331" s="9">
        <v>43908.347916666666</v>
      </c>
      <c r="F331" s="10">
        <f>INT(Cardiac_Table[[#This Row],[Procedure Start Date and Time]])</f>
        <v>43908</v>
      </c>
      <c r="G331" s="12">
        <f>MOD(Cardiac_Table[[#This Row],[Procedure Start Date and Time]],1)</f>
        <v>0.34791666666569654</v>
      </c>
      <c r="H331">
        <v>3</v>
      </c>
      <c r="I331" t="s">
        <v>6</v>
      </c>
      <c r="J331" t="s">
        <v>3</v>
      </c>
      <c r="K331" t="s">
        <v>30</v>
      </c>
      <c r="L331">
        <v>68</v>
      </c>
      <c r="M331">
        <v>5.56</v>
      </c>
      <c r="N331">
        <v>2.63</v>
      </c>
      <c r="O331" t="s">
        <v>15</v>
      </c>
      <c r="P331">
        <v>114</v>
      </c>
      <c r="Q331">
        <v>177</v>
      </c>
      <c r="R331">
        <v>80</v>
      </c>
      <c r="S331">
        <v>52</v>
      </c>
      <c r="T331" t="s">
        <v>48</v>
      </c>
      <c r="U331">
        <f>IF(Cardiac_Table[[#This Row],[Patient Status at Discharge]]="Died", 1,0)</f>
        <v>0</v>
      </c>
      <c r="V331">
        <f>Cardiac_Table[[#This Row],[Risk of Death % (Model 1)]]/100</f>
        <v>5.5599999999999997E-2</v>
      </c>
      <c r="W331">
        <f>Cardiac_Table[[#This Row],[Risk of Death % (Model 2)]]/100</f>
        <v>2.63E-2</v>
      </c>
      <c r="X331" s="18">
        <f>Cardiac_Table[[#This Row],[Procedure Start Date and Time]]-Cardiac_Table[[#This Row],[Hospital Admit Date ]]</f>
        <v>14.910416666665697</v>
      </c>
    </row>
    <row r="332" spans="1:24" x14ac:dyDescent="0.35">
      <c r="A332">
        <v>336</v>
      </c>
      <c r="B332" s="9">
        <v>43908.458333333336</v>
      </c>
      <c r="C332" s="10">
        <f>INT(Cardiac_Table[[#This Row],[Hospital Admit Date ]])</f>
        <v>43908</v>
      </c>
      <c r="D332" s="11" t="str">
        <f t="shared" si="5"/>
        <v>11:00</v>
      </c>
      <c r="E332" s="9">
        <v>43909.418055555558</v>
      </c>
      <c r="F332" s="10">
        <f>INT(Cardiac_Table[[#This Row],[Procedure Start Date and Time]])</f>
        <v>43909</v>
      </c>
      <c r="G332" s="12">
        <f>MOD(Cardiac_Table[[#This Row],[Procedure Start Date and Time]],1)</f>
        <v>0.4180555555576575</v>
      </c>
      <c r="H332">
        <v>3</v>
      </c>
      <c r="I332" t="s">
        <v>6</v>
      </c>
      <c r="J332" t="s">
        <v>11</v>
      </c>
      <c r="K332" t="s">
        <v>34</v>
      </c>
      <c r="L332">
        <v>59</v>
      </c>
      <c r="M332">
        <v>2.27</v>
      </c>
      <c r="N332">
        <v>1.49</v>
      </c>
      <c r="O332" t="s">
        <v>15</v>
      </c>
      <c r="P332">
        <v>89</v>
      </c>
      <c r="Q332">
        <v>173</v>
      </c>
      <c r="R332">
        <v>80</v>
      </c>
      <c r="S332">
        <v>50</v>
      </c>
      <c r="T332" t="s">
        <v>50</v>
      </c>
      <c r="U332">
        <f>IF(Cardiac_Table[[#This Row],[Patient Status at Discharge]]="Died", 1,0)</f>
        <v>0</v>
      </c>
      <c r="V332">
        <f>Cardiac_Table[[#This Row],[Risk of Death % (Model 1)]]/100</f>
        <v>2.2700000000000001E-2</v>
      </c>
      <c r="W332">
        <f>Cardiac_Table[[#This Row],[Risk of Death % (Model 2)]]/100</f>
        <v>1.49E-2</v>
      </c>
      <c r="X332" s="18">
        <f>Cardiac_Table[[#This Row],[Procedure Start Date and Time]]-Cardiac_Table[[#This Row],[Hospital Admit Date ]]</f>
        <v>0.95972222222189885</v>
      </c>
    </row>
    <row r="333" spans="1:24" x14ac:dyDescent="0.35">
      <c r="A333">
        <v>337</v>
      </c>
      <c r="B333" s="9">
        <v>43908.458333333336</v>
      </c>
      <c r="C333" s="10">
        <f>INT(Cardiac_Table[[#This Row],[Hospital Admit Date ]])</f>
        <v>43908</v>
      </c>
      <c r="D333" s="11" t="str">
        <f t="shared" si="5"/>
        <v>11:00</v>
      </c>
      <c r="E333" s="9">
        <v>43909.418749999997</v>
      </c>
      <c r="F333" s="10">
        <f>INT(Cardiac_Table[[#This Row],[Procedure Start Date and Time]])</f>
        <v>43909</v>
      </c>
      <c r="G333" s="12">
        <f>MOD(Cardiac_Table[[#This Row],[Procedure Start Date and Time]],1)</f>
        <v>0.41874999999708962</v>
      </c>
      <c r="H333">
        <v>1</v>
      </c>
      <c r="I333" t="s">
        <v>4</v>
      </c>
      <c r="J333" t="s">
        <v>3</v>
      </c>
      <c r="K333" t="s">
        <v>24</v>
      </c>
      <c r="L333">
        <v>70</v>
      </c>
      <c r="M333">
        <v>1.82</v>
      </c>
      <c r="N333">
        <v>1.56</v>
      </c>
      <c r="O333" t="s">
        <v>15</v>
      </c>
      <c r="P333">
        <v>114</v>
      </c>
      <c r="Q333">
        <v>168</v>
      </c>
      <c r="R333">
        <v>75</v>
      </c>
      <c r="S333">
        <v>65</v>
      </c>
      <c r="T333" t="s">
        <v>48</v>
      </c>
      <c r="U333">
        <f>IF(Cardiac_Table[[#This Row],[Patient Status at Discharge]]="Died", 1,0)</f>
        <v>0</v>
      </c>
      <c r="V333">
        <f>Cardiac_Table[[#This Row],[Risk of Death % (Model 1)]]/100</f>
        <v>1.8200000000000001E-2</v>
      </c>
      <c r="W333">
        <f>Cardiac_Table[[#This Row],[Risk of Death % (Model 2)]]/100</f>
        <v>1.5600000000000001E-2</v>
      </c>
      <c r="X333" s="18">
        <f>Cardiac_Table[[#This Row],[Procedure Start Date and Time]]-Cardiac_Table[[#This Row],[Hospital Admit Date ]]</f>
        <v>0.96041666666133096</v>
      </c>
    </row>
    <row r="334" spans="1:24" x14ac:dyDescent="0.35">
      <c r="A334">
        <v>338</v>
      </c>
      <c r="B334" s="9">
        <v>43905.416666666664</v>
      </c>
      <c r="C334" s="10">
        <f>INT(Cardiac_Table[[#This Row],[Hospital Admit Date ]])</f>
        <v>43905</v>
      </c>
      <c r="D334" s="11" t="str">
        <f t="shared" si="5"/>
        <v>10:00</v>
      </c>
      <c r="E334" s="9">
        <v>43909.465277777781</v>
      </c>
      <c r="F334" s="10">
        <f>INT(Cardiac_Table[[#This Row],[Procedure Start Date and Time]])</f>
        <v>43909</v>
      </c>
      <c r="G334" s="12">
        <f>MOD(Cardiac_Table[[#This Row],[Procedure Start Date and Time]],1)</f>
        <v>0.46527777778101154</v>
      </c>
      <c r="H334">
        <v>5</v>
      </c>
      <c r="I334" t="s">
        <v>2</v>
      </c>
      <c r="J334" t="s">
        <v>10</v>
      </c>
      <c r="K334" t="s">
        <v>31</v>
      </c>
      <c r="L334">
        <v>74</v>
      </c>
      <c r="M334">
        <v>11.45</v>
      </c>
      <c r="N334">
        <v>6.12</v>
      </c>
      <c r="O334" t="s">
        <v>15</v>
      </c>
      <c r="P334">
        <v>74</v>
      </c>
      <c r="Q334">
        <v>172</v>
      </c>
      <c r="R334">
        <v>98</v>
      </c>
      <c r="S334">
        <v>50</v>
      </c>
      <c r="T334" t="s">
        <v>50</v>
      </c>
      <c r="U334">
        <f>IF(Cardiac_Table[[#This Row],[Patient Status at Discharge]]="Died", 1,0)</f>
        <v>0</v>
      </c>
      <c r="V334">
        <f>Cardiac_Table[[#This Row],[Risk of Death % (Model 1)]]/100</f>
        <v>0.11449999999999999</v>
      </c>
      <c r="W334">
        <f>Cardiac_Table[[#This Row],[Risk of Death % (Model 2)]]/100</f>
        <v>6.1200000000000004E-2</v>
      </c>
      <c r="X334" s="18">
        <f>Cardiac_Table[[#This Row],[Procedure Start Date and Time]]-Cardiac_Table[[#This Row],[Hospital Admit Date ]]</f>
        <v>4.0486111111167702</v>
      </c>
    </row>
    <row r="335" spans="1:24" x14ac:dyDescent="0.35">
      <c r="A335">
        <v>339</v>
      </c>
      <c r="B335" s="9">
        <v>43903.292361111111</v>
      </c>
      <c r="C335" s="10">
        <f>INT(Cardiac_Table[[#This Row],[Hospital Admit Date ]])</f>
        <v>43903</v>
      </c>
      <c r="D335" s="11" t="str">
        <f t="shared" si="5"/>
        <v>07:01</v>
      </c>
      <c r="E335" s="9">
        <v>43909.611111111109</v>
      </c>
      <c r="F335" s="10">
        <f>INT(Cardiac_Table[[#This Row],[Procedure Start Date and Time]])</f>
        <v>43909</v>
      </c>
      <c r="G335" s="12">
        <f>MOD(Cardiac_Table[[#This Row],[Procedure Start Date and Time]],1)</f>
        <v>0.61111111110949423</v>
      </c>
      <c r="H335">
        <v>6</v>
      </c>
      <c r="I335" t="s">
        <v>6</v>
      </c>
      <c r="J335" t="s">
        <v>10</v>
      </c>
      <c r="K335" t="s">
        <v>31</v>
      </c>
      <c r="L335">
        <v>78</v>
      </c>
      <c r="M335">
        <v>6.7</v>
      </c>
      <c r="N335">
        <v>1.71</v>
      </c>
      <c r="O335" t="s">
        <v>15</v>
      </c>
      <c r="P335">
        <v>95</v>
      </c>
      <c r="Q335">
        <v>172</v>
      </c>
      <c r="R335">
        <v>100</v>
      </c>
      <c r="S335">
        <v>20</v>
      </c>
      <c r="T335" t="s">
        <v>51</v>
      </c>
      <c r="U335">
        <f>IF(Cardiac_Table[[#This Row],[Patient Status at Discharge]]="Died", 1,0)</f>
        <v>0</v>
      </c>
      <c r="V335">
        <f>Cardiac_Table[[#This Row],[Risk of Death % (Model 1)]]/100</f>
        <v>6.7000000000000004E-2</v>
      </c>
      <c r="W335">
        <f>Cardiac_Table[[#This Row],[Risk of Death % (Model 2)]]/100</f>
        <v>1.7100000000000001E-2</v>
      </c>
      <c r="X335" s="18">
        <f>Cardiac_Table[[#This Row],[Procedure Start Date and Time]]-Cardiac_Table[[#This Row],[Hospital Admit Date ]]</f>
        <v>6.3187499999985448</v>
      </c>
    </row>
    <row r="336" spans="1:24" x14ac:dyDescent="0.35">
      <c r="A336">
        <v>340</v>
      </c>
      <c r="B336" s="9">
        <v>43907.590277777781</v>
      </c>
      <c r="C336" s="10">
        <f>INT(Cardiac_Table[[#This Row],[Hospital Admit Date ]])</f>
        <v>43907</v>
      </c>
      <c r="D336" s="11" t="str">
        <f t="shared" si="5"/>
        <v>14:10</v>
      </c>
      <c r="E336" s="9">
        <v>43910.34375</v>
      </c>
      <c r="F336" s="10">
        <f>INT(Cardiac_Table[[#This Row],[Procedure Start Date and Time]])</f>
        <v>43910</v>
      </c>
      <c r="G336" s="12">
        <f>MOD(Cardiac_Table[[#This Row],[Procedure Start Date and Time]],1)</f>
        <v>0.34375</v>
      </c>
      <c r="H336">
        <v>3</v>
      </c>
      <c r="I336" t="s">
        <v>6</v>
      </c>
      <c r="J336" t="s">
        <v>10</v>
      </c>
      <c r="K336" t="s">
        <v>21</v>
      </c>
      <c r="L336">
        <v>71</v>
      </c>
      <c r="M336">
        <v>1.94</v>
      </c>
      <c r="N336">
        <v>1.63</v>
      </c>
      <c r="O336" t="s">
        <v>15</v>
      </c>
      <c r="P336">
        <v>108</v>
      </c>
      <c r="Q336">
        <v>171</v>
      </c>
      <c r="R336">
        <v>80</v>
      </c>
      <c r="S336">
        <v>57</v>
      </c>
      <c r="T336" t="s">
        <v>48</v>
      </c>
      <c r="U336">
        <f>IF(Cardiac_Table[[#This Row],[Patient Status at Discharge]]="Died", 1,0)</f>
        <v>0</v>
      </c>
      <c r="V336">
        <f>Cardiac_Table[[#This Row],[Risk of Death % (Model 1)]]/100</f>
        <v>1.9400000000000001E-2</v>
      </c>
      <c r="W336">
        <f>Cardiac_Table[[#This Row],[Risk of Death % (Model 2)]]/100</f>
        <v>1.6299999999999999E-2</v>
      </c>
      <c r="X336" s="18">
        <f>Cardiac_Table[[#This Row],[Procedure Start Date and Time]]-Cardiac_Table[[#This Row],[Hospital Admit Date ]]</f>
        <v>2.7534722222189885</v>
      </c>
    </row>
    <row r="337" spans="1:24" x14ac:dyDescent="0.35">
      <c r="A337">
        <v>341</v>
      </c>
      <c r="B337" s="9">
        <v>43886.708333333336</v>
      </c>
      <c r="C337" s="10">
        <f>INT(Cardiac_Table[[#This Row],[Hospital Admit Date ]])</f>
        <v>43886</v>
      </c>
      <c r="D337" s="11" t="str">
        <f t="shared" si="5"/>
        <v>17:00</v>
      </c>
      <c r="E337" s="9">
        <v>43910.347222222219</v>
      </c>
      <c r="F337" s="10">
        <f>INT(Cardiac_Table[[#This Row],[Procedure Start Date and Time]])</f>
        <v>43910</v>
      </c>
      <c r="G337" s="12">
        <f>MOD(Cardiac_Table[[#This Row],[Procedure Start Date and Time]],1)</f>
        <v>0.34722222221898846</v>
      </c>
      <c r="H337">
        <v>5</v>
      </c>
      <c r="I337" t="s">
        <v>6</v>
      </c>
      <c r="J337" t="s">
        <v>3</v>
      </c>
      <c r="K337" t="s">
        <v>35</v>
      </c>
      <c r="L337">
        <v>71</v>
      </c>
      <c r="M337">
        <v>3.29</v>
      </c>
      <c r="N337">
        <v>0.94</v>
      </c>
      <c r="O337" t="s">
        <v>15</v>
      </c>
      <c r="P337">
        <v>124</v>
      </c>
      <c r="Q337">
        <v>160</v>
      </c>
      <c r="R337">
        <v>78</v>
      </c>
      <c r="S337">
        <v>57</v>
      </c>
      <c r="T337" t="s">
        <v>48</v>
      </c>
      <c r="U337">
        <f>IF(Cardiac_Table[[#This Row],[Patient Status at Discharge]]="Died", 1,0)</f>
        <v>0</v>
      </c>
      <c r="V337">
        <f>Cardiac_Table[[#This Row],[Risk of Death % (Model 1)]]/100</f>
        <v>3.2899999999999999E-2</v>
      </c>
      <c r="W337">
        <f>Cardiac_Table[[#This Row],[Risk of Death % (Model 2)]]/100</f>
        <v>9.3999999999999986E-3</v>
      </c>
      <c r="X337" s="18">
        <f>Cardiac_Table[[#This Row],[Procedure Start Date and Time]]-Cardiac_Table[[#This Row],[Hospital Admit Date ]]</f>
        <v>23.63888888888323</v>
      </c>
    </row>
    <row r="338" spans="1:24" x14ac:dyDescent="0.35">
      <c r="A338">
        <v>342</v>
      </c>
      <c r="B338" s="9">
        <v>43900.416666666664</v>
      </c>
      <c r="C338" s="10">
        <f>INT(Cardiac_Table[[#This Row],[Hospital Admit Date ]])</f>
        <v>43900</v>
      </c>
      <c r="D338" s="11" t="str">
        <f t="shared" si="5"/>
        <v>10:00</v>
      </c>
      <c r="E338" s="9">
        <v>43910.678472222222</v>
      </c>
      <c r="F338" s="10">
        <f>INT(Cardiac_Table[[#This Row],[Procedure Start Date and Time]])</f>
        <v>43910</v>
      </c>
      <c r="G338" s="12">
        <f>MOD(Cardiac_Table[[#This Row],[Procedure Start Date and Time]],1)</f>
        <v>0.67847222222189885</v>
      </c>
      <c r="H338">
        <v>5</v>
      </c>
      <c r="I338" t="s">
        <v>2</v>
      </c>
      <c r="J338" t="s">
        <v>10</v>
      </c>
      <c r="K338" t="s">
        <v>24</v>
      </c>
      <c r="L338">
        <v>77</v>
      </c>
      <c r="M338">
        <v>26.09</v>
      </c>
      <c r="N338">
        <v>4.38</v>
      </c>
      <c r="O338" t="s">
        <v>15</v>
      </c>
      <c r="P338">
        <v>71</v>
      </c>
      <c r="Q338">
        <v>182</v>
      </c>
      <c r="R338">
        <v>95</v>
      </c>
      <c r="S338">
        <v>55</v>
      </c>
      <c r="T338" t="s">
        <v>48</v>
      </c>
      <c r="U338">
        <f>IF(Cardiac_Table[[#This Row],[Patient Status at Discharge]]="Died", 1,0)</f>
        <v>0</v>
      </c>
      <c r="V338">
        <f>Cardiac_Table[[#This Row],[Risk of Death % (Model 1)]]/100</f>
        <v>0.26090000000000002</v>
      </c>
      <c r="W338">
        <f>Cardiac_Table[[#This Row],[Risk of Death % (Model 2)]]/100</f>
        <v>4.3799999999999999E-2</v>
      </c>
      <c r="X338" s="18">
        <f>Cardiac_Table[[#This Row],[Procedure Start Date and Time]]-Cardiac_Table[[#This Row],[Hospital Admit Date ]]</f>
        <v>10.261805555557657</v>
      </c>
    </row>
    <row r="339" spans="1:24" x14ac:dyDescent="0.35">
      <c r="A339">
        <v>343</v>
      </c>
      <c r="B339" s="9">
        <v>43910.370833333334</v>
      </c>
      <c r="C339" s="10">
        <f>INT(Cardiac_Table[[#This Row],[Hospital Admit Date ]])</f>
        <v>43910</v>
      </c>
      <c r="D339" s="11" t="str">
        <f t="shared" si="5"/>
        <v>08:54</v>
      </c>
      <c r="E339" s="9">
        <v>43912.520833333336</v>
      </c>
      <c r="F339" s="10">
        <f>INT(Cardiac_Table[[#This Row],[Procedure Start Date and Time]])</f>
        <v>43912</v>
      </c>
      <c r="G339" s="12">
        <f>MOD(Cardiac_Table[[#This Row],[Procedure Start Date and Time]],1)</f>
        <v>0.52083333333575865</v>
      </c>
      <c r="H339">
        <v>5</v>
      </c>
      <c r="I339" t="s">
        <v>2</v>
      </c>
      <c r="J339" t="s">
        <v>1</v>
      </c>
      <c r="K339" t="s">
        <v>23</v>
      </c>
      <c r="L339">
        <v>61</v>
      </c>
      <c r="M339">
        <v>36.94</v>
      </c>
      <c r="N339">
        <v>5.01</v>
      </c>
      <c r="O339" t="s">
        <v>15</v>
      </c>
      <c r="P339">
        <v>67</v>
      </c>
      <c r="Q339">
        <v>177</v>
      </c>
      <c r="R339">
        <v>77</v>
      </c>
      <c r="S339">
        <v>56</v>
      </c>
      <c r="T339" t="s">
        <v>48</v>
      </c>
      <c r="U339">
        <f>IF(Cardiac_Table[[#This Row],[Patient Status at Discharge]]="Died", 1,0)</f>
        <v>0</v>
      </c>
      <c r="V339">
        <f>Cardiac_Table[[#This Row],[Risk of Death % (Model 1)]]/100</f>
        <v>0.36939999999999995</v>
      </c>
      <c r="W339">
        <f>Cardiac_Table[[#This Row],[Risk of Death % (Model 2)]]/100</f>
        <v>5.0099999999999999E-2</v>
      </c>
      <c r="X339" s="18">
        <f>Cardiac_Table[[#This Row],[Procedure Start Date and Time]]-Cardiac_Table[[#This Row],[Hospital Admit Date ]]</f>
        <v>2.1500000000014552</v>
      </c>
    </row>
    <row r="340" spans="1:24" x14ac:dyDescent="0.35">
      <c r="A340">
        <v>344</v>
      </c>
      <c r="B340" s="9">
        <v>43912.5625</v>
      </c>
      <c r="C340" s="10">
        <f>INT(Cardiac_Table[[#This Row],[Hospital Admit Date ]])</f>
        <v>43912</v>
      </c>
      <c r="D340" s="11" t="str">
        <f t="shared" si="5"/>
        <v>13:30</v>
      </c>
      <c r="E340" s="9">
        <v>43913.352083333331</v>
      </c>
      <c r="F340" s="10">
        <f>INT(Cardiac_Table[[#This Row],[Procedure Start Date and Time]])</f>
        <v>43913</v>
      </c>
      <c r="G340" s="12">
        <f>MOD(Cardiac_Table[[#This Row],[Procedure Start Date and Time]],1)</f>
        <v>0.35208333333139308</v>
      </c>
      <c r="H340">
        <v>3</v>
      </c>
      <c r="I340" t="s">
        <v>6</v>
      </c>
      <c r="J340" t="s">
        <v>7</v>
      </c>
      <c r="K340" t="s">
        <v>30</v>
      </c>
      <c r="L340">
        <v>70</v>
      </c>
      <c r="M340">
        <v>6.13</v>
      </c>
      <c r="N340">
        <v>2.41</v>
      </c>
      <c r="O340" t="s">
        <v>15</v>
      </c>
      <c r="P340">
        <v>98</v>
      </c>
      <c r="Q340">
        <v>174</v>
      </c>
      <c r="R340">
        <v>91</v>
      </c>
      <c r="S340">
        <v>56</v>
      </c>
      <c r="T340" t="s">
        <v>48</v>
      </c>
      <c r="U340">
        <f>IF(Cardiac_Table[[#This Row],[Patient Status at Discharge]]="Died", 1,0)</f>
        <v>0</v>
      </c>
      <c r="V340">
        <f>Cardiac_Table[[#This Row],[Risk of Death % (Model 1)]]/100</f>
        <v>6.13E-2</v>
      </c>
      <c r="W340">
        <f>Cardiac_Table[[#This Row],[Risk of Death % (Model 2)]]/100</f>
        <v>2.41E-2</v>
      </c>
      <c r="X340" s="18">
        <f>Cardiac_Table[[#This Row],[Procedure Start Date and Time]]-Cardiac_Table[[#This Row],[Hospital Admit Date ]]</f>
        <v>0.78958333333139308</v>
      </c>
    </row>
    <row r="341" spans="1:24" x14ac:dyDescent="0.35">
      <c r="A341">
        <v>345</v>
      </c>
      <c r="B341" s="9">
        <v>43903.416666666664</v>
      </c>
      <c r="C341" s="10">
        <f>INT(Cardiac_Table[[#This Row],[Hospital Admit Date ]])</f>
        <v>43903</v>
      </c>
      <c r="D341" s="11" t="str">
        <f t="shared" si="5"/>
        <v>10:00</v>
      </c>
      <c r="E341" s="9">
        <v>43913.5</v>
      </c>
      <c r="F341" s="10">
        <f>INT(Cardiac_Table[[#This Row],[Procedure Start Date and Time]])</f>
        <v>43913</v>
      </c>
      <c r="G341" s="12">
        <f>MOD(Cardiac_Table[[#This Row],[Procedure Start Date and Time]],1)</f>
        <v>0.5</v>
      </c>
      <c r="H341">
        <v>3</v>
      </c>
      <c r="I341" t="s">
        <v>4</v>
      </c>
      <c r="J341" t="s">
        <v>10</v>
      </c>
      <c r="K341" t="s">
        <v>33</v>
      </c>
      <c r="L341">
        <v>76</v>
      </c>
      <c r="M341">
        <v>21.59</v>
      </c>
      <c r="N341">
        <v>4.59</v>
      </c>
      <c r="O341" t="s">
        <v>15</v>
      </c>
      <c r="P341">
        <v>113</v>
      </c>
      <c r="Q341">
        <v>156</v>
      </c>
      <c r="R341">
        <v>72</v>
      </c>
      <c r="S341">
        <v>59</v>
      </c>
      <c r="T341" t="s">
        <v>48</v>
      </c>
      <c r="U341">
        <f>IF(Cardiac_Table[[#This Row],[Patient Status at Discharge]]="Died", 1,0)</f>
        <v>0</v>
      </c>
      <c r="V341">
        <f>Cardiac_Table[[#This Row],[Risk of Death % (Model 1)]]/100</f>
        <v>0.21590000000000001</v>
      </c>
      <c r="W341">
        <f>Cardiac_Table[[#This Row],[Risk of Death % (Model 2)]]/100</f>
        <v>4.5899999999999996E-2</v>
      </c>
      <c r="X341" s="18">
        <f>Cardiac_Table[[#This Row],[Procedure Start Date and Time]]-Cardiac_Table[[#This Row],[Hospital Admit Date ]]</f>
        <v>10.083333333335759</v>
      </c>
    </row>
    <row r="342" spans="1:24" x14ac:dyDescent="0.35">
      <c r="A342">
        <v>346</v>
      </c>
      <c r="B342" s="9">
        <v>43895.581944444442</v>
      </c>
      <c r="C342" s="10">
        <f>INT(Cardiac_Table[[#This Row],[Hospital Admit Date ]])</f>
        <v>43895</v>
      </c>
      <c r="D342" s="11" t="str">
        <f t="shared" si="5"/>
        <v>13:58</v>
      </c>
      <c r="E342" s="9">
        <v>43914.345138888886</v>
      </c>
      <c r="F342" s="10">
        <f>INT(Cardiac_Table[[#This Row],[Procedure Start Date and Time]])</f>
        <v>43914</v>
      </c>
      <c r="G342" s="12">
        <f>MOD(Cardiac_Table[[#This Row],[Procedure Start Date and Time]],1)</f>
        <v>0.34513888888614019</v>
      </c>
      <c r="H342">
        <v>3</v>
      </c>
      <c r="I342" t="s">
        <v>6</v>
      </c>
      <c r="J342" t="s">
        <v>11</v>
      </c>
      <c r="K342" t="s">
        <v>31</v>
      </c>
      <c r="L342">
        <v>81</v>
      </c>
      <c r="M342">
        <v>13.72</v>
      </c>
      <c r="N342">
        <v>5.71</v>
      </c>
      <c r="O342" t="s">
        <v>15</v>
      </c>
      <c r="P342">
        <v>72</v>
      </c>
      <c r="Q342">
        <v>180</v>
      </c>
      <c r="R342">
        <v>127</v>
      </c>
      <c r="S342">
        <v>50</v>
      </c>
      <c r="T342" t="s">
        <v>50</v>
      </c>
      <c r="U342">
        <f>IF(Cardiac_Table[[#This Row],[Patient Status at Discharge]]="Died", 1,0)</f>
        <v>0</v>
      </c>
      <c r="V342">
        <f>Cardiac_Table[[#This Row],[Risk of Death % (Model 1)]]/100</f>
        <v>0.13720000000000002</v>
      </c>
      <c r="W342">
        <f>Cardiac_Table[[#This Row],[Risk of Death % (Model 2)]]/100</f>
        <v>5.7099999999999998E-2</v>
      </c>
      <c r="X342" s="18">
        <f>Cardiac_Table[[#This Row],[Procedure Start Date and Time]]-Cardiac_Table[[#This Row],[Hospital Admit Date ]]</f>
        <v>18.763194444443798</v>
      </c>
    </row>
    <row r="343" spans="1:24" x14ac:dyDescent="0.35">
      <c r="A343">
        <v>347</v>
      </c>
      <c r="B343" s="9">
        <v>43913.451388888891</v>
      </c>
      <c r="C343" s="10">
        <f>INT(Cardiac_Table[[#This Row],[Hospital Admit Date ]])</f>
        <v>43913</v>
      </c>
      <c r="D343" s="11" t="str">
        <f t="shared" si="5"/>
        <v>10:50</v>
      </c>
      <c r="E343" s="9">
        <v>43914.541666666664</v>
      </c>
      <c r="F343" s="10">
        <f>INT(Cardiac_Table[[#This Row],[Procedure Start Date and Time]])</f>
        <v>43914</v>
      </c>
      <c r="G343" s="12">
        <f>MOD(Cardiac_Table[[#This Row],[Procedure Start Date and Time]],1)</f>
        <v>0.54166666666424135</v>
      </c>
      <c r="H343">
        <v>5</v>
      </c>
      <c r="I343" t="s">
        <v>4</v>
      </c>
      <c r="J343" t="s">
        <v>10</v>
      </c>
      <c r="K343" t="s">
        <v>24</v>
      </c>
      <c r="L343">
        <v>63</v>
      </c>
      <c r="M343">
        <v>2.96</v>
      </c>
      <c r="N343">
        <v>1.37</v>
      </c>
      <c r="O343" t="s">
        <v>15</v>
      </c>
      <c r="P343">
        <v>90</v>
      </c>
      <c r="Q343">
        <v>169</v>
      </c>
      <c r="R343">
        <v>113</v>
      </c>
      <c r="S343">
        <v>55</v>
      </c>
      <c r="T343" t="s">
        <v>48</v>
      </c>
      <c r="U343">
        <f>IF(Cardiac_Table[[#This Row],[Patient Status at Discharge]]="Died", 1,0)</f>
        <v>0</v>
      </c>
      <c r="V343">
        <f>Cardiac_Table[[#This Row],[Risk of Death % (Model 1)]]/100</f>
        <v>2.9600000000000001E-2</v>
      </c>
      <c r="W343">
        <f>Cardiac_Table[[#This Row],[Risk of Death % (Model 2)]]/100</f>
        <v>1.37E-2</v>
      </c>
      <c r="X343" s="18">
        <f>Cardiac_Table[[#This Row],[Procedure Start Date and Time]]-Cardiac_Table[[#This Row],[Hospital Admit Date ]]</f>
        <v>1.0902777777737356</v>
      </c>
    </row>
    <row r="344" spans="1:24" x14ac:dyDescent="0.35">
      <c r="A344">
        <v>348</v>
      </c>
      <c r="B344" s="9">
        <v>43907.458333333336</v>
      </c>
      <c r="C344" s="10">
        <f>INT(Cardiac_Table[[#This Row],[Hospital Admit Date ]])</f>
        <v>43907</v>
      </c>
      <c r="D344" s="11" t="str">
        <f t="shared" si="5"/>
        <v>11:00</v>
      </c>
      <c r="E344" s="9">
        <v>43915.331944444442</v>
      </c>
      <c r="F344" s="10">
        <f>INT(Cardiac_Table[[#This Row],[Procedure Start Date and Time]])</f>
        <v>43915</v>
      </c>
      <c r="G344" s="12">
        <f>MOD(Cardiac_Table[[#This Row],[Procedure Start Date and Time]],1)</f>
        <v>0.3319444444423425</v>
      </c>
      <c r="H344">
        <v>5</v>
      </c>
      <c r="I344" t="s">
        <v>6</v>
      </c>
      <c r="J344" t="s">
        <v>3</v>
      </c>
      <c r="K344" t="s">
        <v>28</v>
      </c>
      <c r="L344">
        <v>68</v>
      </c>
      <c r="M344">
        <v>7.73</v>
      </c>
      <c r="N344">
        <v>2.38</v>
      </c>
      <c r="O344" t="s">
        <v>15</v>
      </c>
      <c r="P344">
        <v>80</v>
      </c>
      <c r="Q344">
        <v>175</v>
      </c>
      <c r="R344">
        <v>68</v>
      </c>
      <c r="S344">
        <v>60</v>
      </c>
      <c r="T344" t="s">
        <v>48</v>
      </c>
      <c r="U344">
        <f>IF(Cardiac_Table[[#This Row],[Patient Status at Discharge]]="Died", 1,0)</f>
        <v>0</v>
      </c>
      <c r="V344">
        <f>Cardiac_Table[[#This Row],[Risk of Death % (Model 1)]]/100</f>
        <v>7.7300000000000008E-2</v>
      </c>
      <c r="W344">
        <f>Cardiac_Table[[#This Row],[Risk of Death % (Model 2)]]/100</f>
        <v>2.3799999999999998E-2</v>
      </c>
      <c r="X344" s="18">
        <f>Cardiac_Table[[#This Row],[Procedure Start Date and Time]]-Cardiac_Table[[#This Row],[Hospital Admit Date ]]</f>
        <v>7.8736111111065838</v>
      </c>
    </row>
    <row r="345" spans="1:24" x14ac:dyDescent="0.35">
      <c r="A345">
        <v>349</v>
      </c>
      <c r="B345" s="9">
        <v>43914.583333333336</v>
      </c>
      <c r="C345" s="10">
        <f>INT(Cardiac_Table[[#This Row],[Hospital Admit Date ]])</f>
        <v>43914</v>
      </c>
      <c r="D345" s="11" t="str">
        <f t="shared" si="5"/>
        <v>14:00</v>
      </c>
      <c r="E345" s="9">
        <v>43915.357638888891</v>
      </c>
      <c r="F345" s="10">
        <f>INT(Cardiac_Table[[#This Row],[Procedure Start Date and Time]])</f>
        <v>43915</v>
      </c>
      <c r="G345" s="12">
        <f>MOD(Cardiac_Table[[#This Row],[Procedure Start Date and Time]],1)</f>
        <v>0.35763888889050577</v>
      </c>
      <c r="H345">
        <v>3</v>
      </c>
      <c r="I345" t="s">
        <v>4</v>
      </c>
      <c r="J345" t="s">
        <v>3</v>
      </c>
      <c r="K345" t="s">
        <v>35</v>
      </c>
      <c r="L345">
        <v>83</v>
      </c>
      <c r="M345">
        <v>9.52</v>
      </c>
      <c r="N345">
        <v>1.2</v>
      </c>
      <c r="O345" t="s">
        <v>15</v>
      </c>
      <c r="P345">
        <v>105</v>
      </c>
      <c r="Q345">
        <v>172</v>
      </c>
      <c r="R345">
        <v>80</v>
      </c>
      <c r="S345">
        <v>55</v>
      </c>
      <c r="T345" t="s">
        <v>48</v>
      </c>
      <c r="U345">
        <f>IF(Cardiac_Table[[#This Row],[Patient Status at Discharge]]="Died", 1,0)</f>
        <v>0</v>
      </c>
      <c r="V345">
        <f>Cardiac_Table[[#This Row],[Risk of Death % (Model 1)]]/100</f>
        <v>9.5199999999999993E-2</v>
      </c>
      <c r="W345">
        <f>Cardiac_Table[[#This Row],[Risk of Death % (Model 2)]]/100</f>
        <v>1.2E-2</v>
      </c>
      <c r="X345" s="18">
        <f>Cardiac_Table[[#This Row],[Procedure Start Date and Time]]-Cardiac_Table[[#This Row],[Hospital Admit Date ]]</f>
        <v>0.77430555555474712</v>
      </c>
    </row>
    <row r="346" spans="1:24" x14ac:dyDescent="0.35">
      <c r="A346">
        <v>350</v>
      </c>
      <c r="B346" s="9">
        <v>43909.715277777781</v>
      </c>
      <c r="C346" s="10">
        <f>INT(Cardiac_Table[[#This Row],[Hospital Admit Date ]])</f>
        <v>43909</v>
      </c>
      <c r="D346" s="11" t="str">
        <f t="shared" si="5"/>
        <v>17:10</v>
      </c>
      <c r="E346" s="9">
        <v>43916.347222222219</v>
      </c>
      <c r="F346" s="10">
        <f>INT(Cardiac_Table[[#This Row],[Procedure Start Date and Time]])</f>
        <v>43916</v>
      </c>
      <c r="G346" s="12">
        <f>MOD(Cardiac_Table[[#This Row],[Procedure Start Date and Time]],1)</f>
        <v>0.34722222221898846</v>
      </c>
      <c r="H346">
        <v>3</v>
      </c>
      <c r="I346" t="s">
        <v>6</v>
      </c>
      <c r="J346" t="s">
        <v>3</v>
      </c>
      <c r="K346" t="s">
        <v>33</v>
      </c>
      <c r="L346">
        <v>74</v>
      </c>
      <c r="M346">
        <v>14.68</v>
      </c>
      <c r="N346">
        <v>5.43</v>
      </c>
      <c r="O346" t="s">
        <v>15</v>
      </c>
      <c r="P346">
        <v>88</v>
      </c>
      <c r="Q346">
        <v>177</v>
      </c>
      <c r="R346">
        <v>88</v>
      </c>
      <c r="S346">
        <v>45</v>
      </c>
      <c r="T346" t="s">
        <v>50</v>
      </c>
      <c r="U346">
        <f>IF(Cardiac_Table[[#This Row],[Patient Status at Discharge]]="Died", 1,0)</f>
        <v>0</v>
      </c>
      <c r="V346">
        <f>Cardiac_Table[[#This Row],[Risk of Death % (Model 1)]]/100</f>
        <v>0.14679999999999999</v>
      </c>
      <c r="W346">
        <f>Cardiac_Table[[#This Row],[Risk of Death % (Model 2)]]/100</f>
        <v>5.4299999999999994E-2</v>
      </c>
      <c r="X346" s="18">
        <f>Cardiac_Table[[#This Row],[Procedure Start Date and Time]]-Cardiac_Table[[#This Row],[Hospital Admit Date ]]</f>
        <v>6.6319444444379769</v>
      </c>
    </row>
    <row r="347" spans="1:24" x14ac:dyDescent="0.35">
      <c r="A347">
        <v>351</v>
      </c>
      <c r="B347" s="9">
        <v>43910.336805555555</v>
      </c>
      <c r="C347" s="10">
        <f>INT(Cardiac_Table[[#This Row],[Hospital Admit Date ]])</f>
        <v>43910</v>
      </c>
      <c r="D347" s="11" t="str">
        <f t="shared" si="5"/>
        <v>08:05</v>
      </c>
      <c r="E347" s="9">
        <v>43916.353472222225</v>
      </c>
      <c r="F347" s="10">
        <f>INT(Cardiac_Table[[#This Row],[Procedure Start Date and Time]])</f>
        <v>43916</v>
      </c>
      <c r="G347" s="12">
        <f>MOD(Cardiac_Table[[#This Row],[Procedure Start Date and Time]],1)</f>
        <v>0.35347222222480923</v>
      </c>
      <c r="H347">
        <v>5</v>
      </c>
      <c r="I347" t="s">
        <v>6</v>
      </c>
      <c r="J347" t="s">
        <v>7</v>
      </c>
      <c r="K347" t="s">
        <v>21</v>
      </c>
      <c r="L347">
        <v>73</v>
      </c>
      <c r="M347">
        <v>5.33</v>
      </c>
      <c r="N347">
        <v>3.46</v>
      </c>
      <c r="O347" t="s">
        <v>15</v>
      </c>
      <c r="P347">
        <v>73</v>
      </c>
      <c r="Q347">
        <v>173</v>
      </c>
      <c r="R347">
        <v>89</v>
      </c>
      <c r="S347">
        <v>60</v>
      </c>
      <c r="T347" t="s">
        <v>48</v>
      </c>
      <c r="U347">
        <f>IF(Cardiac_Table[[#This Row],[Patient Status at Discharge]]="Died", 1,0)</f>
        <v>0</v>
      </c>
      <c r="V347">
        <f>Cardiac_Table[[#This Row],[Risk of Death % (Model 1)]]/100</f>
        <v>5.33E-2</v>
      </c>
      <c r="W347">
        <f>Cardiac_Table[[#This Row],[Risk of Death % (Model 2)]]/100</f>
        <v>3.4599999999999999E-2</v>
      </c>
      <c r="X347" s="18">
        <f>Cardiac_Table[[#This Row],[Procedure Start Date and Time]]-Cardiac_Table[[#This Row],[Hospital Admit Date ]]</f>
        <v>6.0166666666700621</v>
      </c>
    </row>
    <row r="348" spans="1:24" x14ac:dyDescent="0.35">
      <c r="A348">
        <v>352</v>
      </c>
      <c r="B348" s="9">
        <v>43915.458333333336</v>
      </c>
      <c r="C348" s="10">
        <f>INT(Cardiac_Table[[#This Row],[Hospital Admit Date ]])</f>
        <v>43915</v>
      </c>
      <c r="D348" s="11" t="str">
        <f t="shared" si="5"/>
        <v>11:00</v>
      </c>
      <c r="E348" s="9">
        <v>43916.559027777781</v>
      </c>
      <c r="F348" s="10">
        <f>INT(Cardiac_Table[[#This Row],[Procedure Start Date and Time]])</f>
        <v>43916</v>
      </c>
      <c r="G348" s="12">
        <f>MOD(Cardiac_Table[[#This Row],[Procedure Start Date and Time]],1)</f>
        <v>0.55902777778101154</v>
      </c>
      <c r="H348">
        <v>3</v>
      </c>
      <c r="I348" t="s">
        <v>4</v>
      </c>
      <c r="J348" t="s">
        <v>1</v>
      </c>
      <c r="K348" t="s">
        <v>33</v>
      </c>
      <c r="L348">
        <v>52</v>
      </c>
      <c r="M348">
        <v>23.88</v>
      </c>
      <c r="N348">
        <v>9.1999999999999993</v>
      </c>
      <c r="O348" t="s">
        <v>15</v>
      </c>
      <c r="P348">
        <v>128</v>
      </c>
      <c r="Q348">
        <v>175</v>
      </c>
      <c r="R348">
        <v>84</v>
      </c>
      <c r="S348">
        <v>48</v>
      </c>
      <c r="T348" t="s">
        <v>50</v>
      </c>
      <c r="U348">
        <f>IF(Cardiac_Table[[#This Row],[Patient Status at Discharge]]="Died", 1,0)</f>
        <v>0</v>
      </c>
      <c r="V348">
        <f>Cardiac_Table[[#This Row],[Risk of Death % (Model 1)]]/100</f>
        <v>0.23879999999999998</v>
      </c>
      <c r="W348">
        <f>Cardiac_Table[[#This Row],[Risk of Death % (Model 2)]]/100</f>
        <v>9.1999999999999998E-2</v>
      </c>
      <c r="X348" s="18">
        <f>Cardiac_Table[[#This Row],[Procedure Start Date and Time]]-Cardiac_Table[[#This Row],[Hospital Admit Date ]]</f>
        <v>1.1006944444452529</v>
      </c>
    </row>
    <row r="349" spans="1:24" x14ac:dyDescent="0.35">
      <c r="A349">
        <v>353</v>
      </c>
      <c r="B349" s="9">
        <v>43916.559027777781</v>
      </c>
      <c r="C349" s="10">
        <f>INT(Cardiac_Table[[#This Row],[Hospital Admit Date ]])</f>
        <v>43916</v>
      </c>
      <c r="D349" s="11" t="str">
        <f t="shared" si="5"/>
        <v>13:25</v>
      </c>
      <c r="E349" s="9">
        <v>43916.762499999997</v>
      </c>
      <c r="F349" s="10">
        <f>INT(Cardiac_Table[[#This Row],[Procedure Start Date and Time]])</f>
        <v>43916</v>
      </c>
      <c r="G349" s="12">
        <f>MOD(Cardiac_Table[[#This Row],[Procedure Start Date and Time]],1)</f>
        <v>0.76249999999708962</v>
      </c>
      <c r="H349">
        <v>5</v>
      </c>
      <c r="I349" t="s">
        <v>2</v>
      </c>
      <c r="J349" t="s">
        <v>3</v>
      </c>
      <c r="K349" t="s">
        <v>31</v>
      </c>
      <c r="L349">
        <v>55</v>
      </c>
      <c r="M349">
        <v>64.930000000000007</v>
      </c>
      <c r="N349">
        <v>34.299999999999997</v>
      </c>
      <c r="O349" t="s">
        <v>13</v>
      </c>
      <c r="P349">
        <v>77</v>
      </c>
      <c r="Q349">
        <v>169</v>
      </c>
      <c r="R349">
        <v>77</v>
      </c>
      <c r="S349">
        <v>16</v>
      </c>
      <c r="T349" t="s">
        <v>51</v>
      </c>
      <c r="U349">
        <f>IF(Cardiac_Table[[#This Row],[Patient Status at Discharge]]="Died", 1,0)</f>
        <v>1</v>
      </c>
      <c r="V349">
        <f>Cardiac_Table[[#This Row],[Risk of Death % (Model 1)]]/100</f>
        <v>0.6493000000000001</v>
      </c>
      <c r="W349">
        <f>Cardiac_Table[[#This Row],[Risk of Death % (Model 2)]]/100</f>
        <v>0.34299999999999997</v>
      </c>
      <c r="X349" s="18">
        <f>Cardiac_Table[[#This Row],[Procedure Start Date and Time]]-Cardiac_Table[[#This Row],[Hospital Admit Date ]]</f>
        <v>0.20347222221607808</v>
      </c>
    </row>
    <row r="350" spans="1:24" x14ac:dyDescent="0.35">
      <c r="A350">
        <v>354</v>
      </c>
      <c r="B350" s="9">
        <v>43915.429166666669</v>
      </c>
      <c r="C350" s="10">
        <f>INT(Cardiac_Table[[#This Row],[Hospital Admit Date ]])</f>
        <v>43915</v>
      </c>
      <c r="D350" s="11" t="str">
        <f t="shared" si="5"/>
        <v>10:18</v>
      </c>
      <c r="E350" s="9">
        <v>43917.374305555553</v>
      </c>
      <c r="F350" s="10">
        <f>INT(Cardiac_Table[[#This Row],[Procedure Start Date and Time]])</f>
        <v>43917</v>
      </c>
      <c r="G350" s="12">
        <f>MOD(Cardiac_Table[[#This Row],[Procedure Start Date and Time]],1)</f>
        <v>0.37430555555329192</v>
      </c>
      <c r="H350">
        <v>5</v>
      </c>
      <c r="I350" t="s">
        <v>2</v>
      </c>
      <c r="J350" t="s">
        <v>10</v>
      </c>
      <c r="K350" t="s">
        <v>31</v>
      </c>
      <c r="L350">
        <v>71</v>
      </c>
      <c r="M350">
        <v>14.97</v>
      </c>
      <c r="N350">
        <v>5.27</v>
      </c>
      <c r="O350" t="s">
        <v>15</v>
      </c>
      <c r="P350">
        <v>86</v>
      </c>
      <c r="Q350">
        <v>162</v>
      </c>
      <c r="R350">
        <v>91</v>
      </c>
      <c r="S350">
        <v>50</v>
      </c>
      <c r="T350" t="s">
        <v>50</v>
      </c>
      <c r="U350">
        <f>IF(Cardiac_Table[[#This Row],[Patient Status at Discharge]]="Died", 1,0)</f>
        <v>0</v>
      </c>
      <c r="V350">
        <f>Cardiac_Table[[#This Row],[Risk of Death % (Model 1)]]/100</f>
        <v>0.1497</v>
      </c>
      <c r="W350">
        <f>Cardiac_Table[[#This Row],[Risk of Death % (Model 2)]]/100</f>
        <v>5.2699999999999997E-2</v>
      </c>
      <c r="X350" s="18">
        <f>Cardiac_Table[[#This Row],[Procedure Start Date and Time]]-Cardiac_Table[[#This Row],[Hospital Admit Date ]]</f>
        <v>1.945138888884685</v>
      </c>
    </row>
    <row r="351" spans="1:24" x14ac:dyDescent="0.35">
      <c r="A351">
        <v>355</v>
      </c>
      <c r="B351" s="9">
        <v>43916.43472222222</v>
      </c>
      <c r="C351" s="10">
        <f>INT(Cardiac_Table[[#This Row],[Hospital Admit Date ]])</f>
        <v>43916</v>
      </c>
      <c r="D351" s="11" t="str">
        <f t="shared" si="5"/>
        <v>10:26</v>
      </c>
      <c r="E351" s="9">
        <v>43917.570138888892</v>
      </c>
      <c r="F351" s="10">
        <f>INT(Cardiac_Table[[#This Row],[Procedure Start Date and Time]])</f>
        <v>43917</v>
      </c>
      <c r="G351" s="12">
        <f>MOD(Cardiac_Table[[#This Row],[Procedure Start Date and Time]],1)</f>
        <v>0.57013888889196096</v>
      </c>
      <c r="H351">
        <v>3</v>
      </c>
      <c r="I351" t="s">
        <v>6</v>
      </c>
      <c r="J351" t="s">
        <v>11</v>
      </c>
      <c r="K351" t="s">
        <v>24</v>
      </c>
      <c r="L351">
        <v>70</v>
      </c>
      <c r="M351">
        <v>4.6100000000000003</v>
      </c>
      <c r="N351">
        <v>2.7</v>
      </c>
      <c r="O351" t="s">
        <v>15</v>
      </c>
      <c r="P351">
        <v>112</v>
      </c>
      <c r="Q351">
        <v>169</v>
      </c>
      <c r="R351">
        <v>69</v>
      </c>
      <c r="S351">
        <v>70</v>
      </c>
      <c r="T351" t="s">
        <v>48</v>
      </c>
      <c r="U351">
        <f>IF(Cardiac_Table[[#This Row],[Patient Status at Discharge]]="Died", 1,0)</f>
        <v>0</v>
      </c>
      <c r="V351">
        <f>Cardiac_Table[[#This Row],[Risk of Death % (Model 1)]]/100</f>
        <v>4.6100000000000002E-2</v>
      </c>
      <c r="W351">
        <f>Cardiac_Table[[#This Row],[Risk of Death % (Model 2)]]/100</f>
        <v>2.7000000000000003E-2</v>
      </c>
      <c r="X351" s="18">
        <f>Cardiac_Table[[#This Row],[Procedure Start Date and Time]]-Cardiac_Table[[#This Row],[Hospital Admit Date ]]</f>
        <v>1.1354166666715173</v>
      </c>
    </row>
    <row r="352" spans="1:24" x14ac:dyDescent="0.35">
      <c r="A352">
        <v>356</v>
      </c>
      <c r="B352" s="9">
        <v>43905.375</v>
      </c>
      <c r="C352" s="10">
        <f>INT(Cardiac_Table[[#This Row],[Hospital Admit Date ]])</f>
        <v>43905</v>
      </c>
      <c r="D352" s="11" t="str">
        <f t="shared" si="5"/>
        <v>09:00</v>
      </c>
      <c r="E352" s="9">
        <v>43917.611111111109</v>
      </c>
      <c r="F352" s="10">
        <f>INT(Cardiac_Table[[#This Row],[Procedure Start Date and Time]])</f>
        <v>43917</v>
      </c>
      <c r="G352" s="12">
        <f>MOD(Cardiac_Table[[#This Row],[Procedure Start Date and Time]],1)</f>
        <v>0.61111111110949423</v>
      </c>
      <c r="H352">
        <v>5</v>
      </c>
      <c r="I352" t="s">
        <v>6</v>
      </c>
      <c r="J352" t="s">
        <v>10</v>
      </c>
      <c r="K352" t="s">
        <v>31</v>
      </c>
      <c r="L352">
        <v>81</v>
      </c>
      <c r="M352">
        <v>6.23</v>
      </c>
      <c r="N352">
        <v>1.45</v>
      </c>
      <c r="O352" t="s">
        <v>15</v>
      </c>
      <c r="P352">
        <v>74</v>
      </c>
      <c r="Q352">
        <v>165</v>
      </c>
      <c r="R352">
        <v>100</v>
      </c>
      <c r="S352">
        <v>29</v>
      </c>
      <c r="T352" t="s">
        <v>49</v>
      </c>
      <c r="U352">
        <f>IF(Cardiac_Table[[#This Row],[Patient Status at Discharge]]="Died", 1,0)</f>
        <v>0</v>
      </c>
      <c r="V352">
        <f>Cardiac_Table[[#This Row],[Risk of Death % (Model 1)]]/100</f>
        <v>6.2300000000000001E-2</v>
      </c>
      <c r="W352">
        <f>Cardiac_Table[[#This Row],[Risk of Death % (Model 2)]]/100</f>
        <v>1.4499999999999999E-2</v>
      </c>
      <c r="X352" s="18">
        <f>Cardiac_Table[[#This Row],[Procedure Start Date and Time]]-Cardiac_Table[[#This Row],[Hospital Admit Date ]]</f>
        <v>12.236111111109494</v>
      </c>
    </row>
    <row r="353" spans="1:24" x14ac:dyDescent="0.35">
      <c r="A353">
        <v>357</v>
      </c>
      <c r="B353" s="9">
        <v>43919.458333333336</v>
      </c>
      <c r="C353" s="10">
        <f>INT(Cardiac_Table[[#This Row],[Hospital Admit Date ]])</f>
        <v>43919</v>
      </c>
      <c r="D353" s="11" t="str">
        <f t="shared" si="5"/>
        <v>11:00</v>
      </c>
      <c r="E353" s="9">
        <v>43920.385416666664</v>
      </c>
      <c r="F353" s="10">
        <f>INT(Cardiac_Table[[#This Row],[Procedure Start Date and Time]])</f>
        <v>43920</v>
      </c>
      <c r="G353" s="12">
        <f>MOD(Cardiac_Table[[#This Row],[Procedure Start Date and Time]],1)</f>
        <v>0.38541666666424135</v>
      </c>
      <c r="H353">
        <v>3</v>
      </c>
      <c r="I353" t="s">
        <v>6</v>
      </c>
      <c r="J353" t="s">
        <v>10</v>
      </c>
      <c r="K353" t="s">
        <v>23</v>
      </c>
      <c r="L353">
        <v>61</v>
      </c>
      <c r="M353">
        <v>1.72</v>
      </c>
      <c r="N353">
        <v>0.92</v>
      </c>
      <c r="O353" t="s">
        <v>15</v>
      </c>
      <c r="P353">
        <v>102</v>
      </c>
      <c r="Q353">
        <v>149</v>
      </c>
      <c r="R353">
        <v>58</v>
      </c>
      <c r="S353">
        <v>48</v>
      </c>
      <c r="T353" t="s">
        <v>50</v>
      </c>
      <c r="U353">
        <f>IF(Cardiac_Table[[#This Row],[Patient Status at Discharge]]="Died", 1,0)</f>
        <v>0</v>
      </c>
      <c r="V353">
        <f>Cardiac_Table[[#This Row],[Risk of Death % (Model 1)]]/100</f>
        <v>1.72E-2</v>
      </c>
      <c r="W353">
        <f>Cardiac_Table[[#This Row],[Risk of Death % (Model 2)]]/100</f>
        <v>9.1999999999999998E-3</v>
      </c>
      <c r="X353" s="18">
        <f>Cardiac_Table[[#This Row],[Procedure Start Date and Time]]-Cardiac_Table[[#This Row],[Hospital Admit Date ]]</f>
        <v>0.92708333332848269</v>
      </c>
    </row>
    <row r="354" spans="1:24" x14ac:dyDescent="0.35">
      <c r="A354">
        <v>358</v>
      </c>
      <c r="B354" s="9">
        <v>43917.583333333336</v>
      </c>
      <c r="C354" s="10">
        <f>INT(Cardiac_Table[[#This Row],[Hospital Admit Date ]])</f>
        <v>43917</v>
      </c>
      <c r="D354" s="11" t="str">
        <f t="shared" si="5"/>
        <v>14:00</v>
      </c>
      <c r="E354" s="9">
        <v>43920.39166666667</v>
      </c>
      <c r="F354" s="10">
        <f>INT(Cardiac_Table[[#This Row],[Procedure Start Date and Time]])</f>
        <v>43920</v>
      </c>
      <c r="G354" s="12">
        <f>MOD(Cardiac_Table[[#This Row],[Procedure Start Date and Time]],1)</f>
        <v>0.39166666667006211</v>
      </c>
      <c r="H354">
        <v>5</v>
      </c>
      <c r="I354" t="s">
        <v>6</v>
      </c>
      <c r="J354" t="s">
        <v>3</v>
      </c>
      <c r="K354" t="s">
        <v>28</v>
      </c>
      <c r="L354">
        <v>62</v>
      </c>
      <c r="M354">
        <v>5.32</v>
      </c>
      <c r="N354">
        <v>2.2999999999999998</v>
      </c>
      <c r="O354" t="s">
        <v>13</v>
      </c>
      <c r="P354">
        <v>69</v>
      </c>
      <c r="Q354">
        <v>173</v>
      </c>
      <c r="R354">
        <v>103</v>
      </c>
      <c r="S354">
        <v>60</v>
      </c>
      <c r="T354" t="s">
        <v>48</v>
      </c>
      <c r="U354">
        <f>IF(Cardiac_Table[[#This Row],[Patient Status at Discharge]]="Died", 1,0)</f>
        <v>1</v>
      </c>
      <c r="V354">
        <f>Cardiac_Table[[#This Row],[Risk of Death % (Model 1)]]/100</f>
        <v>5.3200000000000004E-2</v>
      </c>
      <c r="W354">
        <f>Cardiac_Table[[#This Row],[Risk of Death % (Model 2)]]/100</f>
        <v>2.3E-2</v>
      </c>
      <c r="X354" s="18">
        <f>Cardiac_Table[[#This Row],[Procedure Start Date and Time]]-Cardiac_Table[[#This Row],[Hospital Admit Date ]]</f>
        <v>2.8083333333343035</v>
      </c>
    </row>
    <row r="355" spans="1:24" x14ac:dyDescent="0.35">
      <c r="A355">
        <v>359</v>
      </c>
      <c r="B355" s="9">
        <v>43919.458333333336</v>
      </c>
      <c r="C355" s="10">
        <f>INT(Cardiac_Table[[#This Row],[Hospital Admit Date ]])</f>
        <v>43919</v>
      </c>
      <c r="D355" s="11" t="str">
        <f t="shared" si="5"/>
        <v>11:00</v>
      </c>
      <c r="E355" s="9">
        <v>43920.629861111112</v>
      </c>
      <c r="F355" s="10">
        <f>INT(Cardiac_Table[[#This Row],[Procedure Start Date and Time]])</f>
        <v>43920</v>
      </c>
      <c r="G355" s="12">
        <f>MOD(Cardiac_Table[[#This Row],[Procedure Start Date and Time]],1)</f>
        <v>0.62986111111240461</v>
      </c>
      <c r="H355">
        <v>3</v>
      </c>
      <c r="I355" t="s">
        <v>6</v>
      </c>
      <c r="J355" t="s">
        <v>3</v>
      </c>
      <c r="K355" t="s">
        <v>23</v>
      </c>
      <c r="L355">
        <v>62</v>
      </c>
      <c r="M355">
        <v>5.28</v>
      </c>
      <c r="N355">
        <v>2.16</v>
      </c>
      <c r="O355" t="s">
        <v>15</v>
      </c>
      <c r="P355">
        <v>124</v>
      </c>
      <c r="Q355">
        <v>160</v>
      </c>
      <c r="R355">
        <v>80</v>
      </c>
      <c r="S355">
        <v>60</v>
      </c>
      <c r="T355" t="s">
        <v>48</v>
      </c>
      <c r="U355">
        <f>IF(Cardiac_Table[[#This Row],[Patient Status at Discharge]]="Died", 1,0)</f>
        <v>0</v>
      </c>
      <c r="V355">
        <f>Cardiac_Table[[#This Row],[Risk of Death % (Model 1)]]/100</f>
        <v>5.28E-2</v>
      </c>
      <c r="W355">
        <f>Cardiac_Table[[#This Row],[Risk of Death % (Model 2)]]/100</f>
        <v>2.1600000000000001E-2</v>
      </c>
      <c r="X355" s="18">
        <f>Cardiac_Table[[#This Row],[Procedure Start Date and Time]]-Cardiac_Table[[#This Row],[Hospital Admit Date ]]</f>
        <v>1.171527777776646</v>
      </c>
    </row>
    <row r="356" spans="1:24" x14ac:dyDescent="0.35">
      <c r="A356">
        <v>360</v>
      </c>
      <c r="B356" s="9">
        <v>43920.458333333336</v>
      </c>
      <c r="C356" s="10">
        <f>INT(Cardiac_Table[[#This Row],[Hospital Admit Date ]])</f>
        <v>43920</v>
      </c>
      <c r="D356" s="11" t="str">
        <f t="shared" si="5"/>
        <v>11:00</v>
      </c>
      <c r="E356" s="9">
        <v>43921.435416666667</v>
      </c>
      <c r="F356" s="10">
        <f>INT(Cardiac_Table[[#This Row],[Procedure Start Date and Time]])</f>
        <v>43921</v>
      </c>
      <c r="G356" s="12">
        <f>MOD(Cardiac_Table[[#This Row],[Procedure Start Date and Time]],1)</f>
        <v>0.43541666666715173</v>
      </c>
      <c r="H356">
        <v>5</v>
      </c>
      <c r="I356" t="s">
        <v>6</v>
      </c>
      <c r="J356" t="s">
        <v>10</v>
      </c>
      <c r="K356" t="s">
        <v>35</v>
      </c>
      <c r="L356">
        <v>73</v>
      </c>
      <c r="M356">
        <v>2.21</v>
      </c>
      <c r="N356">
        <v>1.49</v>
      </c>
      <c r="O356" t="s">
        <v>13</v>
      </c>
      <c r="P356">
        <v>77</v>
      </c>
      <c r="Q356">
        <v>162</v>
      </c>
      <c r="R356">
        <v>64</v>
      </c>
      <c r="S356">
        <v>60</v>
      </c>
      <c r="T356" t="s">
        <v>48</v>
      </c>
      <c r="U356">
        <f>IF(Cardiac_Table[[#This Row],[Patient Status at Discharge]]="Died", 1,0)</f>
        <v>1</v>
      </c>
      <c r="V356">
        <f>Cardiac_Table[[#This Row],[Risk of Death % (Model 1)]]/100</f>
        <v>2.2099999999999998E-2</v>
      </c>
      <c r="W356">
        <f>Cardiac_Table[[#This Row],[Risk of Death % (Model 2)]]/100</f>
        <v>1.49E-2</v>
      </c>
      <c r="X356" s="18">
        <f>Cardiac_Table[[#This Row],[Procedure Start Date and Time]]-Cardiac_Table[[#This Row],[Hospital Admit Date ]]</f>
        <v>0.97708333333139308</v>
      </c>
    </row>
    <row r="357" spans="1:24" x14ac:dyDescent="0.35">
      <c r="A357">
        <v>361</v>
      </c>
      <c r="B357" s="9">
        <v>43920.561805555553</v>
      </c>
      <c r="C357" s="10">
        <f>INT(Cardiac_Table[[#This Row],[Hospital Admit Date ]])</f>
        <v>43920</v>
      </c>
      <c r="D357" s="11" t="str">
        <f t="shared" si="5"/>
        <v>13:29</v>
      </c>
      <c r="E357" s="9">
        <v>43921.435416666667</v>
      </c>
      <c r="F357" s="10">
        <f>INT(Cardiac_Table[[#This Row],[Procedure Start Date and Time]])</f>
        <v>43921</v>
      </c>
      <c r="G357" s="12">
        <f>MOD(Cardiac_Table[[#This Row],[Procedure Start Date and Time]],1)</f>
        <v>0.43541666666715173</v>
      </c>
      <c r="H357">
        <v>3</v>
      </c>
      <c r="I357" t="s">
        <v>6</v>
      </c>
      <c r="J357" t="s">
        <v>10</v>
      </c>
      <c r="K357" t="s">
        <v>29</v>
      </c>
      <c r="L357">
        <v>80</v>
      </c>
      <c r="M357">
        <v>5.85</v>
      </c>
      <c r="N357">
        <v>1.56</v>
      </c>
      <c r="O357" t="s">
        <v>15</v>
      </c>
      <c r="P357">
        <v>104</v>
      </c>
      <c r="Q357">
        <v>171</v>
      </c>
      <c r="R357">
        <v>100</v>
      </c>
      <c r="S357">
        <v>52</v>
      </c>
      <c r="T357" t="s">
        <v>48</v>
      </c>
      <c r="U357">
        <f>IF(Cardiac_Table[[#This Row],[Patient Status at Discharge]]="Died", 1,0)</f>
        <v>0</v>
      </c>
      <c r="V357">
        <f>Cardiac_Table[[#This Row],[Risk of Death % (Model 1)]]/100</f>
        <v>5.8499999999999996E-2</v>
      </c>
      <c r="W357">
        <f>Cardiac_Table[[#This Row],[Risk of Death % (Model 2)]]/100</f>
        <v>1.5600000000000001E-2</v>
      </c>
      <c r="X357" s="18">
        <f>Cardiac_Table[[#This Row],[Procedure Start Date and Time]]-Cardiac_Table[[#This Row],[Hospital Admit Date ]]</f>
        <v>0.87361111111385981</v>
      </c>
    </row>
    <row r="358" spans="1:24" x14ac:dyDescent="0.35">
      <c r="A358">
        <v>362</v>
      </c>
      <c r="B358" s="9">
        <v>43920.444444444445</v>
      </c>
      <c r="C358" s="10">
        <f>INT(Cardiac_Table[[#This Row],[Hospital Admit Date ]])</f>
        <v>43920</v>
      </c>
      <c r="D358" s="11" t="str">
        <f t="shared" si="5"/>
        <v>10:40</v>
      </c>
      <c r="E358" s="9">
        <v>43921.663194444445</v>
      </c>
      <c r="F358" s="10">
        <f>INT(Cardiac_Table[[#This Row],[Procedure Start Date and Time]])</f>
        <v>43921</v>
      </c>
      <c r="G358" s="12">
        <f>MOD(Cardiac_Table[[#This Row],[Procedure Start Date and Time]],1)</f>
        <v>0.66319444444525288</v>
      </c>
      <c r="H358">
        <v>3</v>
      </c>
      <c r="I358" t="s">
        <v>6</v>
      </c>
      <c r="J358" t="s">
        <v>10</v>
      </c>
      <c r="K358" t="s">
        <v>29</v>
      </c>
      <c r="L358">
        <v>50</v>
      </c>
      <c r="M358">
        <v>2.15</v>
      </c>
      <c r="N358">
        <v>2.5</v>
      </c>
      <c r="O358" t="s">
        <v>15</v>
      </c>
      <c r="P358">
        <v>73</v>
      </c>
      <c r="Q358">
        <v>154</v>
      </c>
      <c r="R358">
        <v>108</v>
      </c>
      <c r="S358">
        <v>60</v>
      </c>
      <c r="T358" t="s">
        <v>48</v>
      </c>
      <c r="U358">
        <f>IF(Cardiac_Table[[#This Row],[Patient Status at Discharge]]="Died", 1,0)</f>
        <v>0</v>
      </c>
      <c r="V358">
        <f>Cardiac_Table[[#This Row],[Risk of Death % (Model 1)]]/100</f>
        <v>2.1499999999999998E-2</v>
      </c>
      <c r="W358">
        <f>Cardiac_Table[[#This Row],[Risk of Death % (Model 2)]]/100</f>
        <v>2.5000000000000001E-2</v>
      </c>
      <c r="X358" s="18">
        <f>Cardiac_Table[[#This Row],[Procedure Start Date and Time]]-Cardiac_Table[[#This Row],[Hospital Admit Date ]]</f>
        <v>1.21875</v>
      </c>
    </row>
    <row r="359" spans="1:24" x14ac:dyDescent="0.35">
      <c r="A359">
        <v>363</v>
      </c>
      <c r="B359" s="9">
        <v>43917.318749999999</v>
      </c>
      <c r="C359" s="10">
        <f>INT(Cardiac_Table[[#This Row],[Hospital Admit Date ]])</f>
        <v>43917</v>
      </c>
      <c r="D359" s="11" t="str">
        <f t="shared" si="5"/>
        <v>07:39</v>
      </c>
      <c r="E359" s="9">
        <v>43922.381944444445</v>
      </c>
      <c r="F359" s="10">
        <f>INT(Cardiac_Table[[#This Row],[Procedure Start Date and Time]])</f>
        <v>43922</v>
      </c>
      <c r="G359" s="12">
        <f>MOD(Cardiac_Table[[#This Row],[Procedure Start Date and Time]],1)</f>
        <v>0.38194444444525288</v>
      </c>
      <c r="H359">
        <v>3</v>
      </c>
      <c r="I359" t="s">
        <v>6</v>
      </c>
      <c r="J359" t="s">
        <v>10</v>
      </c>
      <c r="K359" t="s">
        <v>30</v>
      </c>
      <c r="L359">
        <v>48</v>
      </c>
      <c r="M359">
        <v>1.54</v>
      </c>
      <c r="N359">
        <v>1.1499999999999999</v>
      </c>
      <c r="O359" t="s">
        <v>15</v>
      </c>
      <c r="P359">
        <v>86</v>
      </c>
      <c r="Q359">
        <v>172</v>
      </c>
      <c r="R359">
        <v>79</v>
      </c>
      <c r="S359">
        <v>62</v>
      </c>
      <c r="T359" t="s">
        <v>48</v>
      </c>
      <c r="U359">
        <f>IF(Cardiac_Table[[#This Row],[Patient Status at Discharge]]="Died", 1,0)</f>
        <v>0</v>
      </c>
      <c r="V359">
        <f>Cardiac_Table[[#This Row],[Risk of Death % (Model 1)]]/100</f>
        <v>1.54E-2</v>
      </c>
      <c r="W359">
        <f>Cardiac_Table[[#This Row],[Risk of Death % (Model 2)]]/100</f>
        <v>1.15E-2</v>
      </c>
      <c r="X359" s="18">
        <f>Cardiac_Table[[#This Row],[Procedure Start Date and Time]]-Cardiac_Table[[#This Row],[Hospital Admit Date ]]</f>
        <v>5.0631944444467081</v>
      </c>
    </row>
    <row r="360" spans="1:24" x14ac:dyDescent="0.35">
      <c r="A360">
        <v>364</v>
      </c>
      <c r="B360" s="9">
        <v>43898.541666666664</v>
      </c>
      <c r="C360" s="10">
        <f>INT(Cardiac_Table[[#This Row],[Hospital Admit Date ]])</f>
        <v>43898</v>
      </c>
      <c r="D360" s="11" t="str">
        <f t="shared" si="5"/>
        <v>13:00</v>
      </c>
      <c r="E360" s="9">
        <v>43922.631249999999</v>
      </c>
      <c r="F360" s="10">
        <f>INT(Cardiac_Table[[#This Row],[Procedure Start Date and Time]])</f>
        <v>43922</v>
      </c>
      <c r="G360" s="12">
        <f>MOD(Cardiac_Table[[#This Row],[Procedure Start Date and Time]],1)</f>
        <v>0.63124999999854481</v>
      </c>
      <c r="H360">
        <v>3</v>
      </c>
      <c r="I360" t="s">
        <v>6</v>
      </c>
      <c r="J360" t="s">
        <v>11</v>
      </c>
      <c r="K360" t="s">
        <v>30</v>
      </c>
      <c r="L360">
        <v>83</v>
      </c>
      <c r="M360">
        <v>11.55</v>
      </c>
      <c r="N360">
        <v>4.66</v>
      </c>
      <c r="O360" t="s">
        <v>15</v>
      </c>
      <c r="P360">
        <v>72</v>
      </c>
      <c r="Q360">
        <v>173</v>
      </c>
      <c r="R360">
        <v>90</v>
      </c>
      <c r="S360">
        <v>48</v>
      </c>
      <c r="T360" t="s">
        <v>50</v>
      </c>
      <c r="U360">
        <f>IF(Cardiac_Table[[#This Row],[Patient Status at Discharge]]="Died", 1,0)</f>
        <v>0</v>
      </c>
      <c r="V360">
        <f>Cardiac_Table[[#This Row],[Risk of Death % (Model 1)]]/100</f>
        <v>0.11550000000000001</v>
      </c>
      <c r="W360">
        <f>Cardiac_Table[[#This Row],[Risk of Death % (Model 2)]]/100</f>
        <v>4.6600000000000003E-2</v>
      </c>
      <c r="X360" s="18">
        <f>Cardiac_Table[[#This Row],[Procedure Start Date and Time]]-Cardiac_Table[[#This Row],[Hospital Admit Date ]]</f>
        <v>24.089583333334303</v>
      </c>
    </row>
    <row r="361" spans="1:24" x14ac:dyDescent="0.35">
      <c r="A361">
        <v>365</v>
      </c>
      <c r="B361" s="9">
        <v>43919.458333333336</v>
      </c>
      <c r="C361" s="10">
        <f>INT(Cardiac_Table[[#This Row],[Hospital Admit Date ]])</f>
        <v>43919</v>
      </c>
      <c r="D361" s="11" t="str">
        <f t="shared" si="5"/>
        <v>11:00</v>
      </c>
      <c r="E361" s="9">
        <v>43923.385416666664</v>
      </c>
      <c r="F361" s="10">
        <f>INT(Cardiac_Table[[#This Row],[Procedure Start Date and Time]])</f>
        <v>43923</v>
      </c>
      <c r="G361" s="12">
        <f>MOD(Cardiac_Table[[#This Row],[Procedure Start Date and Time]],1)</f>
        <v>0.38541666666424135</v>
      </c>
      <c r="H361">
        <v>5</v>
      </c>
      <c r="I361" t="s">
        <v>6</v>
      </c>
      <c r="J361" t="s">
        <v>10</v>
      </c>
      <c r="K361" t="s">
        <v>32</v>
      </c>
      <c r="L361">
        <v>73</v>
      </c>
      <c r="M361">
        <v>5.15</v>
      </c>
      <c r="N361">
        <v>2.15</v>
      </c>
      <c r="O361" t="s">
        <v>15</v>
      </c>
      <c r="P361">
        <v>68</v>
      </c>
      <c r="Q361">
        <v>195</v>
      </c>
      <c r="R361">
        <v>105</v>
      </c>
      <c r="S361">
        <v>38</v>
      </c>
      <c r="T361" t="s">
        <v>50</v>
      </c>
      <c r="U361">
        <f>IF(Cardiac_Table[[#This Row],[Patient Status at Discharge]]="Died", 1,0)</f>
        <v>0</v>
      </c>
      <c r="V361">
        <f>Cardiac_Table[[#This Row],[Risk of Death % (Model 1)]]/100</f>
        <v>5.1500000000000004E-2</v>
      </c>
      <c r="W361">
        <f>Cardiac_Table[[#This Row],[Risk of Death % (Model 2)]]/100</f>
        <v>2.1499999999999998E-2</v>
      </c>
      <c r="X361" s="18">
        <f>Cardiac_Table[[#This Row],[Procedure Start Date and Time]]-Cardiac_Table[[#This Row],[Hospital Admit Date ]]</f>
        <v>3.9270833333284827</v>
      </c>
    </row>
    <row r="362" spans="1:24" x14ac:dyDescent="0.35">
      <c r="A362">
        <v>366</v>
      </c>
      <c r="B362" s="9">
        <v>43922.458333333336</v>
      </c>
      <c r="C362" s="10">
        <f>INT(Cardiac_Table[[#This Row],[Hospital Admit Date ]])</f>
        <v>43922</v>
      </c>
      <c r="D362" s="11" t="str">
        <f t="shared" si="5"/>
        <v>11:00</v>
      </c>
      <c r="E362" s="9">
        <v>43923.402777777781</v>
      </c>
      <c r="F362" s="10">
        <f>INT(Cardiac_Table[[#This Row],[Procedure Start Date and Time]])</f>
        <v>43923</v>
      </c>
      <c r="G362" s="12">
        <f>MOD(Cardiac_Table[[#This Row],[Procedure Start Date and Time]],1)</f>
        <v>0.40277777778101154</v>
      </c>
      <c r="H362">
        <v>1</v>
      </c>
      <c r="I362" t="s">
        <v>6</v>
      </c>
      <c r="J362" t="s">
        <v>10</v>
      </c>
      <c r="K362" t="s">
        <v>33</v>
      </c>
      <c r="L362">
        <v>54</v>
      </c>
      <c r="M362">
        <v>2.2799999999999998</v>
      </c>
      <c r="N362">
        <v>1.87</v>
      </c>
      <c r="O362" t="s">
        <v>15</v>
      </c>
      <c r="P362">
        <v>140</v>
      </c>
      <c r="Q362">
        <v>160</v>
      </c>
      <c r="R362">
        <v>59</v>
      </c>
      <c r="S362">
        <v>67</v>
      </c>
      <c r="T362" t="s">
        <v>48</v>
      </c>
      <c r="U362">
        <f>IF(Cardiac_Table[[#This Row],[Patient Status at Discharge]]="Died", 1,0)</f>
        <v>0</v>
      </c>
      <c r="V362">
        <f>Cardiac_Table[[#This Row],[Risk of Death % (Model 1)]]/100</f>
        <v>2.2799999999999997E-2</v>
      </c>
      <c r="W362">
        <f>Cardiac_Table[[#This Row],[Risk of Death % (Model 2)]]/100</f>
        <v>1.8700000000000001E-2</v>
      </c>
      <c r="X362" s="18">
        <f>Cardiac_Table[[#This Row],[Procedure Start Date and Time]]-Cardiac_Table[[#This Row],[Hospital Admit Date ]]</f>
        <v>0.94444444444525288</v>
      </c>
    </row>
    <row r="363" spans="1:24" x14ac:dyDescent="0.35">
      <c r="A363">
        <v>367</v>
      </c>
      <c r="B363" s="9">
        <v>43911.583333333336</v>
      </c>
      <c r="C363" s="10">
        <f>INT(Cardiac_Table[[#This Row],[Hospital Admit Date ]])</f>
        <v>43911</v>
      </c>
      <c r="D363" s="11" t="str">
        <f t="shared" si="5"/>
        <v>14:00</v>
      </c>
      <c r="E363" s="9">
        <v>43924.597222222219</v>
      </c>
      <c r="F363" s="10">
        <f>INT(Cardiac_Table[[#This Row],[Procedure Start Date and Time]])</f>
        <v>43924</v>
      </c>
      <c r="G363" s="12">
        <f>MOD(Cardiac_Table[[#This Row],[Procedure Start Date and Time]],1)</f>
        <v>0.59722222221898846</v>
      </c>
      <c r="H363">
        <v>3</v>
      </c>
      <c r="I363" t="s">
        <v>6</v>
      </c>
      <c r="J363" t="s">
        <v>10</v>
      </c>
      <c r="K363" t="s">
        <v>31</v>
      </c>
      <c r="L363">
        <v>56</v>
      </c>
      <c r="M363">
        <v>0.88</v>
      </c>
      <c r="N363">
        <v>0.69</v>
      </c>
      <c r="O363" t="s">
        <v>15</v>
      </c>
      <c r="P363">
        <v>70</v>
      </c>
      <c r="Q363">
        <v>160</v>
      </c>
      <c r="R363">
        <v>78</v>
      </c>
      <c r="S363">
        <v>60</v>
      </c>
      <c r="T363" t="s">
        <v>48</v>
      </c>
      <c r="U363">
        <f>IF(Cardiac_Table[[#This Row],[Patient Status at Discharge]]="Died", 1,0)</f>
        <v>0</v>
      </c>
      <c r="V363">
        <f>Cardiac_Table[[#This Row],[Risk of Death % (Model 1)]]/100</f>
        <v>8.8000000000000005E-3</v>
      </c>
      <c r="W363">
        <f>Cardiac_Table[[#This Row],[Risk of Death % (Model 2)]]/100</f>
        <v>6.8999999999999999E-3</v>
      </c>
      <c r="X363" s="18">
        <f>Cardiac_Table[[#This Row],[Procedure Start Date and Time]]-Cardiac_Table[[#This Row],[Hospital Admit Date ]]</f>
        <v>13.01388888888323</v>
      </c>
    </row>
    <row r="364" spans="1:24" x14ac:dyDescent="0.35">
      <c r="A364">
        <v>368</v>
      </c>
      <c r="B364" s="9">
        <v>43926.9375</v>
      </c>
      <c r="C364" s="10">
        <f>INT(Cardiac_Table[[#This Row],[Hospital Admit Date ]])</f>
        <v>43926</v>
      </c>
      <c r="D364" s="11" t="str">
        <f t="shared" si="5"/>
        <v>22:30</v>
      </c>
      <c r="E364" s="9">
        <v>43927.337500000001</v>
      </c>
      <c r="F364" s="10">
        <f>INT(Cardiac_Table[[#This Row],[Procedure Start Date and Time]])</f>
        <v>43927</v>
      </c>
      <c r="G364" s="12">
        <f>MOD(Cardiac_Table[[#This Row],[Procedure Start Date and Time]],1)</f>
        <v>0.33750000000145519</v>
      </c>
      <c r="H364">
        <v>5</v>
      </c>
      <c r="I364" t="s">
        <v>2</v>
      </c>
      <c r="J364" t="s">
        <v>5</v>
      </c>
      <c r="K364" t="s">
        <v>30</v>
      </c>
      <c r="L364">
        <v>65</v>
      </c>
      <c r="M364">
        <v>23.2</v>
      </c>
      <c r="N364">
        <v>21.94</v>
      </c>
      <c r="O364" t="s">
        <v>15</v>
      </c>
      <c r="P364">
        <v>119</v>
      </c>
      <c r="Q364">
        <v>160</v>
      </c>
      <c r="R364">
        <v>80</v>
      </c>
      <c r="S364">
        <v>55</v>
      </c>
      <c r="T364" t="s">
        <v>48</v>
      </c>
      <c r="U364">
        <f>IF(Cardiac_Table[[#This Row],[Patient Status at Discharge]]="Died", 1,0)</f>
        <v>0</v>
      </c>
      <c r="V364">
        <f>Cardiac_Table[[#This Row],[Risk of Death % (Model 1)]]/100</f>
        <v>0.23199999999999998</v>
      </c>
      <c r="W364">
        <f>Cardiac_Table[[#This Row],[Risk of Death % (Model 2)]]/100</f>
        <v>0.21940000000000001</v>
      </c>
      <c r="X364" s="18">
        <f>Cardiac_Table[[#This Row],[Procedure Start Date and Time]]-Cardiac_Table[[#This Row],[Hospital Admit Date ]]</f>
        <v>0.40000000000145519</v>
      </c>
    </row>
    <row r="365" spans="1:24" x14ac:dyDescent="0.35">
      <c r="A365">
        <v>369</v>
      </c>
      <c r="B365" s="9">
        <v>43924.291666666664</v>
      </c>
      <c r="C365" s="10">
        <f>INT(Cardiac_Table[[#This Row],[Hospital Admit Date ]])</f>
        <v>43924</v>
      </c>
      <c r="D365" s="11" t="str">
        <f t="shared" si="5"/>
        <v>07:00</v>
      </c>
      <c r="E365" s="9">
        <v>43927.368055555555</v>
      </c>
      <c r="F365" s="10">
        <f>INT(Cardiac_Table[[#This Row],[Procedure Start Date and Time]])</f>
        <v>43927</v>
      </c>
      <c r="G365" s="12">
        <f>MOD(Cardiac_Table[[#This Row],[Procedure Start Date and Time]],1)</f>
        <v>0.36805555555474712</v>
      </c>
      <c r="H365">
        <v>3</v>
      </c>
      <c r="I365" t="s">
        <v>4</v>
      </c>
      <c r="J365" t="s">
        <v>11</v>
      </c>
      <c r="K365" t="s">
        <v>23</v>
      </c>
      <c r="L365">
        <v>76</v>
      </c>
      <c r="M365">
        <v>6.73</v>
      </c>
      <c r="N365">
        <v>6.95</v>
      </c>
      <c r="O365" t="s">
        <v>15</v>
      </c>
      <c r="P365">
        <v>130</v>
      </c>
      <c r="Q365">
        <v>170</v>
      </c>
      <c r="R365">
        <v>57</v>
      </c>
      <c r="S365">
        <v>18</v>
      </c>
      <c r="T365" t="s">
        <v>51</v>
      </c>
      <c r="U365">
        <f>IF(Cardiac_Table[[#This Row],[Patient Status at Discharge]]="Died", 1,0)</f>
        <v>0</v>
      </c>
      <c r="V365">
        <f>Cardiac_Table[[#This Row],[Risk of Death % (Model 1)]]/100</f>
        <v>6.7299999999999999E-2</v>
      </c>
      <c r="W365">
        <f>Cardiac_Table[[#This Row],[Risk of Death % (Model 2)]]/100</f>
        <v>6.9500000000000006E-2</v>
      </c>
      <c r="X365" s="18">
        <f>Cardiac_Table[[#This Row],[Procedure Start Date and Time]]-Cardiac_Table[[#This Row],[Hospital Admit Date ]]</f>
        <v>3.0763888888905058</v>
      </c>
    </row>
    <row r="366" spans="1:24" x14ac:dyDescent="0.35">
      <c r="A366">
        <v>371</v>
      </c>
      <c r="B366" s="9">
        <v>43921.416666666664</v>
      </c>
      <c r="C366" s="10">
        <f>INT(Cardiac_Table[[#This Row],[Hospital Admit Date ]])</f>
        <v>43921</v>
      </c>
      <c r="D366" s="11" t="str">
        <f t="shared" si="5"/>
        <v>10:00</v>
      </c>
      <c r="E366" s="9">
        <v>43928.385416666664</v>
      </c>
      <c r="F366" s="10">
        <f>INT(Cardiac_Table[[#This Row],[Procedure Start Date and Time]])</f>
        <v>43928</v>
      </c>
      <c r="G366" s="12">
        <f>MOD(Cardiac_Table[[#This Row],[Procedure Start Date and Time]],1)</f>
        <v>0.38541666666424135</v>
      </c>
      <c r="H366">
        <v>3</v>
      </c>
      <c r="I366" t="s">
        <v>6</v>
      </c>
      <c r="J366" t="s">
        <v>11</v>
      </c>
      <c r="K366" t="s">
        <v>32</v>
      </c>
      <c r="L366">
        <v>64</v>
      </c>
      <c r="M366">
        <v>5.3</v>
      </c>
      <c r="N366">
        <v>8.31</v>
      </c>
      <c r="O366" t="s">
        <v>15</v>
      </c>
      <c r="P366">
        <v>100</v>
      </c>
      <c r="Q366">
        <v>173</v>
      </c>
      <c r="R366">
        <v>77</v>
      </c>
      <c r="S366">
        <v>60</v>
      </c>
      <c r="T366" t="s">
        <v>48</v>
      </c>
      <c r="U366">
        <f>IF(Cardiac_Table[[#This Row],[Patient Status at Discharge]]="Died", 1,0)</f>
        <v>0</v>
      </c>
      <c r="V366">
        <f>Cardiac_Table[[#This Row],[Risk of Death % (Model 1)]]/100</f>
        <v>5.2999999999999999E-2</v>
      </c>
      <c r="W366">
        <f>Cardiac_Table[[#This Row],[Risk of Death % (Model 2)]]/100</f>
        <v>8.3100000000000007E-2</v>
      </c>
      <c r="X366" s="18">
        <f>Cardiac_Table[[#This Row],[Procedure Start Date and Time]]-Cardiac_Table[[#This Row],[Hospital Admit Date ]]</f>
        <v>6.96875</v>
      </c>
    </row>
    <row r="367" spans="1:24" x14ac:dyDescent="0.35">
      <c r="A367">
        <v>372</v>
      </c>
      <c r="B367" s="9">
        <v>43906.416666666664</v>
      </c>
      <c r="C367" s="10">
        <f>INT(Cardiac_Table[[#This Row],[Hospital Admit Date ]])</f>
        <v>43906</v>
      </c>
      <c r="D367" s="11" t="str">
        <f t="shared" si="5"/>
        <v>10:00</v>
      </c>
      <c r="E367" s="9">
        <v>43928.600694444445</v>
      </c>
      <c r="F367" s="10">
        <f>INT(Cardiac_Table[[#This Row],[Procedure Start Date and Time]])</f>
        <v>43928</v>
      </c>
      <c r="G367" s="12">
        <f>MOD(Cardiac_Table[[#This Row],[Procedure Start Date and Time]],1)</f>
        <v>0.60069444444525288</v>
      </c>
      <c r="H367">
        <v>4</v>
      </c>
      <c r="I367" t="s">
        <v>6</v>
      </c>
      <c r="J367" t="s">
        <v>3</v>
      </c>
      <c r="K367" t="s">
        <v>32</v>
      </c>
      <c r="L367">
        <v>67</v>
      </c>
      <c r="M367">
        <v>5.6</v>
      </c>
      <c r="N367">
        <v>2.1800000000000002</v>
      </c>
      <c r="O367" t="s">
        <v>15</v>
      </c>
      <c r="P367">
        <v>109</v>
      </c>
      <c r="Q367">
        <v>163</v>
      </c>
      <c r="R367">
        <v>79</v>
      </c>
      <c r="S367">
        <v>50</v>
      </c>
      <c r="T367" t="s">
        <v>50</v>
      </c>
      <c r="U367">
        <f>IF(Cardiac_Table[[#This Row],[Patient Status at Discharge]]="Died", 1,0)</f>
        <v>0</v>
      </c>
      <c r="V367">
        <f>Cardiac_Table[[#This Row],[Risk of Death % (Model 1)]]/100</f>
        <v>5.5999999999999994E-2</v>
      </c>
      <c r="W367">
        <f>Cardiac_Table[[#This Row],[Risk of Death % (Model 2)]]/100</f>
        <v>2.18E-2</v>
      </c>
      <c r="X367" s="18">
        <f>Cardiac_Table[[#This Row],[Procedure Start Date and Time]]-Cardiac_Table[[#This Row],[Hospital Admit Date ]]</f>
        <v>22.184027777781012</v>
      </c>
    </row>
    <row r="368" spans="1:24" x14ac:dyDescent="0.35">
      <c r="A368">
        <v>373</v>
      </c>
      <c r="B368" s="9">
        <v>43928.458333333336</v>
      </c>
      <c r="C368" s="10">
        <f>INT(Cardiac_Table[[#This Row],[Hospital Admit Date ]])</f>
        <v>43928</v>
      </c>
      <c r="D368" s="11" t="str">
        <f t="shared" si="5"/>
        <v>11:00</v>
      </c>
      <c r="E368" s="9">
        <v>43929.480555555558</v>
      </c>
      <c r="F368" s="10">
        <f>INT(Cardiac_Table[[#This Row],[Procedure Start Date and Time]])</f>
        <v>43929</v>
      </c>
      <c r="G368" s="12">
        <f>MOD(Cardiac_Table[[#This Row],[Procedure Start Date and Time]],1)</f>
        <v>0.4805555555576575</v>
      </c>
      <c r="H368">
        <v>3</v>
      </c>
      <c r="I368" t="s">
        <v>6</v>
      </c>
      <c r="J368" t="s">
        <v>3</v>
      </c>
      <c r="K368" t="s">
        <v>35</v>
      </c>
      <c r="L368">
        <v>74</v>
      </c>
      <c r="M368">
        <v>3.99</v>
      </c>
      <c r="N368">
        <v>1.02</v>
      </c>
      <c r="O368" t="s">
        <v>15</v>
      </c>
      <c r="P368">
        <v>124</v>
      </c>
      <c r="Q368">
        <v>175</v>
      </c>
      <c r="R368">
        <v>119</v>
      </c>
      <c r="S368">
        <v>65</v>
      </c>
      <c r="T368" t="s">
        <v>48</v>
      </c>
      <c r="U368">
        <f>IF(Cardiac_Table[[#This Row],[Patient Status at Discharge]]="Died", 1,0)</f>
        <v>0</v>
      </c>
      <c r="V368">
        <f>Cardiac_Table[[#This Row],[Risk of Death % (Model 1)]]/100</f>
        <v>3.9900000000000005E-2</v>
      </c>
      <c r="W368">
        <f>Cardiac_Table[[#This Row],[Risk of Death % (Model 2)]]/100</f>
        <v>1.0200000000000001E-2</v>
      </c>
      <c r="X368" s="18">
        <f>Cardiac_Table[[#This Row],[Procedure Start Date and Time]]-Cardiac_Table[[#This Row],[Hospital Admit Date ]]</f>
        <v>1.0222222222218988</v>
      </c>
    </row>
    <row r="369" spans="1:24" x14ac:dyDescent="0.35">
      <c r="A369">
        <v>375</v>
      </c>
      <c r="B369" s="9">
        <v>43927.458333333336</v>
      </c>
      <c r="C369" s="10">
        <f>INT(Cardiac_Table[[#This Row],[Hospital Admit Date ]])</f>
        <v>43927</v>
      </c>
      <c r="D369" s="11" t="str">
        <f t="shared" si="5"/>
        <v>11:00</v>
      </c>
      <c r="E369" s="9">
        <v>43935.357638888891</v>
      </c>
      <c r="F369" s="10">
        <f>INT(Cardiac_Table[[#This Row],[Procedure Start Date and Time]])</f>
        <v>43935</v>
      </c>
      <c r="G369" s="12">
        <f>MOD(Cardiac_Table[[#This Row],[Procedure Start Date and Time]],1)</f>
        <v>0.35763888889050577</v>
      </c>
      <c r="H369">
        <v>3</v>
      </c>
      <c r="I369" t="s">
        <v>4</v>
      </c>
      <c r="J369" t="s">
        <v>10</v>
      </c>
      <c r="K369" t="s">
        <v>23</v>
      </c>
      <c r="L369">
        <v>49</v>
      </c>
      <c r="M369">
        <v>0.88</v>
      </c>
      <c r="N369">
        <v>0.5</v>
      </c>
      <c r="O369" t="s">
        <v>15</v>
      </c>
      <c r="P369">
        <v>97</v>
      </c>
      <c r="Q369">
        <v>170</v>
      </c>
      <c r="R369">
        <v>76</v>
      </c>
      <c r="S369">
        <v>65</v>
      </c>
      <c r="T369" t="s">
        <v>48</v>
      </c>
      <c r="U369">
        <f>IF(Cardiac_Table[[#This Row],[Patient Status at Discharge]]="Died", 1,0)</f>
        <v>0</v>
      </c>
      <c r="V369">
        <f>Cardiac_Table[[#This Row],[Risk of Death % (Model 1)]]/100</f>
        <v>8.8000000000000005E-3</v>
      </c>
      <c r="W369">
        <f>Cardiac_Table[[#This Row],[Risk of Death % (Model 2)]]/100</f>
        <v>5.0000000000000001E-3</v>
      </c>
      <c r="X369" s="18">
        <f>Cardiac_Table[[#This Row],[Procedure Start Date and Time]]-Cardiac_Table[[#This Row],[Hospital Admit Date ]]</f>
        <v>7.8993055555547471</v>
      </c>
    </row>
    <row r="370" spans="1:24" x14ac:dyDescent="0.35">
      <c r="A370">
        <v>376</v>
      </c>
      <c r="B370" s="9">
        <v>43933.416666666664</v>
      </c>
      <c r="C370" s="10">
        <f>INT(Cardiac_Table[[#This Row],[Hospital Admit Date ]])</f>
        <v>43933</v>
      </c>
      <c r="D370" s="11" t="str">
        <f t="shared" si="5"/>
        <v>10:00</v>
      </c>
      <c r="E370" s="9">
        <v>43935.395833333336</v>
      </c>
      <c r="F370" s="10">
        <f>INT(Cardiac_Table[[#This Row],[Procedure Start Date and Time]])</f>
        <v>43935</v>
      </c>
      <c r="G370" s="12">
        <f>MOD(Cardiac_Table[[#This Row],[Procedure Start Date and Time]],1)</f>
        <v>0.39583333333575865</v>
      </c>
      <c r="H370">
        <v>5</v>
      </c>
      <c r="I370" t="s">
        <v>4</v>
      </c>
      <c r="J370" t="s">
        <v>3</v>
      </c>
      <c r="K370" t="s">
        <v>29</v>
      </c>
      <c r="L370">
        <v>19</v>
      </c>
      <c r="M370">
        <v>0.88</v>
      </c>
      <c r="N370">
        <v>0.55000000000000004</v>
      </c>
      <c r="O370" t="s">
        <v>15</v>
      </c>
      <c r="P370">
        <v>69</v>
      </c>
      <c r="Q370">
        <v>178</v>
      </c>
      <c r="R370">
        <v>116</v>
      </c>
      <c r="S370">
        <v>40</v>
      </c>
      <c r="T370" t="s">
        <v>50</v>
      </c>
      <c r="U370">
        <f>IF(Cardiac_Table[[#This Row],[Patient Status at Discharge]]="Died", 1,0)</f>
        <v>0</v>
      </c>
      <c r="V370">
        <f>Cardiac_Table[[#This Row],[Risk of Death % (Model 1)]]/100</f>
        <v>8.8000000000000005E-3</v>
      </c>
      <c r="W370">
        <f>Cardiac_Table[[#This Row],[Risk of Death % (Model 2)]]/100</f>
        <v>5.5000000000000005E-3</v>
      </c>
      <c r="X370" s="18">
        <f>Cardiac_Table[[#This Row],[Procedure Start Date and Time]]-Cardiac_Table[[#This Row],[Hospital Admit Date ]]</f>
        <v>1.9791666666715173</v>
      </c>
    </row>
    <row r="371" spans="1:24" x14ac:dyDescent="0.35">
      <c r="A371">
        <v>377</v>
      </c>
      <c r="B371" s="9">
        <v>43939.481944444444</v>
      </c>
      <c r="C371" s="10">
        <f>INT(Cardiac_Table[[#This Row],[Hospital Admit Date ]])</f>
        <v>43939</v>
      </c>
      <c r="D371" s="11" t="str">
        <f t="shared" si="5"/>
        <v>11:34</v>
      </c>
      <c r="E371" s="9">
        <v>43939.54583333333</v>
      </c>
      <c r="F371" s="10">
        <f>INT(Cardiac_Table[[#This Row],[Procedure Start Date and Time]])</f>
        <v>43939</v>
      </c>
      <c r="G371" s="12">
        <f>MOD(Cardiac_Table[[#This Row],[Procedure Start Date and Time]],1)</f>
        <v>0.54583333332993789</v>
      </c>
      <c r="H371">
        <v>5</v>
      </c>
      <c r="I371" t="s">
        <v>2</v>
      </c>
      <c r="J371" t="s">
        <v>1</v>
      </c>
      <c r="K371" t="s">
        <v>30</v>
      </c>
      <c r="L371">
        <v>76</v>
      </c>
      <c r="M371">
        <v>23.59</v>
      </c>
      <c r="N371">
        <v>7.51</v>
      </c>
      <c r="O371" t="s">
        <v>13</v>
      </c>
      <c r="P371">
        <v>128</v>
      </c>
      <c r="Q371">
        <v>155</v>
      </c>
      <c r="R371">
        <v>70</v>
      </c>
      <c r="S371">
        <v>50</v>
      </c>
      <c r="T371" t="s">
        <v>50</v>
      </c>
      <c r="U371">
        <f>IF(Cardiac_Table[[#This Row],[Patient Status at Discharge]]="Died", 1,0)</f>
        <v>1</v>
      </c>
      <c r="V371">
        <f>Cardiac_Table[[#This Row],[Risk of Death % (Model 1)]]/100</f>
        <v>0.2359</v>
      </c>
      <c r="W371">
        <f>Cardiac_Table[[#This Row],[Risk of Death % (Model 2)]]/100</f>
        <v>7.51E-2</v>
      </c>
      <c r="X371" s="18">
        <f>Cardiac_Table[[#This Row],[Procedure Start Date and Time]]-Cardiac_Table[[#This Row],[Hospital Admit Date ]]</f>
        <v>6.3888888886140194E-2</v>
      </c>
    </row>
    <row r="372" spans="1:24" x14ac:dyDescent="0.35">
      <c r="A372">
        <v>378</v>
      </c>
      <c r="B372" s="9">
        <v>43940.583333333336</v>
      </c>
      <c r="C372" s="10">
        <f>INT(Cardiac_Table[[#This Row],[Hospital Admit Date ]])</f>
        <v>43940</v>
      </c>
      <c r="D372" s="11" t="str">
        <f t="shared" si="5"/>
        <v>14:00</v>
      </c>
      <c r="E372" s="9">
        <v>43941.338888888888</v>
      </c>
      <c r="F372" s="10">
        <f>INT(Cardiac_Table[[#This Row],[Procedure Start Date and Time]])</f>
        <v>43941</v>
      </c>
      <c r="G372" s="12">
        <f>MOD(Cardiac_Table[[#This Row],[Procedure Start Date and Time]],1)</f>
        <v>0.33888888888759539</v>
      </c>
      <c r="H372">
        <v>3</v>
      </c>
      <c r="I372" t="s">
        <v>4</v>
      </c>
      <c r="J372" t="s">
        <v>3</v>
      </c>
      <c r="K372" t="s">
        <v>32</v>
      </c>
      <c r="L372">
        <v>72</v>
      </c>
      <c r="M372">
        <v>10.29</v>
      </c>
      <c r="N372">
        <v>5.66</v>
      </c>
      <c r="O372" t="s">
        <v>15</v>
      </c>
      <c r="P372">
        <v>97</v>
      </c>
      <c r="Q372">
        <v>163</v>
      </c>
      <c r="R372">
        <v>82</v>
      </c>
      <c r="S372">
        <v>60</v>
      </c>
      <c r="T372" t="s">
        <v>48</v>
      </c>
      <c r="U372">
        <f>IF(Cardiac_Table[[#This Row],[Patient Status at Discharge]]="Died", 1,0)</f>
        <v>0</v>
      </c>
      <c r="V372">
        <f>Cardiac_Table[[#This Row],[Risk of Death % (Model 1)]]/100</f>
        <v>0.10289999999999999</v>
      </c>
      <c r="W372">
        <f>Cardiac_Table[[#This Row],[Risk of Death % (Model 2)]]/100</f>
        <v>5.6600000000000004E-2</v>
      </c>
      <c r="X372" s="18">
        <f>Cardiac_Table[[#This Row],[Procedure Start Date and Time]]-Cardiac_Table[[#This Row],[Hospital Admit Date ]]</f>
        <v>0.75555555555183673</v>
      </c>
    </row>
    <row r="373" spans="1:24" x14ac:dyDescent="0.35">
      <c r="A373">
        <v>379</v>
      </c>
      <c r="B373" s="9">
        <v>43939.629166666666</v>
      </c>
      <c r="C373" s="10">
        <f>INT(Cardiac_Table[[#This Row],[Hospital Admit Date ]])</f>
        <v>43939</v>
      </c>
      <c r="D373" s="11" t="str">
        <f t="shared" si="5"/>
        <v>15:06</v>
      </c>
      <c r="E373" s="9">
        <v>43941.354166666664</v>
      </c>
      <c r="F373" s="10">
        <f>INT(Cardiac_Table[[#This Row],[Procedure Start Date and Time]])</f>
        <v>43941</v>
      </c>
      <c r="G373" s="12">
        <f>MOD(Cardiac_Table[[#This Row],[Procedure Start Date and Time]],1)</f>
        <v>0.35416666666424135</v>
      </c>
      <c r="H373">
        <v>5</v>
      </c>
      <c r="I373" t="s">
        <v>6</v>
      </c>
      <c r="J373" t="s">
        <v>11</v>
      </c>
      <c r="K373" t="s">
        <v>23</v>
      </c>
      <c r="L373">
        <v>76</v>
      </c>
      <c r="M373">
        <v>32.04</v>
      </c>
      <c r="N373">
        <v>22.09</v>
      </c>
      <c r="O373" t="s">
        <v>15</v>
      </c>
      <c r="P373">
        <v>95</v>
      </c>
      <c r="Q373">
        <v>176</v>
      </c>
      <c r="R373">
        <v>80</v>
      </c>
      <c r="S373">
        <v>67</v>
      </c>
      <c r="T373" t="s">
        <v>48</v>
      </c>
      <c r="U373">
        <f>IF(Cardiac_Table[[#This Row],[Patient Status at Discharge]]="Died", 1,0)</f>
        <v>0</v>
      </c>
      <c r="V373">
        <f>Cardiac_Table[[#This Row],[Risk of Death % (Model 1)]]/100</f>
        <v>0.32040000000000002</v>
      </c>
      <c r="W373">
        <f>Cardiac_Table[[#This Row],[Risk of Death % (Model 2)]]/100</f>
        <v>0.22089999999999999</v>
      </c>
      <c r="X373" s="18">
        <f>Cardiac_Table[[#This Row],[Procedure Start Date and Time]]-Cardiac_Table[[#This Row],[Hospital Admit Date ]]</f>
        <v>1.7249999999985448</v>
      </c>
    </row>
    <row r="374" spans="1:24" x14ac:dyDescent="0.35">
      <c r="A374">
        <v>380</v>
      </c>
      <c r="B374" s="9">
        <v>43939.938888888886</v>
      </c>
      <c r="C374" s="10">
        <f>INT(Cardiac_Table[[#This Row],[Hospital Admit Date ]])</f>
        <v>43939</v>
      </c>
      <c r="D374" s="11" t="str">
        <f t="shared" si="5"/>
        <v>22:32</v>
      </c>
      <c r="E374" s="9">
        <v>43941.510416666664</v>
      </c>
      <c r="F374" s="10">
        <f>INT(Cardiac_Table[[#This Row],[Procedure Start Date and Time]])</f>
        <v>43941</v>
      </c>
      <c r="G374" s="12">
        <f>MOD(Cardiac_Table[[#This Row],[Procedure Start Date and Time]],1)</f>
        <v>0.51041666666424135</v>
      </c>
      <c r="H374">
        <v>4</v>
      </c>
      <c r="I374" t="s">
        <v>2</v>
      </c>
      <c r="J374" t="s">
        <v>1</v>
      </c>
      <c r="K374" t="s">
        <v>30</v>
      </c>
      <c r="L374">
        <v>58</v>
      </c>
      <c r="M374">
        <v>16.079999999999998</v>
      </c>
      <c r="N374">
        <v>7.21</v>
      </c>
      <c r="O374" t="s">
        <v>15</v>
      </c>
      <c r="P374">
        <v>92</v>
      </c>
      <c r="Q374">
        <v>178</v>
      </c>
      <c r="R374">
        <v>105</v>
      </c>
      <c r="S374">
        <v>50</v>
      </c>
      <c r="T374" t="s">
        <v>50</v>
      </c>
      <c r="U374">
        <f>IF(Cardiac_Table[[#This Row],[Patient Status at Discharge]]="Died", 1,0)</f>
        <v>0</v>
      </c>
      <c r="V374">
        <f>Cardiac_Table[[#This Row],[Risk of Death % (Model 1)]]/100</f>
        <v>0.16079999999999997</v>
      </c>
      <c r="W374">
        <f>Cardiac_Table[[#This Row],[Risk of Death % (Model 2)]]/100</f>
        <v>7.2099999999999997E-2</v>
      </c>
      <c r="X374" s="18">
        <f>Cardiac_Table[[#This Row],[Procedure Start Date and Time]]-Cardiac_Table[[#This Row],[Hospital Admit Date ]]</f>
        <v>1.5715277777781012</v>
      </c>
    </row>
    <row r="375" spans="1:24" x14ac:dyDescent="0.35">
      <c r="A375">
        <v>381</v>
      </c>
      <c r="B375" s="9">
        <v>43945.904166666667</v>
      </c>
      <c r="C375" s="10">
        <f>INT(Cardiac_Table[[#This Row],[Hospital Admit Date ]])</f>
        <v>43945</v>
      </c>
      <c r="D375" s="11" t="str">
        <f t="shared" si="5"/>
        <v>21:42</v>
      </c>
      <c r="E375" s="9">
        <v>43946.018750000003</v>
      </c>
      <c r="F375" s="10">
        <f>INT(Cardiac_Table[[#This Row],[Procedure Start Date and Time]])</f>
        <v>43946</v>
      </c>
      <c r="G375" s="12">
        <f>MOD(Cardiac_Table[[#This Row],[Procedure Start Date and Time]],1)</f>
        <v>1.8750000002910383E-2</v>
      </c>
      <c r="H375">
        <v>5</v>
      </c>
      <c r="I375" t="s">
        <v>2</v>
      </c>
      <c r="J375" t="s">
        <v>1</v>
      </c>
      <c r="K375" t="s">
        <v>30</v>
      </c>
      <c r="L375">
        <v>60</v>
      </c>
      <c r="M375">
        <v>22.18</v>
      </c>
      <c r="N375">
        <v>4</v>
      </c>
      <c r="O375" t="s">
        <v>15</v>
      </c>
      <c r="P375">
        <v>113</v>
      </c>
      <c r="Q375">
        <v>181</v>
      </c>
      <c r="R375">
        <v>75</v>
      </c>
      <c r="S375">
        <v>63</v>
      </c>
      <c r="T375" t="s">
        <v>48</v>
      </c>
      <c r="U375">
        <f>IF(Cardiac_Table[[#This Row],[Patient Status at Discharge]]="Died", 1,0)</f>
        <v>0</v>
      </c>
      <c r="V375">
        <f>Cardiac_Table[[#This Row],[Risk of Death % (Model 1)]]/100</f>
        <v>0.2218</v>
      </c>
      <c r="W375">
        <f>Cardiac_Table[[#This Row],[Risk of Death % (Model 2)]]/100</f>
        <v>0.04</v>
      </c>
      <c r="X375" s="18">
        <f>Cardiac_Table[[#This Row],[Procedure Start Date and Time]]-Cardiac_Table[[#This Row],[Hospital Admit Date ]]</f>
        <v>0.11458333333575865</v>
      </c>
    </row>
    <row r="376" spans="1:24" x14ac:dyDescent="0.35">
      <c r="A376">
        <v>382</v>
      </c>
      <c r="B376" s="9">
        <v>43946.534722222219</v>
      </c>
      <c r="C376" s="10">
        <f>INT(Cardiac_Table[[#This Row],[Hospital Admit Date ]])</f>
        <v>43946</v>
      </c>
      <c r="D376" s="11" t="str">
        <f t="shared" si="5"/>
        <v>12:50</v>
      </c>
      <c r="E376" s="9">
        <v>43946.645833333336</v>
      </c>
      <c r="F376" s="10">
        <f>INT(Cardiac_Table[[#This Row],[Procedure Start Date and Time]])</f>
        <v>43946</v>
      </c>
      <c r="G376" s="12">
        <f>MOD(Cardiac_Table[[#This Row],[Procedure Start Date and Time]],1)</f>
        <v>0.64583333333575865</v>
      </c>
      <c r="H376">
        <v>3</v>
      </c>
      <c r="I376" t="s">
        <v>2</v>
      </c>
      <c r="J376" t="s">
        <v>1</v>
      </c>
      <c r="K376" t="s">
        <v>30</v>
      </c>
      <c r="L376">
        <v>42</v>
      </c>
      <c r="M376">
        <v>16.079999999999998</v>
      </c>
      <c r="N376">
        <v>8.08</v>
      </c>
      <c r="O376" t="s">
        <v>15</v>
      </c>
      <c r="P376">
        <v>81</v>
      </c>
      <c r="Q376">
        <v>177</v>
      </c>
      <c r="R376">
        <v>106</v>
      </c>
      <c r="S376">
        <v>47</v>
      </c>
      <c r="T376" t="s">
        <v>50</v>
      </c>
      <c r="U376">
        <f>IF(Cardiac_Table[[#This Row],[Patient Status at Discharge]]="Died", 1,0)</f>
        <v>0</v>
      </c>
      <c r="V376">
        <f>Cardiac_Table[[#This Row],[Risk of Death % (Model 1)]]/100</f>
        <v>0.16079999999999997</v>
      </c>
      <c r="W376">
        <f>Cardiac_Table[[#This Row],[Risk of Death % (Model 2)]]/100</f>
        <v>8.0799999999999997E-2</v>
      </c>
      <c r="X376" s="18">
        <f>Cardiac_Table[[#This Row],[Procedure Start Date and Time]]-Cardiac_Table[[#This Row],[Hospital Admit Date ]]</f>
        <v>0.11111111111677019</v>
      </c>
    </row>
    <row r="377" spans="1:24" x14ac:dyDescent="0.35">
      <c r="A377">
        <v>383</v>
      </c>
      <c r="B377" s="9">
        <v>43948.9</v>
      </c>
      <c r="C377" s="10">
        <f>INT(Cardiac_Table[[#This Row],[Hospital Admit Date ]])</f>
        <v>43948</v>
      </c>
      <c r="D377" s="11" t="str">
        <f t="shared" si="5"/>
        <v>21:36</v>
      </c>
      <c r="E377" s="9">
        <v>43948.969444444447</v>
      </c>
      <c r="F377" s="10">
        <f>INT(Cardiac_Table[[#This Row],[Procedure Start Date and Time]])</f>
        <v>43948</v>
      </c>
      <c r="G377" s="12">
        <f>MOD(Cardiac_Table[[#This Row],[Procedure Start Date and Time]],1)</f>
        <v>0.96944444444670808</v>
      </c>
      <c r="H377">
        <v>4</v>
      </c>
      <c r="I377" t="s">
        <v>2</v>
      </c>
      <c r="J377" t="s">
        <v>1</v>
      </c>
      <c r="K377" t="s">
        <v>23</v>
      </c>
      <c r="L377">
        <v>67</v>
      </c>
      <c r="M377">
        <v>36.549999999999997</v>
      </c>
      <c r="N377">
        <v>8.1999999999999993</v>
      </c>
      <c r="O377" t="s">
        <v>15</v>
      </c>
      <c r="P377">
        <v>82</v>
      </c>
      <c r="Q377">
        <v>147</v>
      </c>
      <c r="R377">
        <v>49</v>
      </c>
      <c r="S377">
        <v>64</v>
      </c>
      <c r="T377" t="s">
        <v>48</v>
      </c>
      <c r="U377">
        <f>IF(Cardiac_Table[[#This Row],[Patient Status at Discharge]]="Died", 1,0)</f>
        <v>0</v>
      </c>
      <c r="V377">
        <f>Cardiac_Table[[#This Row],[Risk of Death % (Model 1)]]/100</f>
        <v>0.36549999999999999</v>
      </c>
      <c r="W377">
        <f>Cardiac_Table[[#This Row],[Risk of Death % (Model 2)]]/100</f>
        <v>8.199999999999999E-2</v>
      </c>
      <c r="X377" s="18">
        <f>Cardiac_Table[[#This Row],[Procedure Start Date and Time]]-Cardiac_Table[[#This Row],[Hospital Admit Date ]]</f>
        <v>6.9444444445252884E-2</v>
      </c>
    </row>
    <row r="378" spans="1:24" x14ac:dyDescent="0.35">
      <c r="A378">
        <v>384</v>
      </c>
      <c r="B378" s="9">
        <v>43950.291666666664</v>
      </c>
      <c r="C378" s="10">
        <f>INT(Cardiac_Table[[#This Row],[Hospital Admit Date ]])</f>
        <v>43950</v>
      </c>
      <c r="D378" s="11" t="str">
        <f t="shared" si="5"/>
        <v>07:00</v>
      </c>
      <c r="E378" s="9">
        <v>43950.444444444445</v>
      </c>
      <c r="F378" s="10">
        <f>INT(Cardiac_Table[[#This Row],[Procedure Start Date and Time]])</f>
        <v>43950</v>
      </c>
      <c r="G378" s="12">
        <f>MOD(Cardiac_Table[[#This Row],[Procedure Start Date and Time]],1)</f>
        <v>0.44444444444525288</v>
      </c>
      <c r="H378">
        <v>5</v>
      </c>
      <c r="I378" t="s">
        <v>4</v>
      </c>
      <c r="J378" t="s">
        <v>11</v>
      </c>
      <c r="K378" t="s">
        <v>23</v>
      </c>
      <c r="L378">
        <v>66</v>
      </c>
      <c r="M378">
        <v>3.28</v>
      </c>
      <c r="N378">
        <v>1.27</v>
      </c>
      <c r="O378" t="s">
        <v>15</v>
      </c>
      <c r="P378">
        <v>63</v>
      </c>
      <c r="Q378">
        <v>161</v>
      </c>
      <c r="R378">
        <v>63</v>
      </c>
      <c r="S378">
        <v>70</v>
      </c>
      <c r="T378" t="s">
        <v>48</v>
      </c>
      <c r="U378">
        <f>IF(Cardiac_Table[[#This Row],[Patient Status at Discharge]]="Died", 1,0)</f>
        <v>0</v>
      </c>
      <c r="V378">
        <f>Cardiac_Table[[#This Row],[Risk of Death % (Model 1)]]/100</f>
        <v>3.2799999999999996E-2</v>
      </c>
      <c r="W378">
        <f>Cardiac_Table[[#This Row],[Risk of Death % (Model 2)]]/100</f>
        <v>1.2699999999999999E-2</v>
      </c>
      <c r="X378" s="18">
        <f>Cardiac_Table[[#This Row],[Procedure Start Date and Time]]-Cardiac_Table[[#This Row],[Hospital Admit Date ]]</f>
        <v>0.15277777778101154</v>
      </c>
    </row>
    <row r="379" spans="1:24" x14ac:dyDescent="0.35">
      <c r="A379">
        <v>385</v>
      </c>
      <c r="B379" s="9">
        <v>43951.291666666664</v>
      </c>
      <c r="C379" s="10">
        <f>INT(Cardiac_Table[[#This Row],[Hospital Admit Date ]])</f>
        <v>43951</v>
      </c>
      <c r="D379" s="11" t="str">
        <f t="shared" si="5"/>
        <v>07:00</v>
      </c>
      <c r="E379" s="9">
        <v>43951.415972222225</v>
      </c>
      <c r="F379" s="10">
        <f>INT(Cardiac_Table[[#This Row],[Procedure Start Date and Time]])</f>
        <v>43951</v>
      </c>
      <c r="G379" s="12">
        <f>MOD(Cardiac_Table[[#This Row],[Procedure Start Date and Time]],1)</f>
        <v>0.41597222222480923</v>
      </c>
      <c r="H379">
        <v>5</v>
      </c>
      <c r="I379" t="s">
        <v>4</v>
      </c>
      <c r="J379" t="s">
        <v>3</v>
      </c>
      <c r="K379" t="s">
        <v>31</v>
      </c>
      <c r="L379">
        <v>69</v>
      </c>
      <c r="M379">
        <v>12.49</v>
      </c>
      <c r="N379">
        <v>2.42</v>
      </c>
      <c r="O379" t="s">
        <v>15</v>
      </c>
      <c r="P379">
        <v>108</v>
      </c>
      <c r="Q379">
        <v>179</v>
      </c>
      <c r="R379">
        <v>113</v>
      </c>
      <c r="S379">
        <v>35</v>
      </c>
      <c r="T379" t="s">
        <v>50</v>
      </c>
      <c r="U379">
        <f>IF(Cardiac_Table[[#This Row],[Patient Status at Discharge]]="Died", 1,0)</f>
        <v>0</v>
      </c>
      <c r="V379">
        <f>Cardiac_Table[[#This Row],[Risk of Death % (Model 1)]]/100</f>
        <v>0.1249</v>
      </c>
      <c r="W379">
        <f>Cardiac_Table[[#This Row],[Risk of Death % (Model 2)]]/100</f>
        <v>2.4199999999999999E-2</v>
      </c>
      <c r="X379" s="18">
        <f>Cardiac_Table[[#This Row],[Procedure Start Date and Time]]-Cardiac_Table[[#This Row],[Hospital Admit Date ]]</f>
        <v>0.12430555556056788</v>
      </c>
    </row>
    <row r="380" spans="1:24" x14ac:dyDescent="0.35">
      <c r="A380">
        <v>386</v>
      </c>
      <c r="B380" s="9">
        <v>43953.490972222222</v>
      </c>
      <c r="C380" s="10">
        <f>INT(Cardiac_Table[[#This Row],[Hospital Admit Date ]])</f>
        <v>43953</v>
      </c>
      <c r="D380" s="11" t="str">
        <f t="shared" si="5"/>
        <v>11:47</v>
      </c>
      <c r="E380" s="9">
        <v>43955.40625</v>
      </c>
      <c r="F380" s="10">
        <f>INT(Cardiac_Table[[#This Row],[Procedure Start Date and Time]])</f>
        <v>43955</v>
      </c>
      <c r="G380" s="12">
        <f>MOD(Cardiac_Table[[#This Row],[Procedure Start Date and Time]],1)</f>
        <v>0.40625</v>
      </c>
      <c r="H380">
        <v>5</v>
      </c>
      <c r="I380" t="s">
        <v>2</v>
      </c>
      <c r="J380" t="s">
        <v>3</v>
      </c>
      <c r="K380" t="s">
        <v>23</v>
      </c>
      <c r="L380">
        <v>18</v>
      </c>
      <c r="M380">
        <v>26.27</v>
      </c>
      <c r="N380">
        <v>6.68</v>
      </c>
      <c r="O380" t="s">
        <v>15</v>
      </c>
      <c r="P380">
        <v>73</v>
      </c>
      <c r="Q380">
        <v>170</v>
      </c>
      <c r="R380">
        <v>105</v>
      </c>
      <c r="S380">
        <v>45</v>
      </c>
      <c r="T380" t="s">
        <v>50</v>
      </c>
      <c r="U380">
        <f>IF(Cardiac_Table[[#This Row],[Patient Status at Discharge]]="Died", 1,0)</f>
        <v>0</v>
      </c>
      <c r="V380">
        <f>Cardiac_Table[[#This Row],[Risk of Death % (Model 1)]]/100</f>
        <v>0.26269999999999999</v>
      </c>
      <c r="W380">
        <f>Cardiac_Table[[#This Row],[Risk of Death % (Model 2)]]/100</f>
        <v>6.6799999999999998E-2</v>
      </c>
      <c r="X380" s="18">
        <f>Cardiac_Table[[#This Row],[Procedure Start Date and Time]]-Cardiac_Table[[#This Row],[Hospital Admit Date ]]</f>
        <v>1.9152777777781012</v>
      </c>
    </row>
    <row r="381" spans="1:24" x14ac:dyDescent="0.35">
      <c r="A381">
        <v>387</v>
      </c>
      <c r="B381" s="9">
        <v>43956.025694444441</v>
      </c>
      <c r="C381" s="10">
        <f>INT(Cardiac_Table[[#This Row],[Hospital Admit Date ]])</f>
        <v>43956</v>
      </c>
      <c r="D381" s="11" t="str">
        <f t="shared" si="5"/>
        <v>00:37</v>
      </c>
      <c r="E381" s="9">
        <v>43956.715277777781</v>
      </c>
      <c r="F381" s="10">
        <f>INT(Cardiac_Table[[#This Row],[Procedure Start Date and Time]])</f>
        <v>43956</v>
      </c>
      <c r="G381" s="12">
        <f>MOD(Cardiac_Table[[#This Row],[Procedure Start Date and Time]],1)</f>
        <v>0.71527777778101154</v>
      </c>
      <c r="H381">
        <v>1</v>
      </c>
      <c r="I381" t="s">
        <v>2</v>
      </c>
      <c r="J381" t="s">
        <v>11</v>
      </c>
      <c r="K381" t="s">
        <v>28</v>
      </c>
      <c r="L381">
        <v>68</v>
      </c>
      <c r="M381">
        <v>25.23</v>
      </c>
      <c r="N381">
        <v>17.79</v>
      </c>
      <c r="O381" t="s">
        <v>15</v>
      </c>
      <c r="P381">
        <v>90</v>
      </c>
      <c r="Q381">
        <v>161</v>
      </c>
      <c r="R381">
        <v>65</v>
      </c>
      <c r="S381">
        <v>62</v>
      </c>
      <c r="T381" t="s">
        <v>48</v>
      </c>
      <c r="U381">
        <f>IF(Cardiac_Table[[#This Row],[Patient Status at Discharge]]="Died", 1,0)</f>
        <v>0</v>
      </c>
      <c r="V381">
        <f>Cardiac_Table[[#This Row],[Risk of Death % (Model 1)]]/100</f>
        <v>0.25230000000000002</v>
      </c>
      <c r="W381">
        <f>Cardiac_Table[[#This Row],[Risk of Death % (Model 2)]]/100</f>
        <v>0.1779</v>
      </c>
      <c r="X381" s="18">
        <f>Cardiac_Table[[#This Row],[Procedure Start Date and Time]]-Cardiac_Table[[#This Row],[Hospital Admit Date ]]</f>
        <v>0.68958333334012423</v>
      </c>
    </row>
    <row r="382" spans="1:24" x14ac:dyDescent="0.35">
      <c r="A382">
        <v>388</v>
      </c>
      <c r="B382" s="9">
        <v>43957.291666666664</v>
      </c>
      <c r="C382" s="10">
        <f>INT(Cardiac_Table[[#This Row],[Hospital Admit Date ]])</f>
        <v>43957</v>
      </c>
      <c r="D382" s="11" t="str">
        <f t="shared" si="5"/>
        <v>07:00</v>
      </c>
      <c r="E382" s="9">
        <v>43957.4375</v>
      </c>
      <c r="F382" s="10">
        <f>INT(Cardiac_Table[[#This Row],[Procedure Start Date and Time]])</f>
        <v>43957</v>
      </c>
      <c r="G382" s="12">
        <f>MOD(Cardiac_Table[[#This Row],[Procedure Start Date and Time]],1)</f>
        <v>0.4375</v>
      </c>
      <c r="H382">
        <v>5</v>
      </c>
      <c r="I382" t="s">
        <v>4</v>
      </c>
      <c r="J382" t="s">
        <v>1</v>
      </c>
      <c r="K382" t="s">
        <v>23</v>
      </c>
      <c r="L382">
        <v>75</v>
      </c>
      <c r="M382">
        <v>12.4</v>
      </c>
      <c r="N382">
        <v>3.76</v>
      </c>
      <c r="O382" t="s">
        <v>15</v>
      </c>
      <c r="P382">
        <v>71</v>
      </c>
      <c r="Q382">
        <v>165</v>
      </c>
      <c r="R382">
        <v>91</v>
      </c>
      <c r="S382">
        <v>55</v>
      </c>
      <c r="T382" t="s">
        <v>48</v>
      </c>
      <c r="U382">
        <f>IF(Cardiac_Table[[#This Row],[Patient Status at Discharge]]="Died", 1,0)</f>
        <v>0</v>
      </c>
      <c r="V382">
        <f>Cardiac_Table[[#This Row],[Risk of Death % (Model 1)]]/100</f>
        <v>0.124</v>
      </c>
      <c r="W382">
        <f>Cardiac_Table[[#This Row],[Risk of Death % (Model 2)]]/100</f>
        <v>3.7599999999999995E-2</v>
      </c>
      <c r="X382" s="18">
        <f>Cardiac_Table[[#This Row],[Procedure Start Date and Time]]-Cardiac_Table[[#This Row],[Hospital Admit Date ]]</f>
        <v>0.14583333333575865</v>
      </c>
    </row>
    <row r="383" spans="1:24" x14ac:dyDescent="0.35">
      <c r="A383">
        <v>389</v>
      </c>
      <c r="B383" s="9">
        <v>43955.65625</v>
      </c>
      <c r="C383" s="10">
        <f>INT(Cardiac_Table[[#This Row],[Hospital Admit Date ]])</f>
        <v>43955</v>
      </c>
      <c r="D383" s="11" t="str">
        <f t="shared" si="5"/>
        <v>15:45</v>
      </c>
      <c r="E383" s="9">
        <v>43957.541666666664</v>
      </c>
      <c r="F383" s="10">
        <f>INT(Cardiac_Table[[#This Row],[Procedure Start Date and Time]])</f>
        <v>43957</v>
      </c>
      <c r="G383" s="12">
        <f>MOD(Cardiac_Table[[#This Row],[Procedure Start Date and Time]],1)</f>
        <v>0.54166666666424135</v>
      </c>
      <c r="H383">
        <v>3</v>
      </c>
      <c r="I383" t="s">
        <v>2</v>
      </c>
      <c r="J383" t="s">
        <v>11</v>
      </c>
      <c r="K383" t="s">
        <v>30</v>
      </c>
      <c r="L383">
        <v>68</v>
      </c>
      <c r="M383">
        <v>92.24</v>
      </c>
      <c r="N383">
        <v>70.790000000000006</v>
      </c>
      <c r="O383" t="s">
        <v>15</v>
      </c>
      <c r="P383">
        <v>62</v>
      </c>
      <c r="Q383">
        <v>157</v>
      </c>
      <c r="R383">
        <v>87</v>
      </c>
      <c r="S383">
        <v>39</v>
      </c>
      <c r="T383" t="s">
        <v>50</v>
      </c>
      <c r="U383">
        <f>IF(Cardiac_Table[[#This Row],[Patient Status at Discharge]]="Died", 1,0)</f>
        <v>0</v>
      </c>
      <c r="V383">
        <f>Cardiac_Table[[#This Row],[Risk of Death % (Model 1)]]/100</f>
        <v>0.9224</v>
      </c>
      <c r="W383">
        <f>Cardiac_Table[[#This Row],[Risk of Death % (Model 2)]]/100</f>
        <v>0.70790000000000008</v>
      </c>
      <c r="X383" s="18">
        <f>Cardiac_Table[[#This Row],[Procedure Start Date and Time]]-Cardiac_Table[[#This Row],[Hospital Admit Date ]]</f>
        <v>1.8854166666642413</v>
      </c>
    </row>
    <row r="384" spans="1:24" x14ac:dyDescent="0.35">
      <c r="A384">
        <v>391</v>
      </c>
      <c r="B384" s="9">
        <v>43958.554166666669</v>
      </c>
      <c r="C384" s="10">
        <f>INT(Cardiac_Table[[#This Row],[Hospital Admit Date ]])</f>
        <v>43958</v>
      </c>
      <c r="D384" s="11" t="str">
        <f t="shared" si="5"/>
        <v>13:18</v>
      </c>
      <c r="E384" s="9">
        <v>43958.590277777781</v>
      </c>
      <c r="F384" s="10">
        <f>INT(Cardiac_Table[[#This Row],[Procedure Start Date and Time]])</f>
        <v>43958</v>
      </c>
      <c r="G384" s="12">
        <f>MOD(Cardiac_Table[[#This Row],[Procedure Start Date and Time]],1)</f>
        <v>0.59027777778101154</v>
      </c>
      <c r="H384">
        <v>3</v>
      </c>
      <c r="I384" t="s">
        <v>2</v>
      </c>
      <c r="J384" t="s">
        <v>1</v>
      </c>
      <c r="K384" t="s">
        <v>30</v>
      </c>
      <c r="L384">
        <v>59</v>
      </c>
      <c r="M384">
        <v>32.159999999999997</v>
      </c>
      <c r="N384">
        <v>9.02</v>
      </c>
      <c r="O384" t="s">
        <v>15</v>
      </c>
      <c r="P384">
        <v>73</v>
      </c>
      <c r="Q384">
        <v>177</v>
      </c>
      <c r="R384">
        <v>73</v>
      </c>
      <c r="S384">
        <v>56</v>
      </c>
      <c r="T384" t="s">
        <v>48</v>
      </c>
      <c r="U384">
        <f>IF(Cardiac_Table[[#This Row],[Patient Status at Discharge]]="Died", 1,0)</f>
        <v>0</v>
      </c>
      <c r="V384">
        <f>Cardiac_Table[[#This Row],[Risk of Death % (Model 1)]]/100</f>
        <v>0.32159999999999994</v>
      </c>
      <c r="W384">
        <f>Cardiac_Table[[#This Row],[Risk of Death % (Model 2)]]/100</f>
        <v>9.0200000000000002E-2</v>
      </c>
      <c r="X384" s="18">
        <f>Cardiac_Table[[#This Row],[Procedure Start Date and Time]]-Cardiac_Table[[#This Row],[Hospital Admit Date ]]</f>
        <v>3.6111111112404615E-2</v>
      </c>
    </row>
    <row r="385" spans="1:24" x14ac:dyDescent="0.35">
      <c r="A385">
        <v>392</v>
      </c>
      <c r="B385" s="9">
        <v>43962.291666666664</v>
      </c>
      <c r="C385" s="10">
        <f>INT(Cardiac_Table[[#This Row],[Hospital Admit Date ]])</f>
        <v>43962</v>
      </c>
      <c r="D385" s="11" t="str">
        <f t="shared" si="5"/>
        <v>07:00</v>
      </c>
      <c r="E385" s="9">
        <v>43962.411111111112</v>
      </c>
      <c r="F385" s="10">
        <f>INT(Cardiac_Table[[#This Row],[Procedure Start Date and Time]])</f>
        <v>43962</v>
      </c>
      <c r="G385" s="12">
        <f>MOD(Cardiac_Table[[#This Row],[Procedure Start Date and Time]],1)</f>
        <v>0.41111111111240461</v>
      </c>
      <c r="H385">
        <v>5</v>
      </c>
      <c r="I385" t="s">
        <v>4</v>
      </c>
      <c r="J385" t="s">
        <v>1</v>
      </c>
      <c r="K385" t="s">
        <v>23</v>
      </c>
      <c r="L385">
        <v>80</v>
      </c>
      <c r="M385">
        <v>41.07</v>
      </c>
      <c r="N385">
        <v>9.76</v>
      </c>
      <c r="O385" t="s">
        <v>15</v>
      </c>
      <c r="P385">
        <v>95</v>
      </c>
      <c r="Q385">
        <v>156</v>
      </c>
      <c r="R385">
        <v>105</v>
      </c>
      <c r="S385">
        <v>64</v>
      </c>
      <c r="T385" t="s">
        <v>48</v>
      </c>
      <c r="U385">
        <f>IF(Cardiac_Table[[#This Row],[Patient Status at Discharge]]="Died", 1,0)</f>
        <v>0</v>
      </c>
      <c r="V385">
        <f>Cardiac_Table[[#This Row],[Risk of Death % (Model 1)]]/100</f>
        <v>0.41070000000000001</v>
      </c>
      <c r="W385">
        <f>Cardiac_Table[[#This Row],[Risk of Death % (Model 2)]]/100</f>
        <v>9.7599999999999992E-2</v>
      </c>
      <c r="X385" s="18">
        <f>Cardiac_Table[[#This Row],[Procedure Start Date and Time]]-Cardiac_Table[[#This Row],[Hospital Admit Date ]]</f>
        <v>0.11944444444816327</v>
      </c>
    </row>
    <row r="386" spans="1:24" x14ac:dyDescent="0.35">
      <c r="A386">
        <v>393</v>
      </c>
      <c r="B386" s="9">
        <v>43962.291666666664</v>
      </c>
      <c r="C386" s="10">
        <f>INT(Cardiac_Table[[#This Row],[Hospital Admit Date ]])</f>
        <v>43962</v>
      </c>
      <c r="D386" s="11" t="str">
        <f t="shared" ref="D386:D449" si="6">TEXT(B386,"HH:MM")</f>
        <v>07:00</v>
      </c>
      <c r="E386" s="9">
        <v>43962.418749999997</v>
      </c>
      <c r="F386" s="10">
        <f>INT(Cardiac_Table[[#This Row],[Procedure Start Date and Time]])</f>
        <v>43962</v>
      </c>
      <c r="G386" s="12">
        <f>MOD(Cardiac_Table[[#This Row],[Procedure Start Date and Time]],1)</f>
        <v>0.41874999999708962</v>
      </c>
      <c r="H386">
        <v>4</v>
      </c>
      <c r="I386" t="s">
        <v>4</v>
      </c>
      <c r="J386" t="s">
        <v>1</v>
      </c>
      <c r="K386" t="s">
        <v>22</v>
      </c>
      <c r="L386">
        <v>66</v>
      </c>
      <c r="M386">
        <v>7.21</v>
      </c>
      <c r="N386">
        <v>1.95</v>
      </c>
      <c r="O386" t="s">
        <v>15</v>
      </c>
      <c r="P386">
        <v>70</v>
      </c>
      <c r="Q386">
        <v>170</v>
      </c>
      <c r="R386">
        <v>85</v>
      </c>
      <c r="S386">
        <v>35</v>
      </c>
      <c r="T386" t="s">
        <v>50</v>
      </c>
      <c r="U386">
        <f>IF(Cardiac_Table[[#This Row],[Patient Status at Discharge]]="Died", 1,0)</f>
        <v>0</v>
      </c>
      <c r="V386">
        <f>Cardiac_Table[[#This Row],[Risk of Death % (Model 1)]]/100</f>
        <v>7.2099999999999997E-2</v>
      </c>
      <c r="W386">
        <f>Cardiac_Table[[#This Row],[Risk of Death % (Model 2)]]/100</f>
        <v>1.95E-2</v>
      </c>
      <c r="X386" s="18">
        <f>Cardiac_Table[[#This Row],[Procedure Start Date and Time]]-Cardiac_Table[[#This Row],[Hospital Admit Date ]]</f>
        <v>0.12708333333284827</v>
      </c>
    </row>
    <row r="387" spans="1:24" x14ac:dyDescent="0.35">
      <c r="A387">
        <v>394</v>
      </c>
      <c r="B387" s="9">
        <v>43960.627083333333</v>
      </c>
      <c r="C387" s="10">
        <f>INT(Cardiac_Table[[#This Row],[Hospital Admit Date ]])</f>
        <v>43960</v>
      </c>
      <c r="D387" s="11" t="str">
        <f t="shared" si="6"/>
        <v>15:03</v>
      </c>
      <c r="E387" s="9">
        <v>43962.672222222223</v>
      </c>
      <c r="F387" s="10">
        <f>INT(Cardiac_Table[[#This Row],[Procedure Start Date and Time]])</f>
        <v>43962</v>
      </c>
      <c r="G387" s="12">
        <f>MOD(Cardiac_Table[[#This Row],[Procedure Start Date and Time]],1)</f>
        <v>0.67222222222335404</v>
      </c>
      <c r="H387">
        <v>3</v>
      </c>
      <c r="I387" t="s">
        <v>2</v>
      </c>
      <c r="J387" t="s">
        <v>11</v>
      </c>
      <c r="K387" t="s">
        <v>23</v>
      </c>
      <c r="L387">
        <v>17</v>
      </c>
      <c r="M387">
        <v>7.16</v>
      </c>
      <c r="N387">
        <v>7.36</v>
      </c>
      <c r="O387" t="s">
        <v>15</v>
      </c>
      <c r="P387">
        <v>95</v>
      </c>
      <c r="Q387">
        <v>165</v>
      </c>
      <c r="R387">
        <v>65</v>
      </c>
      <c r="S387">
        <v>55</v>
      </c>
      <c r="T387" t="s">
        <v>48</v>
      </c>
      <c r="U387">
        <f>IF(Cardiac_Table[[#This Row],[Patient Status at Discharge]]="Died", 1,0)</f>
        <v>0</v>
      </c>
      <c r="V387">
        <f>Cardiac_Table[[#This Row],[Risk of Death % (Model 1)]]/100</f>
        <v>7.1599999999999997E-2</v>
      </c>
      <c r="W387">
        <f>Cardiac_Table[[#This Row],[Risk of Death % (Model 2)]]/100</f>
        <v>7.3599999999999999E-2</v>
      </c>
      <c r="X387" s="18">
        <f>Cardiac_Table[[#This Row],[Procedure Start Date and Time]]-Cardiac_Table[[#This Row],[Hospital Admit Date ]]</f>
        <v>2.0451388888905058</v>
      </c>
    </row>
    <row r="388" spans="1:24" x14ac:dyDescent="0.35">
      <c r="A388">
        <v>395</v>
      </c>
      <c r="B388" s="9">
        <v>43963.291666666664</v>
      </c>
      <c r="C388" s="10">
        <f>INT(Cardiac_Table[[#This Row],[Hospital Admit Date ]])</f>
        <v>43963</v>
      </c>
      <c r="D388" s="11" t="str">
        <f t="shared" si="6"/>
        <v>07:00</v>
      </c>
      <c r="E388" s="9">
        <v>43963.320138888892</v>
      </c>
      <c r="F388" s="10">
        <f>INT(Cardiac_Table[[#This Row],[Procedure Start Date and Time]])</f>
        <v>43963</v>
      </c>
      <c r="G388" s="12">
        <f>MOD(Cardiac_Table[[#This Row],[Procedure Start Date and Time]],1)</f>
        <v>0.32013888889196096</v>
      </c>
      <c r="H388">
        <v>5</v>
      </c>
      <c r="I388" t="s">
        <v>4</v>
      </c>
      <c r="J388" t="s">
        <v>3</v>
      </c>
      <c r="K388" t="s">
        <v>33</v>
      </c>
      <c r="L388">
        <v>80</v>
      </c>
      <c r="M388">
        <v>15.36</v>
      </c>
      <c r="N388">
        <v>8.24</v>
      </c>
      <c r="O388" t="s">
        <v>15</v>
      </c>
      <c r="P388">
        <v>76</v>
      </c>
      <c r="Q388">
        <v>180</v>
      </c>
      <c r="R388">
        <v>111</v>
      </c>
      <c r="S388">
        <v>65</v>
      </c>
      <c r="T388" t="s">
        <v>48</v>
      </c>
      <c r="U388">
        <f>IF(Cardiac_Table[[#This Row],[Patient Status at Discharge]]="Died", 1,0)</f>
        <v>0</v>
      </c>
      <c r="V388">
        <f>Cardiac_Table[[#This Row],[Risk of Death % (Model 1)]]/100</f>
        <v>0.15359999999999999</v>
      </c>
      <c r="W388">
        <f>Cardiac_Table[[#This Row],[Risk of Death % (Model 2)]]/100</f>
        <v>8.2400000000000001E-2</v>
      </c>
      <c r="X388" s="18">
        <f>Cardiac_Table[[#This Row],[Procedure Start Date and Time]]-Cardiac_Table[[#This Row],[Hospital Admit Date ]]</f>
        <v>2.8472222227719612E-2</v>
      </c>
    </row>
    <row r="389" spans="1:24" x14ac:dyDescent="0.35">
      <c r="A389">
        <v>396</v>
      </c>
      <c r="B389" s="9">
        <v>43963.291666666664</v>
      </c>
      <c r="C389" s="10">
        <f>INT(Cardiac_Table[[#This Row],[Hospital Admit Date ]])</f>
        <v>43963</v>
      </c>
      <c r="D389" s="11" t="str">
        <f t="shared" si="6"/>
        <v>07:00</v>
      </c>
      <c r="E389" s="9">
        <v>43963.422222222223</v>
      </c>
      <c r="F389" s="10">
        <f>INT(Cardiac_Table[[#This Row],[Procedure Start Date and Time]])</f>
        <v>43963</v>
      </c>
      <c r="G389" s="12">
        <f>MOD(Cardiac_Table[[#This Row],[Procedure Start Date and Time]],1)</f>
        <v>0.42222222222335404</v>
      </c>
      <c r="H389">
        <v>4</v>
      </c>
      <c r="I389" t="s">
        <v>4</v>
      </c>
      <c r="J389" t="s">
        <v>3</v>
      </c>
      <c r="K389" t="s">
        <v>35</v>
      </c>
      <c r="L389">
        <v>40</v>
      </c>
      <c r="M389">
        <v>2.08</v>
      </c>
      <c r="N389">
        <v>0.62</v>
      </c>
      <c r="O389" t="s">
        <v>15</v>
      </c>
      <c r="P389">
        <v>81</v>
      </c>
      <c r="Q389">
        <v>183</v>
      </c>
      <c r="R389">
        <v>68</v>
      </c>
      <c r="S389">
        <v>55</v>
      </c>
      <c r="T389" t="s">
        <v>48</v>
      </c>
      <c r="U389">
        <f>IF(Cardiac_Table[[#This Row],[Patient Status at Discharge]]="Died", 1,0)</f>
        <v>0</v>
      </c>
      <c r="V389">
        <f>Cardiac_Table[[#This Row],[Risk of Death % (Model 1)]]/100</f>
        <v>2.0799999999999999E-2</v>
      </c>
      <c r="W389">
        <f>Cardiac_Table[[#This Row],[Risk of Death % (Model 2)]]/100</f>
        <v>6.1999999999999998E-3</v>
      </c>
      <c r="X389" s="18">
        <f>Cardiac_Table[[#This Row],[Procedure Start Date and Time]]-Cardiac_Table[[#This Row],[Hospital Admit Date ]]</f>
        <v>0.13055555555911269</v>
      </c>
    </row>
    <row r="390" spans="1:24" x14ac:dyDescent="0.35">
      <c r="A390">
        <v>397</v>
      </c>
      <c r="B390" s="9">
        <v>43960.435416666667</v>
      </c>
      <c r="C390" s="10">
        <f>INT(Cardiac_Table[[#This Row],[Hospital Admit Date ]])</f>
        <v>43960</v>
      </c>
      <c r="D390" s="11" t="str">
        <f t="shared" si="6"/>
        <v>10:27</v>
      </c>
      <c r="E390" s="9">
        <v>43964.380555555559</v>
      </c>
      <c r="F390" s="10">
        <f>INT(Cardiac_Table[[#This Row],[Procedure Start Date and Time]])</f>
        <v>43964</v>
      </c>
      <c r="G390" s="12">
        <f>MOD(Cardiac_Table[[#This Row],[Procedure Start Date and Time]],1)</f>
        <v>0.38055555555911269</v>
      </c>
      <c r="H390">
        <v>4</v>
      </c>
      <c r="I390" t="s">
        <v>6</v>
      </c>
      <c r="J390" t="s">
        <v>10</v>
      </c>
      <c r="K390" t="s">
        <v>24</v>
      </c>
      <c r="L390">
        <v>54</v>
      </c>
      <c r="M390">
        <v>2.09</v>
      </c>
      <c r="N390">
        <v>2.15</v>
      </c>
      <c r="O390" t="s">
        <v>15</v>
      </c>
      <c r="P390">
        <v>68</v>
      </c>
      <c r="Q390">
        <v>178</v>
      </c>
      <c r="R390">
        <v>78</v>
      </c>
      <c r="S390">
        <v>55</v>
      </c>
      <c r="T390" t="s">
        <v>48</v>
      </c>
      <c r="U390">
        <f>IF(Cardiac_Table[[#This Row],[Patient Status at Discharge]]="Died", 1,0)</f>
        <v>0</v>
      </c>
      <c r="V390">
        <f>Cardiac_Table[[#This Row],[Risk of Death % (Model 1)]]/100</f>
        <v>2.0899999999999998E-2</v>
      </c>
      <c r="W390">
        <f>Cardiac_Table[[#This Row],[Risk of Death % (Model 2)]]/100</f>
        <v>2.1499999999999998E-2</v>
      </c>
      <c r="X390" s="18">
        <f>Cardiac_Table[[#This Row],[Procedure Start Date and Time]]-Cardiac_Table[[#This Row],[Hospital Admit Date ]]</f>
        <v>3.945138888891961</v>
      </c>
    </row>
    <row r="391" spans="1:24" x14ac:dyDescent="0.35">
      <c r="A391">
        <v>398</v>
      </c>
      <c r="B391" s="9">
        <v>43964.291666666664</v>
      </c>
      <c r="C391" s="10">
        <f>INT(Cardiac_Table[[#This Row],[Hospital Admit Date ]])</f>
        <v>43964</v>
      </c>
      <c r="D391" s="11" t="str">
        <f t="shared" si="6"/>
        <v>07:00</v>
      </c>
      <c r="E391" s="9">
        <v>43964.420138888891</v>
      </c>
      <c r="F391" s="10">
        <f>INT(Cardiac_Table[[#This Row],[Procedure Start Date and Time]])</f>
        <v>43964</v>
      </c>
      <c r="G391" s="12">
        <f>MOD(Cardiac_Table[[#This Row],[Procedure Start Date and Time]],1)</f>
        <v>0.42013888889050577</v>
      </c>
      <c r="H391">
        <v>5</v>
      </c>
      <c r="I391" t="s">
        <v>4</v>
      </c>
      <c r="J391" t="s">
        <v>3</v>
      </c>
      <c r="K391" t="s">
        <v>32</v>
      </c>
      <c r="L391">
        <v>70</v>
      </c>
      <c r="M391">
        <v>4.24</v>
      </c>
      <c r="N391">
        <v>1.44</v>
      </c>
      <c r="O391" t="s">
        <v>15</v>
      </c>
      <c r="P391">
        <v>97</v>
      </c>
      <c r="Q391">
        <v>175</v>
      </c>
      <c r="R391">
        <v>87</v>
      </c>
      <c r="S391">
        <v>71</v>
      </c>
      <c r="T391" t="s">
        <v>48</v>
      </c>
      <c r="U391">
        <f>IF(Cardiac_Table[[#This Row],[Patient Status at Discharge]]="Died", 1,0)</f>
        <v>0</v>
      </c>
      <c r="V391">
        <f>Cardiac_Table[[#This Row],[Risk of Death % (Model 1)]]/100</f>
        <v>4.24E-2</v>
      </c>
      <c r="W391">
        <f>Cardiac_Table[[#This Row],[Risk of Death % (Model 2)]]/100</f>
        <v>1.44E-2</v>
      </c>
      <c r="X391" s="18">
        <f>Cardiac_Table[[#This Row],[Procedure Start Date and Time]]-Cardiac_Table[[#This Row],[Hospital Admit Date ]]</f>
        <v>0.12847222222626442</v>
      </c>
    </row>
    <row r="392" spans="1:24" x14ac:dyDescent="0.35">
      <c r="A392">
        <v>399</v>
      </c>
      <c r="B392" s="9">
        <v>43963.458333333336</v>
      </c>
      <c r="C392" s="10">
        <f>INT(Cardiac_Table[[#This Row],[Hospital Admit Date ]])</f>
        <v>43963</v>
      </c>
      <c r="D392" s="11" t="str">
        <f t="shared" si="6"/>
        <v>11:00</v>
      </c>
      <c r="E392" s="9">
        <v>43965.416666666664</v>
      </c>
      <c r="F392" s="10">
        <f>INT(Cardiac_Table[[#This Row],[Procedure Start Date and Time]])</f>
        <v>43965</v>
      </c>
      <c r="G392" s="12">
        <f>MOD(Cardiac_Table[[#This Row],[Procedure Start Date and Time]],1)</f>
        <v>0.41666666666424135</v>
      </c>
      <c r="H392">
        <v>5</v>
      </c>
      <c r="I392" t="s">
        <v>6</v>
      </c>
      <c r="J392" t="s">
        <v>10</v>
      </c>
      <c r="K392" t="s">
        <v>29</v>
      </c>
      <c r="L392">
        <v>73</v>
      </c>
      <c r="M392">
        <v>3.75</v>
      </c>
      <c r="N392">
        <v>1.94</v>
      </c>
      <c r="O392" t="s">
        <v>15</v>
      </c>
      <c r="P392">
        <v>73</v>
      </c>
      <c r="Q392">
        <v>163</v>
      </c>
      <c r="R392">
        <v>67</v>
      </c>
      <c r="S392">
        <v>70</v>
      </c>
      <c r="T392" t="s">
        <v>48</v>
      </c>
      <c r="U392">
        <f>IF(Cardiac_Table[[#This Row],[Patient Status at Discharge]]="Died", 1,0)</f>
        <v>0</v>
      </c>
      <c r="V392">
        <f>Cardiac_Table[[#This Row],[Risk of Death % (Model 1)]]/100</f>
        <v>3.7499999999999999E-2</v>
      </c>
      <c r="W392">
        <f>Cardiac_Table[[#This Row],[Risk of Death % (Model 2)]]/100</f>
        <v>1.9400000000000001E-2</v>
      </c>
      <c r="X392" s="18">
        <f>Cardiac_Table[[#This Row],[Procedure Start Date and Time]]-Cardiac_Table[[#This Row],[Hospital Admit Date ]]</f>
        <v>1.9583333333284827</v>
      </c>
    </row>
    <row r="393" spans="1:24" x14ac:dyDescent="0.35">
      <c r="A393">
        <v>400</v>
      </c>
      <c r="B393" s="9">
        <v>43965.284722222219</v>
      </c>
      <c r="C393" s="10">
        <f>INT(Cardiac_Table[[#This Row],[Hospital Admit Date ]])</f>
        <v>43965</v>
      </c>
      <c r="D393" s="11" t="str">
        <f t="shared" si="6"/>
        <v>06:50</v>
      </c>
      <c r="E393" s="9">
        <v>43965.424305555556</v>
      </c>
      <c r="F393" s="10">
        <f>INT(Cardiac_Table[[#This Row],[Procedure Start Date and Time]])</f>
        <v>43965</v>
      </c>
      <c r="G393" s="12">
        <f>MOD(Cardiac_Table[[#This Row],[Procedure Start Date and Time]],1)</f>
        <v>0.42430555555620231</v>
      </c>
      <c r="H393">
        <v>4</v>
      </c>
      <c r="I393" t="s">
        <v>4</v>
      </c>
      <c r="J393" t="s">
        <v>10</v>
      </c>
      <c r="K393" t="s">
        <v>31</v>
      </c>
      <c r="L393">
        <v>73</v>
      </c>
      <c r="M393">
        <v>2.21</v>
      </c>
      <c r="N393">
        <v>0.97</v>
      </c>
      <c r="O393" t="s">
        <v>15</v>
      </c>
      <c r="P393">
        <v>66</v>
      </c>
      <c r="Q393">
        <v>167</v>
      </c>
      <c r="R393">
        <v>50</v>
      </c>
      <c r="S393">
        <v>65</v>
      </c>
      <c r="T393" t="s">
        <v>48</v>
      </c>
      <c r="U393">
        <f>IF(Cardiac_Table[[#This Row],[Patient Status at Discharge]]="Died", 1,0)</f>
        <v>0</v>
      </c>
      <c r="V393">
        <f>Cardiac_Table[[#This Row],[Risk of Death % (Model 1)]]/100</f>
        <v>2.2099999999999998E-2</v>
      </c>
      <c r="W393">
        <f>Cardiac_Table[[#This Row],[Risk of Death % (Model 2)]]/100</f>
        <v>9.7000000000000003E-3</v>
      </c>
      <c r="X393" s="18">
        <f>Cardiac_Table[[#This Row],[Procedure Start Date and Time]]-Cardiac_Table[[#This Row],[Hospital Admit Date ]]</f>
        <v>0.13958333333721384</v>
      </c>
    </row>
    <row r="394" spans="1:24" x14ac:dyDescent="0.35">
      <c r="A394">
        <v>401</v>
      </c>
      <c r="B394" s="9">
        <v>43966.291666666664</v>
      </c>
      <c r="C394" s="10">
        <f>INT(Cardiac_Table[[#This Row],[Hospital Admit Date ]])</f>
        <v>43966</v>
      </c>
      <c r="D394" s="11" t="str">
        <f t="shared" si="6"/>
        <v>07:00</v>
      </c>
      <c r="E394" s="9">
        <v>43966.426388888889</v>
      </c>
      <c r="F394" s="10">
        <f>INT(Cardiac_Table[[#This Row],[Procedure Start Date and Time]])</f>
        <v>43966</v>
      </c>
      <c r="G394" s="12">
        <f>MOD(Cardiac_Table[[#This Row],[Procedure Start Date and Time]],1)</f>
        <v>0.42638888888905058</v>
      </c>
      <c r="H394">
        <v>5</v>
      </c>
      <c r="I394" t="s">
        <v>6</v>
      </c>
      <c r="J394" t="s">
        <v>3</v>
      </c>
      <c r="K394" t="s">
        <v>22</v>
      </c>
      <c r="L394">
        <v>45</v>
      </c>
      <c r="M394">
        <v>2.08</v>
      </c>
      <c r="N394">
        <v>0.86</v>
      </c>
      <c r="O394" t="s">
        <v>15</v>
      </c>
      <c r="P394">
        <v>67</v>
      </c>
      <c r="Q394">
        <v>178</v>
      </c>
      <c r="R394">
        <v>85</v>
      </c>
      <c r="S394">
        <v>55</v>
      </c>
      <c r="T394" t="s">
        <v>48</v>
      </c>
      <c r="U394">
        <f>IF(Cardiac_Table[[#This Row],[Patient Status at Discharge]]="Died", 1,0)</f>
        <v>0</v>
      </c>
      <c r="V394">
        <f>Cardiac_Table[[#This Row],[Risk of Death % (Model 1)]]/100</f>
        <v>2.0799999999999999E-2</v>
      </c>
      <c r="W394">
        <f>Cardiac_Table[[#This Row],[Risk of Death % (Model 2)]]/100</f>
        <v>8.6E-3</v>
      </c>
      <c r="X394" s="18">
        <f>Cardiac_Table[[#This Row],[Procedure Start Date and Time]]-Cardiac_Table[[#This Row],[Hospital Admit Date ]]</f>
        <v>0.13472222222480923</v>
      </c>
    </row>
    <row r="395" spans="1:24" x14ac:dyDescent="0.35">
      <c r="A395">
        <v>402</v>
      </c>
      <c r="B395" s="9">
        <v>43966.848611111112</v>
      </c>
      <c r="C395" s="10">
        <f>INT(Cardiac_Table[[#This Row],[Hospital Admit Date ]])</f>
        <v>43966</v>
      </c>
      <c r="D395" s="11" t="str">
        <f t="shared" si="6"/>
        <v>20:22</v>
      </c>
      <c r="E395" s="9">
        <v>43966.861111111109</v>
      </c>
      <c r="F395" s="10">
        <f>INT(Cardiac_Table[[#This Row],[Procedure Start Date and Time]])</f>
        <v>43966</v>
      </c>
      <c r="G395" s="12">
        <f>MOD(Cardiac_Table[[#This Row],[Procedure Start Date and Time]],1)</f>
        <v>0.86111111110949423</v>
      </c>
      <c r="H395">
        <v>2</v>
      </c>
      <c r="I395" t="s">
        <v>2</v>
      </c>
      <c r="J395" t="s">
        <v>5</v>
      </c>
      <c r="K395" t="s">
        <v>30</v>
      </c>
      <c r="L395">
        <v>63</v>
      </c>
      <c r="M395">
        <v>3.91</v>
      </c>
      <c r="N395">
        <v>2.84</v>
      </c>
      <c r="O395" t="s">
        <v>15</v>
      </c>
      <c r="P395">
        <v>74</v>
      </c>
      <c r="Q395">
        <v>176</v>
      </c>
      <c r="R395">
        <v>70</v>
      </c>
      <c r="S395">
        <v>52</v>
      </c>
      <c r="T395" t="s">
        <v>48</v>
      </c>
      <c r="U395">
        <f>IF(Cardiac_Table[[#This Row],[Patient Status at Discharge]]="Died", 1,0)</f>
        <v>0</v>
      </c>
      <c r="V395">
        <f>Cardiac_Table[[#This Row],[Risk of Death % (Model 1)]]/100</f>
        <v>3.9100000000000003E-2</v>
      </c>
      <c r="W395">
        <f>Cardiac_Table[[#This Row],[Risk of Death % (Model 2)]]/100</f>
        <v>2.8399999999999998E-2</v>
      </c>
      <c r="X395" s="18">
        <f>Cardiac_Table[[#This Row],[Procedure Start Date and Time]]-Cardiac_Table[[#This Row],[Hospital Admit Date ]]</f>
        <v>1.2499999997089617E-2</v>
      </c>
    </row>
    <row r="396" spans="1:24" x14ac:dyDescent="0.35">
      <c r="A396">
        <v>403</v>
      </c>
      <c r="B396" s="9">
        <v>43965.458333333336</v>
      </c>
      <c r="C396" s="10">
        <f>INT(Cardiac_Table[[#This Row],[Hospital Admit Date ]])</f>
        <v>43965</v>
      </c>
      <c r="D396" s="11" t="str">
        <f t="shared" si="6"/>
        <v>11:00</v>
      </c>
      <c r="E396" s="9">
        <v>43969.350694444445</v>
      </c>
      <c r="F396" s="10">
        <f>INT(Cardiac_Table[[#This Row],[Procedure Start Date and Time]])</f>
        <v>43969</v>
      </c>
      <c r="G396" s="12">
        <f>MOD(Cardiac_Table[[#This Row],[Procedure Start Date and Time]],1)</f>
        <v>0.35069444444525288</v>
      </c>
      <c r="H396">
        <v>5</v>
      </c>
      <c r="I396" t="s">
        <v>6</v>
      </c>
      <c r="J396" t="s">
        <v>3</v>
      </c>
      <c r="K396" t="s">
        <v>23</v>
      </c>
      <c r="L396">
        <v>19</v>
      </c>
      <c r="M396">
        <v>4.37</v>
      </c>
      <c r="N396">
        <v>5.0599999999999996</v>
      </c>
      <c r="O396" t="s">
        <v>15</v>
      </c>
      <c r="P396">
        <v>96</v>
      </c>
      <c r="Q396">
        <v>164</v>
      </c>
      <c r="R396">
        <v>60</v>
      </c>
      <c r="S396">
        <v>55</v>
      </c>
      <c r="T396" t="s">
        <v>48</v>
      </c>
      <c r="U396">
        <f>IF(Cardiac_Table[[#This Row],[Patient Status at Discharge]]="Died", 1,0)</f>
        <v>0</v>
      </c>
      <c r="V396">
        <f>Cardiac_Table[[#This Row],[Risk of Death % (Model 1)]]/100</f>
        <v>4.3700000000000003E-2</v>
      </c>
      <c r="W396">
        <f>Cardiac_Table[[#This Row],[Risk of Death % (Model 2)]]/100</f>
        <v>5.0599999999999999E-2</v>
      </c>
      <c r="X396" s="18">
        <f>Cardiac_Table[[#This Row],[Procedure Start Date and Time]]-Cardiac_Table[[#This Row],[Hospital Admit Date ]]</f>
        <v>3.8923611111094942</v>
      </c>
    </row>
    <row r="397" spans="1:24" x14ac:dyDescent="0.35">
      <c r="A397">
        <v>404</v>
      </c>
      <c r="B397" s="9">
        <v>43969.284722222219</v>
      </c>
      <c r="C397" s="10">
        <f>INT(Cardiac_Table[[#This Row],[Hospital Admit Date ]])</f>
        <v>43969</v>
      </c>
      <c r="D397" s="11" t="str">
        <f t="shared" si="6"/>
        <v>06:50</v>
      </c>
      <c r="E397" s="9">
        <v>43969.418055555558</v>
      </c>
      <c r="F397" s="10">
        <f>INT(Cardiac_Table[[#This Row],[Procedure Start Date and Time]])</f>
        <v>43969</v>
      </c>
      <c r="G397" s="12">
        <f>MOD(Cardiac_Table[[#This Row],[Procedure Start Date and Time]],1)</f>
        <v>0.4180555555576575</v>
      </c>
      <c r="H397">
        <v>4</v>
      </c>
      <c r="I397" t="s">
        <v>4</v>
      </c>
      <c r="J397" t="s">
        <v>10</v>
      </c>
      <c r="K397" t="s">
        <v>24</v>
      </c>
      <c r="L397">
        <v>73</v>
      </c>
      <c r="M397">
        <v>2.21</v>
      </c>
      <c r="N397">
        <v>0.81</v>
      </c>
      <c r="O397" t="s">
        <v>15</v>
      </c>
      <c r="P397">
        <v>92</v>
      </c>
      <c r="Q397">
        <v>171</v>
      </c>
      <c r="R397">
        <v>84</v>
      </c>
      <c r="S397">
        <v>55</v>
      </c>
      <c r="T397" t="s">
        <v>48</v>
      </c>
      <c r="U397">
        <f>IF(Cardiac_Table[[#This Row],[Patient Status at Discharge]]="Died", 1,0)</f>
        <v>0</v>
      </c>
      <c r="V397">
        <f>Cardiac_Table[[#This Row],[Risk of Death % (Model 1)]]/100</f>
        <v>2.2099999999999998E-2</v>
      </c>
      <c r="W397">
        <f>Cardiac_Table[[#This Row],[Risk of Death % (Model 2)]]/100</f>
        <v>8.1000000000000013E-3</v>
      </c>
      <c r="X397" s="18">
        <f>Cardiac_Table[[#This Row],[Procedure Start Date and Time]]-Cardiac_Table[[#This Row],[Hospital Admit Date ]]</f>
        <v>0.13333333333866904</v>
      </c>
    </row>
    <row r="398" spans="1:24" x14ac:dyDescent="0.35">
      <c r="A398">
        <v>405</v>
      </c>
      <c r="B398" s="9">
        <v>43970.291666666664</v>
      </c>
      <c r="C398" s="10">
        <f>INT(Cardiac_Table[[#This Row],[Hospital Admit Date ]])</f>
        <v>43970</v>
      </c>
      <c r="D398" s="11" t="str">
        <f t="shared" si="6"/>
        <v>07:00</v>
      </c>
      <c r="E398" s="9">
        <v>43970.416666666664</v>
      </c>
      <c r="F398" s="10">
        <f>INT(Cardiac_Table[[#This Row],[Procedure Start Date and Time]])</f>
        <v>43970</v>
      </c>
      <c r="G398" s="12">
        <f>MOD(Cardiac_Table[[#This Row],[Procedure Start Date and Time]],1)</f>
        <v>0.41666666666424135</v>
      </c>
      <c r="H398">
        <v>5</v>
      </c>
      <c r="I398" t="s">
        <v>4</v>
      </c>
      <c r="J398" t="s">
        <v>10</v>
      </c>
      <c r="K398" t="s">
        <v>26</v>
      </c>
      <c r="L398">
        <v>78</v>
      </c>
      <c r="M398">
        <v>13.14</v>
      </c>
      <c r="N398">
        <v>4.95</v>
      </c>
      <c r="O398" t="s">
        <v>15</v>
      </c>
      <c r="P398">
        <v>134</v>
      </c>
      <c r="Q398">
        <v>191</v>
      </c>
      <c r="R398">
        <v>99</v>
      </c>
      <c r="S398">
        <v>39</v>
      </c>
      <c r="T398" t="s">
        <v>49</v>
      </c>
      <c r="U398">
        <f>IF(Cardiac_Table[[#This Row],[Patient Status at Discharge]]="Died", 1,0)</f>
        <v>0</v>
      </c>
      <c r="V398">
        <f>Cardiac_Table[[#This Row],[Risk of Death % (Model 1)]]/100</f>
        <v>0.13140000000000002</v>
      </c>
      <c r="W398">
        <f>Cardiac_Table[[#This Row],[Risk of Death % (Model 2)]]/100</f>
        <v>4.9500000000000002E-2</v>
      </c>
      <c r="X398" s="18">
        <f>Cardiac_Table[[#This Row],[Procedure Start Date and Time]]-Cardiac_Table[[#This Row],[Hospital Admit Date ]]</f>
        <v>0.125</v>
      </c>
    </row>
    <row r="399" spans="1:24" x14ac:dyDescent="0.35">
      <c r="A399">
        <v>406</v>
      </c>
      <c r="B399" s="9">
        <v>43970.306944444441</v>
      </c>
      <c r="C399" s="10">
        <f>INT(Cardiac_Table[[#This Row],[Hospital Admit Date ]])</f>
        <v>43970</v>
      </c>
      <c r="D399" s="11" t="str">
        <f t="shared" si="6"/>
        <v>07:22</v>
      </c>
      <c r="E399" s="9">
        <v>43970.420138888891</v>
      </c>
      <c r="F399" s="10">
        <f>INT(Cardiac_Table[[#This Row],[Procedure Start Date and Time]])</f>
        <v>43970</v>
      </c>
      <c r="G399" s="12">
        <f>MOD(Cardiac_Table[[#This Row],[Procedure Start Date and Time]],1)</f>
        <v>0.42013888889050577</v>
      </c>
      <c r="H399">
        <v>4</v>
      </c>
      <c r="I399" t="s">
        <v>4</v>
      </c>
      <c r="J399" t="s">
        <v>11</v>
      </c>
      <c r="K399" t="s">
        <v>29</v>
      </c>
      <c r="L399">
        <v>80</v>
      </c>
      <c r="M399">
        <v>5.83</v>
      </c>
      <c r="N399">
        <v>4.96</v>
      </c>
      <c r="O399" t="s">
        <v>15</v>
      </c>
      <c r="P399">
        <v>83</v>
      </c>
      <c r="Q399">
        <v>180</v>
      </c>
      <c r="R399">
        <v>65</v>
      </c>
      <c r="S399">
        <v>60</v>
      </c>
      <c r="T399" t="s">
        <v>48</v>
      </c>
      <c r="U399">
        <f>IF(Cardiac_Table[[#This Row],[Patient Status at Discharge]]="Died", 1,0)</f>
        <v>0</v>
      </c>
      <c r="V399">
        <f>Cardiac_Table[[#This Row],[Risk of Death % (Model 1)]]/100</f>
        <v>5.8299999999999998E-2</v>
      </c>
      <c r="W399">
        <f>Cardiac_Table[[#This Row],[Risk of Death % (Model 2)]]/100</f>
        <v>4.9599999999999998E-2</v>
      </c>
      <c r="X399" s="18">
        <f>Cardiac_Table[[#This Row],[Procedure Start Date and Time]]-Cardiac_Table[[#This Row],[Hospital Admit Date ]]</f>
        <v>0.11319444444961846</v>
      </c>
    </row>
    <row r="400" spans="1:24" x14ac:dyDescent="0.35">
      <c r="A400">
        <v>407</v>
      </c>
      <c r="B400" s="9">
        <v>43971.305555555555</v>
      </c>
      <c r="C400" s="10">
        <f>INT(Cardiac_Table[[#This Row],[Hospital Admit Date ]])</f>
        <v>43971</v>
      </c>
      <c r="D400" s="11" t="str">
        <f t="shared" si="6"/>
        <v>07:20</v>
      </c>
      <c r="E400" s="9">
        <v>43971.445138888892</v>
      </c>
      <c r="F400" s="10">
        <f>INT(Cardiac_Table[[#This Row],[Procedure Start Date and Time]])</f>
        <v>43971</v>
      </c>
      <c r="G400" s="12">
        <f>MOD(Cardiac_Table[[#This Row],[Procedure Start Date and Time]],1)</f>
        <v>0.44513888889196096</v>
      </c>
      <c r="H400">
        <v>4</v>
      </c>
      <c r="I400" t="s">
        <v>4</v>
      </c>
      <c r="J400" t="s">
        <v>3</v>
      </c>
      <c r="K400" t="s">
        <v>35</v>
      </c>
      <c r="L400">
        <v>72</v>
      </c>
      <c r="M400">
        <v>4.8099999999999996</v>
      </c>
      <c r="N400">
        <v>0.88</v>
      </c>
      <c r="O400" t="s">
        <v>15</v>
      </c>
      <c r="P400">
        <v>66</v>
      </c>
      <c r="Q400">
        <v>161</v>
      </c>
      <c r="R400">
        <v>80</v>
      </c>
      <c r="S400">
        <v>55</v>
      </c>
      <c r="T400" t="s">
        <v>48</v>
      </c>
      <c r="U400">
        <f>IF(Cardiac_Table[[#This Row],[Patient Status at Discharge]]="Died", 1,0)</f>
        <v>0</v>
      </c>
      <c r="V400">
        <f>Cardiac_Table[[#This Row],[Risk of Death % (Model 1)]]/100</f>
        <v>4.8099999999999997E-2</v>
      </c>
      <c r="W400">
        <f>Cardiac_Table[[#This Row],[Risk of Death % (Model 2)]]/100</f>
        <v>8.8000000000000005E-3</v>
      </c>
      <c r="X400" s="18">
        <f>Cardiac_Table[[#This Row],[Procedure Start Date and Time]]-Cardiac_Table[[#This Row],[Hospital Admit Date ]]</f>
        <v>0.13958333333721384</v>
      </c>
    </row>
    <row r="401" spans="1:24" x14ac:dyDescent="0.35">
      <c r="A401">
        <v>408</v>
      </c>
      <c r="B401" s="9">
        <v>43972.301388888889</v>
      </c>
      <c r="C401" s="10">
        <f>INT(Cardiac_Table[[#This Row],[Hospital Admit Date ]])</f>
        <v>43972</v>
      </c>
      <c r="D401" s="11" t="str">
        <f t="shared" si="6"/>
        <v>07:14</v>
      </c>
      <c r="E401" s="9">
        <v>43972.507638888892</v>
      </c>
      <c r="F401" s="10">
        <f>INT(Cardiac_Table[[#This Row],[Procedure Start Date and Time]])</f>
        <v>43972</v>
      </c>
      <c r="G401" s="12">
        <f>MOD(Cardiac_Table[[#This Row],[Procedure Start Date and Time]],1)</f>
        <v>0.50763888889196096</v>
      </c>
      <c r="H401">
        <v>4</v>
      </c>
      <c r="I401" t="s">
        <v>4</v>
      </c>
      <c r="J401" t="s">
        <v>3</v>
      </c>
      <c r="K401" t="s">
        <v>32</v>
      </c>
      <c r="L401">
        <v>61</v>
      </c>
      <c r="M401">
        <v>7.73</v>
      </c>
      <c r="N401">
        <v>1.93</v>
      </c>
      <c r="O401" t="s">
        <v>15</v>
      </c>
      <c r="P401">
        <v>92</v>
      </c>
      <c r="Q401">
        <v>182</v>
      </c>
      <c r="R401">
        <v>78</v>
      </c>
      <c r="S401">
        <v>55</v>
      </c>
      <c r="T401" t="s">
        <v>48</v>
      </c>
      <c r="U401">
        <f>IF(Cardiac_Table[[#This Row],[Patient Status at Discharge]]="Died", 1,0)</f>
        <v>0</v>
      </c>
      <c r="V401">
        <f>Cardiac_Table[[#This Row],[Risk of Death % (Model 1)]]/100</f>
        <v>7.7300000000000008E-2</v>
      </c>
      <c r="W401">
        <f>Cardiac_Table[[#This Row],[Risk of Death % (Model 2)]]/100</f>
        <v>1.9299999999999998E-2</v>
      </c>
      <c r="X401" s="18">
        <f>Cardiac_Table[[#This Row],[Procedure Start Date and Time]]-Cardiac_Table[[#This Row],[Hospital Admit Date ]]</f>
        <v>0.20625000000291038</v>
      </c>
    </row>
    <row r="402" spans="1:24" x14ac:dyDescent="0.35">
      <c r="A402">
        <v>409</v>
      </c>
      <c r="B402" s="9">
        <v>43973.292361111111</v>
      </c>
      <c r="C402" s="10">
        <f>INT(Cardiac_Table[[#This Row],[Hospital Admit Date ]])</f>
        <v>43973</v>
      </c>
      <c r="D402" s="11" t="str">
        <f t="shared" si="6"/>
        <v>07:01</v>
      </c>
      <c r="E402" s="9">
        <v>43973.479166666664</v>
      </c>
      <c r="F402" s="10">
        <f>INT(Cardiac_Table[[#This Row],[Procedure Start Date and Time]])</f>
        <v>43973</v>
      </c>
      <c r="G402" s="12">
        <f>MOD(Cardiac_Table[[#This Row],[Procedure Start Date and Time]],1)</f>
        <v>0.47916666666424135</v>
      </c>
      <c r="H402">
        <v>4</v>
      </c>
      <c r="I402" t="s">
        <v>4</v>
      </c>
      <c r="J402" t="s">
        <v>3</v>
      </c>
      <c r="K402" t="s">
        <v>35</v>
      </c>
      <c r="L402">
        <v>69</v>
      </c>
      <c r="M402">
        <v>6.9</v>
      </c>
      <c r="N402">
        <v>1.42</v>
      </c>
      <c r="O402" t="s">
        <v>15</v>
      </c>
      <c r="P402">
        <v>81</v>
      </c>
      <c r="Q402">
        <v>168</v>
      </c>
      <c r="R402">
        <v>96</v>
      </c>
      <c r="S402">
        <v>68</v>
      </c>
      <c r="T402" t="s">
        <v>48</v>
      </c>
      <c r="U402">
        <f>IF(Cardiac_Table[[#This Row],[Patient Status at Discharge]]="Died", 1,0)</f>
        <v>0</v>
      </c>
      <c r="V402">
        <f>Cardiac_Table[[#This Row],[Risk of Death % (Model 1)]]/100</f>
        <v>6.9000000000000006E-2</v>
      </c>
      <c r="W402">
        <f>Cardiac_Table[[#This Row],[Risk of Death % (Model 2)]]/100</f>
        <v>1.4199999999999999E-2</v>
      </c>
      <c r="X402" s="18">
        <f>Cardiac_Table[[#This Row],[Procedure Start Date and Time]]-Cardiac_Table[[#This Row],[Hospital Admit Date ]]</f>
        <v>0.18680555555329192</v>
      </c>
    </row>
    <row r="403" spans="1:24" x14ac:dyDescent="0.35">
      <c r="A403">
        <v>410</v>
      </c>
      <c r="B403" s="9">
        <v>43973.375</v>
      </c>
      <c r="C403" s="10">
        <f>INT(Cardiac_Table[[#This Row],[Hospital Admit Date ]])</f>
        <v>43973</v>
      </c>
      <c r="D403" s="11" t="str">
        <f t="shared" si="6"/>
        <v>09:00</v>
      </c>
      <c r="E403" s="9">
        <v>43974.347916666666</v>
      </c>
      <c r="F403" s="10">
        <f>INT(Cardiac_Table[[#This Row],[Procedure Start Date and Time]])</f>
        <v>43974</v>
      </c>
      <c r="G403" s="12">
        <f>MOD(Cardiac_Table[[#This Row],[Procedure Start Date and Time]],1)</f>
        <v>0.34791666666569654</v>
      </c>
      <c r="H403">
        <v>4</v>
      </c>
      <c r="I403" t="s">
        <v>2</v>
      </c>
      <c r="J403" t="s">
        <v>10</v>
      </c>
      <c r="K403" t="s">
        <v>23</v>
      </c>
      <c r="L403">
        <v>65</v>
      </c>
      <c r="M403">
        <v>2.63</v>
      </c>
      <c r="N403">
        <v>1.1599999999999999</v>
      </c>
      <c r="O403" t="s">
        <v>15</v>
      </c>
      <c r="P403">
        <v>91</v>
      </c>
      <c r="Q403">
        <v>170</v>
      </c>
      <c r="R403">
        <v>66</v>
      </c>
      <c r="S403">
        <v>25</v>
      </c>
      <c r="T403" t="s">
        <v>49</v>
      </c>
      <c r="U403">
        <f>IF(Cardiac_Table[[#This Row],[Patient Status at Discharge]]="Died", 1,0)</f>
        <v>0</v>
      </c>
      <c r="V403">
        <f>Cardiac_Table[[#This Row],[Risk of Death % (Model 1)]]/100</f>
        <v>2.63E-2</v>
      </c>
      <c r="W403">
        <f>Cardiac_Table[[#This Row],[Risk of Death % (Model 2)]]/100</f>
        <v>1.1599999999999999E-2</v>
      </c>
      <c r="X403" s="18">
        <f>Cardiac_Table[[#This Row],[Procedure Start Date and Time]]-Cardiac_Table[[#This Row],[Hospital Admit Date ]]</f>
        <v>0.97291666666569654</v>
      </c>
    </row>
    <row r="404" spans="1:24" x14ac:dyDescent="0.35">
      <c r="A404">
        <v>411</v>
      </c>
      <c r="B404" s="9">
        <v>43971.666666666664</v>
      </c>
      <c r="C404" s="10">
        <f>INT(Cardiac_Table[[#This Row],[Hospital Admit Date ]])</f>
        <v>43971</v>
      </c>
      <c r="D404" s="11" t="str">
        <f t="shared" si="6"/>
        <v>16:00</v>
      </c>
      <c r="E404" s="9">
        <v>43974.411111111112</v>
      </c>
      <c r="F404" s="10">
        <f>INT(Cardiac_Table[[#This Row],[Procedure Start Date and Time]])</f>
        <v>43974</v>
      </c>
      <c r="G404" s="12">
        <f>MOD(Cardiac_Table[[#This Row],[Procedure Start Date and Time]],1)</f>
        <v>0.41111111111240461</v>
      </c>
      <c r="H404">
        <v>5</v>
      </c>
      <c r="I404" t="s">
        <v>4</v>
      </c>
      <c r="J404" t="s">
        <v>10</v>
      </c>
      <c r="K404" t="s">
        <v>26</v>
      </c>
      <c r="L404">
        <v>58</v>
      </c>
      <c r="M404">
        <v>1.22</v>
      </c>
      <c r="N404">
        <v>0.62</v>
      </c>
      <c r="O404" t="s">
        <v>15</v>
      </c>
      <c r="P404">
        <v>85</v>
      </c>
      <c r="Q404">
        <v>163</v>
      </c>
      <c r="R404">
        <v>63</v>
      </c>
      <c r="S404">
        <v>55</v>
      </c>
      <c r="T404" t="s">
        <v>48</v>
      </c>
      <c r="U404">
        <f>IF(Cardiac_Table[[#This Row],[Patient Status at Discharge]]="Died", 1,0)</f>
        <v>0</v>
      </c>
      <c r="V404">
        <f>Cardiac_Table[[#This Row],[Risk of Death % (Model 1)]]/100</f>
        <v>1.2199999999999999E-2</v>
      </c>
      <c r="W404">
        <f>Cardiac_Table[[#This Row],[Risk of Death % (Model 2)]]/100</f>
        <v>6.1999999999999998E-3</v>
      </c>
      <c r="X404" s="18">
        <f>Cardiac_Table[[#This Row],[Procedure Start Date and Time]]-Cardiac_Table[[#This Row],[Hospital Admit Date ]]</f>
        <v>2.7444444444481633</v>
      </c>
    </row>
    <row r="405" spans="1:24" x14ac:dyDescent="0.35">
      <c r="A405">
        <v>412</v>
      </c>
      <c r="B405" s="9">
        <v>43973.738194444442</v>
      </c>
      <c r="C405" s="10">
        <f>INT(Cardiac_Table[[#This Row],[Hospital Admit Date ]])</f>
        <v>43973</v>
      </c>
      <c r="D405" s="11" t="str">
        <f t="shared" si="6"/>
        <v>17:43</v>
      </c>
      <c r="E405" s="9">
        <v>43975.559027777781</v>
      </c>
      <c r="F405" s="10">
        <f>INT(Cardiac_Table[[#This Row],[Procedure Start Date and Time]])</f>
        <v>43975</v>
      </c>
      <c r="G405" s="12">
        <f>MOD(Cardiac_Table[[#This Row],[Procedure Start Date and Time]],1)</f>
        <v>0.55902777778101154</v>
      </c>
      <c r="H405">
        <v>5</v>
      </c>
      <c r="I405" t="s">
        <v>2</v>
      </c>
      <c r="J405" t="s">
        <v>1</v>
      </c>
      <c r="K405" t="s">
        <v>23</v>
      </c>
      <c r="L405">
        <v>64</v>
      </c>
      <c r="M405">
        <v>12.18</v>
      </c>
      <c r="N405">
        <v>3.65</v>
      </c>
      <c r="O405" t="s">
        <v>15</v>
      </c>
      <c r="P405">
        <v>65</v>
      </c>
      <c r="Q405">
        <v>153</v>
      </c>
      <c r="R405">
        <v>68</v>
      </c>
      <c r="S405">
        <v>45</v>
      </c>
      <c r="T405" t="s">
        <v>50</v>
      </c>
      <c r="U405">
        <f>IF(Cardiac_Table[[#This Row],[Patient Status at Discharge]]="Died", 1,0)</f>
        <v>0</v>
      </c>
      <c r="V405">
        <f>Cardiac_Table[[#This Row],[Risk of Death % (Model 1)]]/100</f>
        <v>0.12179999999999999</v>
      </c>
      <c r="W405">
        <f>Cardiac_Table[[#This Row],[Risk of Death % (Model 2)]]/100</f>
        <v>3.6499999999999998E-2</v>
      </c>
      <c r="X405" s="18">
        <f>Cardiac_Table[[#This Row],[Procedure Start Date and Time]]-Cardiac_Table[[#This Row],[Hospital Admit Date ]]</f>
        <v>1.820833333338669</v>
      </c>
    </row>
    <row r="406" spans="1:24" x14ac:dyDescent="0.35">
      <c r="A406">
        <v>413</v>
      </c>
      <c r="B406" s="9">
        <v>43974.359722222223</v>
      </c>
      <c r="C406" s="10">
        <f>INT(Cardiac_Table[[#This Row],[Hospital Admit Date ]])</f>
        <v>43974</v>
      </c>
      <c r="D406" s="11" t="str">
        <f t="shared" si="6"/>
        <v>08:38</v>
      </c>
      <c r="E406" s="9">
        <v>43976.6</v>
      </c>
      <c r="F406" s="10">
        <f>INT(Cardiac_Table[[#This Row],[Procedure Start Date and Time]])</f>
        <v>43976</v>
      </c>
      <c r="G406" s="12">
        <f>MOD(Cardiac_Table[[#This Row],[Procedure Start Date and Time]],1)</f>
        <v>0.59999999999854481</v>
      </c>
      <c r="H406">
        <v>4</v>
      </c>
      <c r="I406" t="s">
        <v>2</v>
      </c>
      <c r="J406" t="s">
        <v>11</v>
      </c>
      <c r="K406" t="s">
        <v>24</v>
      </c>
      <c r="L406">
        <v>82</v>
      </c>
      <c r="M406">
        <v>79.03</v>
      </c>
      <c r="N406">
        <v>30.65</v>
      </c>
      <c r="O406" t="s">
        <v>15</v>
      </c>
      <c r="P406">
        <v>94</v>
      </c>
      <c r="Q406">
        <v>184</v>
      </c>
      <c r="R406">
        <v>84</v>
      </c>
      <c r="S406">
        <v>55</v>
      </c>
      <c r="T406" t="s">
        <v>48</v>
      </c>
      <c r="U406">
        <f>IF(Cardiac_Table[[#This Row],[Patient Status at Discharge]]="Died", 1,0)</f>
        <v>0</v>
      </c>
      <c r="V406">
        <f>Cardiac_Table[[#This Row],[Risk of Death % (Model 1)]]/100</f>
        <v>0.7903</v>
      </c>
      <c r="W406">
        <f>Cardiac_Table[[#This Row],[Risk of Death % (Model 2)]]/100</f>
        <v>0.30649999999999999</v>
      </c>
      <c r="X406" s="18">
        <f>Cardiac_Table[[#This Row],[Procedure Start Date and Time]]-Cardiac_Table[[#This Row],[Hospital Admit Date ]]</f>
        <v>2.2402777777751908</v>
      </c>
    </row>
    <row r="407" spans="1:24" x14ac:dyDescent="0.35">
      <c r="A407">
        <v>414</v>
      </c>
      <c r="B407" s="9">
        <v>43977.291666666664</v>
      </c>
      <c r="C407" s="10">
        <f>INT(Cardiac_Table[[#This Row],[Hospital Admit Date ]])</f>
        <v>43977</v>
      </c>
      <c r="D407" s="11" t="str">
        <f t="shared" si="6"/>
        <v>07:00</v>
      </c>
      <c r="E407" s="9">
        <v>43977.40625</v>
      </c>
      <c r="F407" s="10">
        <f>INT(Cardiac_Table[[#This Row],[Procedure Start Date and Time]])</f>
        <v>43977</v>
      </c>
      <c r="G407" s="12">
        <f>MOD(Cardiac_Table[[#This Row],[Procedure Start Date and Time]],1)</f>
        <v>0.40625</v>
      </c>
      <c r="H407">
        <v>5</v>
      </c>
      <c r="I407" t="s">
        <v>4</v>
      </c>
      <c r="J407" t="s">
        <v>11</v>
      </c>
      <c r="K407" t="s">
        <v>23</v>
      </c>
      <c r="L407">
        <v>62</v>
      </c>
      <c r="M407">
        <v>1.83</v>
      </c>
      <c r="N407">
        <v>1.38</v>
      </c>
      <c r="O407" t="s">
        <v>15</v>
      </c>
      <c r="P407">
        <v>91</v>
      </c>
      <c r="Q407">
        <v>152</v>
      </c>
      <c r="R407">
        <v>81</v>
      </c>
      <c r="S407">
        <v>72</v>
      </c>
      <c r="T407" t="s">
        <v>48</v>
      </c>
      <c r="U407">
        <f>IF(Cardiac_Table[[#This Row],[Patient Status at Discharge]]="Died", 1,0)</f>
        <v>0</v>
      </c>
      <c r="V407">
        <f>Cardiac_Table[[#This Row],[Risk of Death % (Model 1)]]/100</f>
        <v>1.83E-2</v>
      </c>
      <c r="W407">
        <f>Cardiac_Table[[#This Row],[Risk of Death % (Model 2)]]/100</f>
        <v>1.38E-2</v>
      </c>
      <c r="X407" s="18">
        <f>Cardiac_Table[[#This Row],[Procedure Start Date and Time]]-Cardiac_Table[[#This Row],[Hospital Admit Date ]]</f>
        <v>0.11458333333575865</v>
      </c>
    </row>
    <row r="408" spans="1:24" x14ac:dyDescent="0.35">
      <c r="A408">
        <v>415</v>
      </c>
      <c r="B408" s="9">
        <v>43975.416666666664</v>
      </c>
      <c r="C408" s="10">
        <f>INT(Cardiac_Table[[#This Row],[Hospital Admit Date ]])</f>
        <v>43975</v>
      </c>
      <c r="D408" s="11" t="str">
        <f t="shared" si="6"/>
        <v>10:00</v>
      </c>
      <c r="E408" s="9">
        <v>43977.409722222219</v>
      </c>
      <c r="F408" s="10">
        <f>INT(Cardiac_Table[[#This Row],[Procedure Start Date and Time]])</f>
        <v>43977</v>
      </c>
      <c r="G408" s="12">
        <f>MOD(Cardiac_Table[[#This Row],[Procedure Start Date and Time]],1)</f>
        <v>0.40972222221898846</v>
      </c>
      <c r="H408">
        <v>4</v>
      </c>
      <c r="I408" t="s">
        <v>6</v>
      </c>
      <c r="J408" t="s">
        <v>10</v>
      </c>
      <c r="K408" t="s">
        <v>33</v>
      </c>
      <c r="L408">
        <v>67</v>
      </c>
      <c r="M408">
        <v>2.42</v>
      </c>
      <c r="N408">
        <v>1.1200000000000001</v>
      </c>
      <c r="O408" t="s">
        <v>15</v>
      </c>
      <c r="P408">
        <v>83</v>
      </c>
      <c r="Q408">
        <v>187</v>
      </c>
      <c r="R408">
        <v>87</v>
      </c>
      <c r="S408">
        <v>67</v>
      </c>
      <c r="T408" t="s">
        <v>48</v>
      </c>
      <c r="U408">
        <f>IF(Cardiac_Table[[#This Row],[Patient Status at Discharge]]="Died", 1,0)</f>
        <v>0</v>
      </c>
      <c r="V408">
        <f>Cardiac_Table[[#This Row],[Risk of Death % (Model 1)]]/100</f>
        <v>2.4199999999999999E-2</v>
      </c>
      <c r="W408">
        <f>Cardiac_Table[[#This Row],[Risk of Death % (Model 2)]]/100</f>
        <v>1.1200000000000002E-2</v>
      </c>
      <c r="X408" s="18">
        <f>Cardiac_Table[[#This Row],[Procedure Start Date and Time]]-Cardiac_Table[[#This Row],[Hospital Admit Date ]]</f>
        <v>1.9930555555547471</v>
      </c>
    </row>
    <row r="409" spans="1:24" x14ac:dyDescent="0.35">
      <c r="A409">
        <v>416</v>
      </c>
      <c r="B409" s="9">
        <v>43978.291666666664</v>
      </c>
      <c r="C409" s="10">
        <f>INT(Cardiac_Table[[#This Row],[Hospital Admit Date ]])</f>
        <v>43978</v>
      </c>
      <c r="D409" s="11" t="str">
        <f t="shared" si="6"/>
        <v>07:00</v>
      </c>
      <c r="E409" s="9">
        <v>43978.375</v>
      </c>
      <c r="F409" s="10">
        <f>INT(Cardiac_Table[[#This Row],[Procedure Start Date and Time]])</f>
        <v>43978</v>
      </c>
      <c r="G409" s="12">
        <f>MOD(Cardiac_Table[[#This Row],[Procedure Start Date and Time]],1)</f>
        <v>0.375</v>
      </c>
      <c r="H409">
        <v>5</v>
      </c>
      <c r="I409" t="s">
        <v>4</v>
      </c>
      <c r="J409" t="s">
        <v>10</v>
      </c>
      <c r="K409" t="s">
        <v>23</v>
      </c>
      <c r="L409">
        <v>67</v>
      </c>
      <c r="M409">
        <v>2.42</v>
      </c>
      <c r="N409">
        <v>1</v>
      </c>
      <c r="O409" t="s">
        <v>15</v>
      </c>
      <c r="P409">
        <v>61</v>
      </c>
      <c r="Q409">
        <v>169</v>
      </c>
      <c r="R409">
        <v>106</v>
      </c>
      <c r="S409">
        <v>37</v>
      </c>
      <c r="T409" t="s">
        <v>50</v>
      </c>
      <c r="U409">
        <f>IF(Cardiac_Table[[#This Row],[Patient Status at Discharge]]="Died", 1,0)</f>
        <v>0</v>
      </c>
      <c r="V409">
        <f>Cardiac_Table[[#This Row],[Risk of Death % (Model 1)]]/100</f>
        <v>2.4199999999999999E-2</v>
      </c>
      <c r="W409">
        <f>Cardiac_Table[[#This Row],[Risk of Death % (Model 2)]]/100</f>
        <v>0.01</v>
      </c>
      <c r="X409" s="18">
        <f>Cardiac_Table[[#This Row],[Procedure Start Date and Time]]-Cardiac_Table[[#This Row],[Hospital Admit Date ]]</f>
        <v>8.3333333335758653E-2</v>
      </c>
    </row>
    <row r="410" spans="1:24" x14ac:dyDescent="0.35">
      <c r="A410">
        <v>417</v>
      </c>
      <c r="B410" s="9">
        <v>43978.291666666664</v>
      </c>
      <c r="C410" s="10">
        <f>INT(Cardiac_Table[[#This Row],[Hospital Admit Date ]])</f>
        <v>43978</v>
      </c>
      <c r="D410" s="11" t="str">
        <f t="shared" si="6"/>
        <v>07:00</v>
      </c>
      <c r="E410" s="9">
        <v>43978.40625</v>
      </c>
      <c r="F410" s="10">
        <f>INT(Cardiac_Table[[#This Row],[Procedure Start Date and Time]])</f>
        <v>43978</v>
      </c>
      <c r="G410" s="12">
        <f>MOD(Cardiac_Table[[#This Row],[Procedure Start Date and Time]],1)</f>
        <v>0.40625</v>
      </c>
      <c r="H410">
        <v>4</v>
      </c>
      <c r="I410" t="s">
        <v>4</v>
      </c>
      <c r="J410" t="s">
        <v>3</v>
      </c>
      <c r="K410" t="s">
        <v>35</v>
      </c>
      <c r="L410">
        <v>55</v>
      </c>
      <c r="M410">
        <v>2.08</v>
      </c>
      <c r="N410">
        <v>0.62</v>
      </c>
      <c r="O410" t="s">
        <v>15</v>
      </c>
      <c r="P410">
        <v>80</v>
      </c>
      <c r="Q410">
        <v>167</v>
      </c>
      <c r="R410">
        <v>76</v>
      </c>
      <c r="S410">
        <v>60</v>
      </c>
      <c r="T410" t="s">
        <v>48</v>
      </c>
      <c r="U410">
        <f>IF(Cardiac_Table[[#This Row],[Patient Status at Discharge]]="Died", 1,0)</f>
        <v>0</v>
      </c>
      <c r="V410">
        <f>Cardiac_Table[[#This Row],[Risk of Death % (Model 1)]]/100</f>
        <v>2.0799999999999999E-2</v>
      </c>
      <c r="W410">
        <f>Cardiac_Table[[#This Row],[Risk of Death % (Model 2)]]/100</f>
        <v>6.1999999999999998E-3</v>
      </c>
      <c r="X410" s="18">
        <f>Cardiac_Table[[#This Row],[Procedure Start Date and Time]]-Cardiac_Table[[#This Row],[Hospital Admit Date ]]</f>
        <v>0.11458333333575865</v>
      </c>
    </row>
    <row r="411" spans="1:24" x14ac:dyDescent="0.35">
      <c r="A411">
        <v>418</v>
      </c>
      <c r="B411" s="9">
        <v>43967.765972222223</v>
      </c>
      <c r="C411" s="10">
        <f>INT(Cardiac_Table[[#This Row],[Hospital Admit Date ]])</f>
        <v>43967</v>
      </c>
      <c r="D411" s="11" t="str">
        <f t="shared" si="6"/>
        <v>18:23</v>
      </c>
      <c r="E411" s="9">
        <v>43979.341666666667</v>
      </c>
      <c r="F411" s="10">
        <f>INT(Cardiac_Table[[#This Row],[Procedure Start Date and Time]])</f>
        <v>43979</v>
      </c>
      <c r="G411" s="12">
        <f>MOD(Cardiac_Table[[#This Row],[Procedure Start Date and Time]],1)</f>
        <v>0.34166666666715173</v>
      </c>
      <c r="H411">
        <v>4</v>
      </c>
      <c r="I411" t="s">
        <v>6</v>
      </c>
      <c r="J411" t="s">
        <v>3</v>
      </c>
      <c r="K411" t="s">
        <v>32</v>
      </c>
      <c r="L411">
        <v>49</v>
      </c>
      <c r="M411">
        <v>32.14</v>
      </c>
      <c r="N411">
        <v>11.95</v>
      </c>
      <c r="O411" t="s">
        <v>15</v>
      </c>
      <c r="P411">
        <v>92</v>
      </c>
      <c r="Q411">
        <v>189</v>
      </c>
      <c r="R411">
        <v>92</v>
      </c>
      <c r="S411">
        <v>50</v>
      </c>
      <c r="T411" t="s">
        <v>50</v>
      </c>
      <c r="U411">
        <f>IF(Cardiac_Table[[#This Row],[Patient Status at Discharge]]="Died", 1,0)</f>
        <v>0</v>
      </c>
      <c r="V411">
        <f>Cardiac_Table[[#This Row],[Risk of Death % (Model 1)]]/100</f>
        <v>0.32140000000000002</v>
      </c>
      <c r="W411">
        <f>Cardiac_Table[[#This Row],[Risk of Death % (Model 2)]]/100</f>
        <v>0.1195</v>
      </c>
      <c r="X411" s="18">
        <f>Cardiac_Table[[#This Row],[Procedure Start Date and Time]]-Cardiac_Table[[#This Row],[Hospital Admit Date ]]</f>
        <v>11.575694444443798</v>
      </c>
    </row>
    <row r="412" spans="1:24" x14ac:dyDescent="0.35">
      <c r="A412">
        <v>419</v>
      </c>
      <c r="B412" s="9">
        <v>43979.300694444442</v>
      </c>
      <c r="C412" s="10">
        <f>INT(Cardiac_Table[[#This Row],[Hospital Admit Date ]])</f>
        <v>43979</v>
      </c>
      <c r="D412" s="11" t="str">
        <f t="shared" si="6"/>
        <v>07:13</v>
      </c>
      <c r="E412" s="9">
        <v>43979.42291666667</v>
      </c>
      <c r="F412" s="10">
        <f>INT(Cardiac_Table[[#This Row],[Procedure Start Date and Time]])</f>
        <v>43979</v>
      </c>
      <c r="G412" s="12">
        <f>MOD(Cardiac_Table[[#This Row],[Procedure Start Date and Time]],1)</f>
        <v>0.42291666667006211</v>
      </c>
      <c r="H412">
        <v>5</v>
      </c>
      <c r="I412" t="s">
        <v>4</v>
      </c>
      <c r="J412" t="s">
        <v>11</v>
      </c>
      <c r="K412" t="s">
        <v>26</v>
      </c>
      <c r="L412">
        <v>60</v>
      </c>
      <c r="M412">
        <v>2.42</v>
      </c>
      <c r="N412">
        <v>1.58</v>
      </c>
      <c r="O412" t="s">
        <v>15</v>
      </c>
      <c r="P412">
        <v>75</v>
      </c>
      <c r="Q412">
        <v>175</v>
      </c>
      <c r="R412">
        <v>109</v>
      </c>
      <c r="S412">
        <v>60</v>
      </c>
      <c r="T412" t="s">
        <v>48</v>
      </c>
      <c r="U412">
        <f>IF(Cardiac_Table[[#This Row],[Patient Status at Discharge]]="Died", 1,0)</f>
        <v>0</v>
      </c>
      <c r="V412">
        <f>Cardiac_Table[[#This Row],[Risk of Death % (Model 1)]]/100</f>
        <v>2.4199999999999999E-2</v>
      </c>
      <c r="W412">
        <f>Cardiac_Table[[#This Row],[Risk of Death % (Model 2)]]/100</f>
        <v>1.5800000000000002E-2</v>
      </c>
      <c r="X412" s="18">
        <f>Cardiac_Table[[#This Row],[Procedure Start Date and Time]]-Cardiac_Table[[#This Row],[Hospital Admit Date ]]</f>
        <v>0.12222222222771961</v>
      </c>
    </row>
    <row r="413" spans="1:24" x14ac:dyDescent="0.35">
      <c r="A413">
        <v>420</v>
      </c>
      <c r="B413" s="9">
        <v>43980.29791666667</v>
      </c>
      <c r="C413" s="10">
        <f>INT(Cardiac_Table[[#This Row],[Hospital Admit Date ]])</f>
        <v>43980</v>
      </c>
      <c r="D413" s="11" t="str">
        <f t="shared" si="6"/>
        <v>07:09</v>
      </c>
      <c r="E413" s="9">
        <v>43980.370833333334</v>
      </c>
      <c r="F413" s="10">
        <f>INT(Cardiac_Table[[#This Row],[Procedure Start Date and Time]])</f>
        <v>43980</v>
      </c>
      <c r="G413" s="12">
        <f>MOD(Cardiac_Table[[#This Row],[Procedure Start Date and Time]],1)</f>
        <v>0.37083333333430346</v>
      </c>
      <c r="H413">
        <v>5</v>
      </c>
      <c r="I413" t="s">
        <v>4</v>
      </c>
      <c r="J413" t="s">
        <v>11</v>
      </c>
      <c r="K413" t="s">
        <v>31</v>
      </c>
      <c r="L413">
        <v>78</v>
      </c>
      <c r="M413">
        <v>5.14</v>
      </c>
      <c r="N413">
        <v>2.58</v>
      </c>
      <c r="O413" t="s">
        <v>15</v>
      </c>
      <c r="P413">
        <v>77</v>
      </c>
      <c r="Q413">
        <v>172</v>
      </c>
      <c r="R413">
        <v>112</v>
      </c>
      <c r="S413">
        <v>55</v>
      </c>
      <c r="T413" t="s">
        <v>48</v>
      </c>
      <c r="U413">
        <f>IF(Cardiac_Table[[#This Row],[Patient Status at Discharge]]="Died", 1,0)</f>
        <v>0</v>
      </c>
      <c r="V413">
        <f>Cardiac_Table[[#This Row],[Risk of Death % (Model 1)]]/100</f>
        <v>5.1399999999999994E-2</v>
      </c>
      <c r="W413">
        <f>Cardiac_Table[[#This Row],[Risk of Death % (Model 2)]]/100</f>
        <v>2.58E-2</v>
      </c>
      <c r="X413" s="18">
        <f>Cardiac_Table[[#This Row],[Procedure Start Date and Time]]-Cardiac_Table[[#This Row],[Hospital Admit Date ]]</f>
        <v>7.2916666664241347E-2</v>
      </c>
    </row>
    <row r="414" spans="1:24" x14ac:dyDescent="0.35">
      <c r="A414">
        <v>421</v>
      </c>
      <c r="B414" s="9">
        <v>43978.397916666669</v>
      </c>
      <c r="C414" s="10">
        <f>INT(Cardiac_Table[[#This Row],[Hospital Admit Date ]])</f>
        <v>43978</v>
      </c>
      <c r="D414" s="11" t="str">
        <f t="shared" si="6"/>
        <v>09:33</v>
      </c>
      <c r="E414" s="9">
        <v>43983.350694444445</v>
      </c>
      <c r="F414" s="10">
        <f>INT(Cardiac_Table[[#This Row],[Procedure Start Date and Time]])</f>
        <v>43983</v>
      </c>
      <c r="G414" s="12">
        <f>MOD(Cardiac_Table[[#This Row],[Procedure Start Date and Time]],1)</f>
        <v>0.35069444444525288</v>
      </c>
      <c r="H414">
        <v>5</v>
      </c>
      <c r="I414" t="s">
        <v>6</v>
      </c>
      <c r="J414" t="s">
        <v>11</v>
      </c>
      <c r="K414" t="s">
        <v>32</v>
      </c>
      <c r="L414">
        <v>53</v>
      </c>
      <c r="M414">
        <v>6.17</v>
      </c>
      <c r="N414">
        <v>1.84</v>
      </c>
      <c r="O414" t="s">
        <v>15</v>
      </c>
      <c r="P414">
        <v>123</v>
      </c>
      <c r="Q414">
        <v>175</v>
      </c>
      <c r="R414">
        <v>102</v>
      </c>
      <c r="S414">
        <v>66</v>
      </c>
      <c r="T414" t="s">
        <v>48</v>
      </c>
      <c r="U414">
        <f>IF(Cardiac_Table[[#This Row],[Patient Status at Discharge]]="Died", 1,0)</f>
        <v>0</v>
      </c>
      <c r="V414">
        <f>Cardiac_Table[[#This Row],[Risk of Death % (Model 1)]]/100</f>
        <v>6.1699999999999998E-2</v>
      </c>
      <c r="W414">
        <f>Cardiac_Table[[#This Row],[Risk of Death % (Model 2)]]/100</f>
        <v>1.84E-2</v>
      </c>
      <c r="X414" s="18">
        <f>Cardiac_Table[[#This Row],[Procedure Start Date and Time]]-Cardiac_Table[[#This Row],[Hospital Admit Date ]]</f>
        <v>4.952777777776646</v>
      </c>
    </row>
    <row r="415" spans="1:24" x14ac:dyDescent="0.35">
      <c r="A415">
        <v>422</v>
      </c>
      <c r="B415" s="9">
        <v>43983.3</v>
      </c>
      <c r="C415" s="10">
        <f>INT(Cardiac_Table[[#This Row],[Hospital Admit Date ]])</f>
        <v>43983</v>
      </c>
      <c r="D415" s="11" t="str">
        <f t="shared" si="6"/>
        <v>07:12</v>
      </c>
      <c r="E415" s="9">
        <v>43983.495138888888</v>
      </c>
      <c r="F415" s="10">
        <f>INT(Cardiac_Table[[#This Row],[Procedure Start Date and Time]])</f>
        <v>43983</v>
      </c>
      <c r="G415" s="12">
        <f>MOD(Cardiac_Table[[#This Row],[Procedure Start Date and Time]],1)</f>
        <v>0.49513888888759539</v>
      </c>
      <c r="H415">
        <v>4</v>
      </c>
      <c r="I415" t="s">
        <v>4</v>
      </c>
      <c r="J415" t="s">
        <v>11</v>
      </c>
      <c r="K415" t="s">
        <v>32</v>
      </c>
      <c r="L415">
        <v>82</v>
      </c>
      <c r="M415">
        <v>32.090000000000003</v>
      </c>
      <c r="N415">
        <v>11.99</v>
      </c>
      <c r="O415" t="s">
        <v>15</v>
      </c>
      <c r="P415">
        <v>121</v>
      </c>
      <c r="Q415">
        <v>172</v>
      </c>
      <c r="R415">
        <v>81</v>
      </c>
      <c r="S415">
        <v>46</v>
      </c>
      <c r="T415" t="s">
        <v>50</v>
      </c>
      <c r="U415">
        <f>IF(Cardiac_Table[[#This Row],[Patient Status at Discharge]]="Died", 1,0)</f>
        <v>0</v>
      </c>
      <c r="V415">
        <f>Cardiac_Table[[#This Row],[Risk of Death % (Model 1)]]/100</f>
        <v>0.32090000000000002</v>
      </c>
      <c r="W415">
        <f>Cardiac_Table[[#This Row],[Risk of Death % (Model 2)]]/100</f>
        <v>0.11990000000000001</v>
      </c>
      <c r="X415" s="18">
        <f>Cardiac_Table[[#This Row],[Procedure Start Date and Time]]-Cardiac_Table[[#This Row],[Hospital Admit Date ]]</f>
        <v>0.195138888884685</v>
      </c>
    </row>
    <row r="416" spans="1:24" x14ac:dyDescent="0.35">
      <c r="A416">
        <v>423</v>
      </c>
      <c r="B416" s="9">
        <v>43983.390972222223</v>
      </c>
      <c r="C416" s="10">
        <f>INT(Cardiac_Table[[#This Row],[Hospital Admit Date ]])</f>
        <v>43983</v>
      </c>
      <c r="D416" s="11" t="str">
        <f t="shared" si="6"/>
        <v>09:23</v>
      </c>
      <c r="E416" s="9">
        <v>43984.368055555555</v>
      </c>
      <c r="F416" s="10">
        <f>INT(Cardiac_Table[[#This Row],[Procedure Start Date and Time]])</f>
        <v>43984</v>
      </c>
      <c r="G416" s="12">
        <f>MOD(Cardiac_Table[[#This Row],[Procedure Start Date and Time]],1)</f>
        <v>0.36805555555474712</v>
      </c>
      <c r="H416">
        <v>4</v>
      </c>
      <c r="I416" t="s">
        <v>4</v>
      </c>
      <c r="J416" t="s">
        <v>3</v>
      </c>
      <c r="K416" t="s">
        <v>35</v>
      </c>
      <c r="L416">
        <v>76</v>
      </c>
      <c r="M416">
        <v>4.53</v>
      </c>
      <c r="N416">
        <v>2.0499999999999998</v>
      </c>
      <c r="O416" t="s">
        <v>15</v>
      </c>
      <c r="P416">
        <v>66</v>
      </c>
      <c r="Q416">
        <v>165</v>
      </c>
      <c r="R416">
        <v>88</v>
      </c>
      <c r="S416">
        <v>55</v>
      </c>
      <c r="T416" t="s">
        <v>48</v>
      </c>
      <c r="U416">
        <f>IF(Cardiac_Table[[#This Row],[Patient Status at Discharge]]="Died", 1,0)</f>
        <v>0</v>
      </c>
      <c r="V416">
        <f>Cardiac_Table[[#This Row],[Risk of Death % (Model 1)]]/100</f>
        <v>4.53E-2</v>
      </c>
      <c r="W416">
        <f>Cardiac_Table[[#This Row],[Risk of Death % (Model 2)]]/100</f>
        <v>2.0499999999999997E-2</v>
      </c>
      <c r="X416" s="18">
        <f>Cardiac_Table[[#This Row],[Procedure Start Date and Time]]-Cardiac_Table[[#This Row],[Hospital Admit Date ]]</f>
        <v>0.97708333333139308</v>
      </c>
    </row>
    <row r="417" spans="1:24" x14ac:dyDescent="0.35">
      <c r="A417">
        <v>424</v>
      </c>
      <c r="B417" s="9">
        <v>43983.643750000003</v>
      </c>
      <c r="C417" s="10">
        <f>INT(Cardiac_Table[[#This Row],[Hospital Admit Date ]])</f>
        <v>43983</v>
      </c>
      <c r="D417" s="11" t="str">
        <f t="shared" si="6"/>
        <v>15:27</v>
      </c>
      <c r="E417" s="9">
        <v>43984.375</v>
      </c>
      <c r="F417" s="10">
        <f>INT(Cardiac_Table[[#This Row],[Procedure Start Date and Time]])</f>
        <v>43984</v>
      </c>
      <c r="G417" s="12">
        <f>MOD(Cardiac_Table[[#This Row],[Procedure Start Date and Time]],1)</f>
        <v>0.375</v>
      </c>
      <c r="H417">
        <v>5</v>
      </c>
      <c r="I417" t="s">
        <v>6</v>
      </c>
      <c r="J417" t="s">
        <v>10</v>
      </c>
      <c r="K417" t="s">
        <v>26</v>
      </c>
      <c r="L417">
        <v>58</v>
      </c>
      <c r="M417">
        <v>7.32</v>
      </c>
      <c r="N417">
        <v>3.51</v>
      </c>
      <c r="O417" t="s">
        <v>15</v>
      </c>
      <c r="P417">
        <v>75</v>
      </c>
      <c r="Q417">
        <v>166</v>
      </c>
      <c r="R417">
        <v>68</v>
      </c>
      <c r="S417">
        <v>68</v>
      </c>
      <c r="T417" t="s">
        <v>48</v>
      </c>
      <c r="U417">
        <f>IF(Cardiac_Table[[#This Row],[Patient Status at Discharge]]="Died", 1,0)</f>
        <v>0</v>
      </c>
      <c r="V417">
        <f>Cardiac_Table[[#This Row],[Risk of Death % (Model 1)]]/100</f>
        <v>7.3200000000000001E-2</v>
      </c>
      <c r="W417">
        <f>Cardiac_Table[[#This Row],[Risk of Death % (Model 2)]]/100</f>
        <v>3.5099999999999999E-2</v>
      </c>
      <c r="X417" s="18">
        <f>Cardiac_Table[[#This Row],[Procedure Start Date and Time]]-Cardiac_Table[[#This Row],[Hospital Admit Date ]]</f>
        <v>0.73124999999708962</v>
      </c>
    </row>
    <row r="418" spans="1:24" x14ac:dyDescent="0.35">
      <c r="A418">
        <v>425</v>
      </c>
      <c r="B418" s="9">
        <v>43984.783333333333</v>
      </c>
      <c r="C418" s="10">
        <f>INT(Cardiac_Table[[#This Row],[Hospital Admit Date ]])</f>
        <v>43984</v>
      </c>
      <c r="D418" s="11" t="str">
        <f t="shared" si="6"/>
        <v>18:48</v>
      </c>
      <c r="E418" s="9">
        <v>43984.833333333336</v>
      </c>
      <c r="F418" s="10">
        <f>INT(Cardiac_Table[[#This Row],[Procedure Start Date and Time]])</f>
        <v>43984</v>
      </c>
      <c r="G418" s="12">
        <f>MOD(Cardiac_Table[[#This Row],[Procedure Start Date and Time]],1)</f>
        <v>0.83333333333575865</v>
      </c>
      <c r="H418">
        <v>1</v>
      </c>
      <c r="I418" t="s">
        <v>2</v>
      </c>
      <c r="J418" t="s">
        <v>5</v>
      </c>
      <c r="K418" t="s">
        <v>31</v>
      </c>
      <c r="L418">
        <v>55</v>
      </c>
      <c r="M418">
        <v>4.16</v>
      </c>
      <c r="N418">
        <v>3.58</v>
      </c>
      <c r="O418" t="s">
        <v>15</v>
      </c>
      <c r="P418">
        <v>89</v>
      </c>
      <c r="Q418">
        <v>162</v>
      </c>
      <c r="R418">
        <v>77</v>
      </c>
      <c r="S418">
        <v>40</v>
      </c>
      <c r="T418" t="s">
        <v>50</v>
      </c>
      <c r="U418">
        <f>IF(Cardiac_Table[[#This Row],[Patient Status at Discharge]]="Died", 1,0)</f>
        <v>0</v>
      </c>
      <c r="V418">
        <f>Cardiac_Table[[#This Row],[Risk of Death % (Model 1)]]/100</f>
        <v>4.1599999999999998E-2</v>
      </c>
      <c r="W418">
        <f>Cardiac_Table[[#This Row],[Risk of Death % (Model 2)]]/100</f>
        <v>3.5799999999999998E-2</v>
      </c>
      <c r="X418" s="18">
        <f>Cardiac_Table[[#This Row],[Procedure Start Date and Time]]-Cardiac_Table[[#This Row],[Hospital Admit Date ]]</f>
        <v>5.0000000002910383E-2</v>
      </c>
    </row>
    <row r="419" spans="1:24" x14ac:dyDescent="0.35">
      <c r="A419">
        <v>426</v>
      </c>
      <c r="B419" s="9">
        <v>43983.43472222222</v>
      </c>
      <c r="C419" s="10">
        <f>INT(Cardiac_Table[[#This Row],[Hospital Admit Date ]])</f>
        <v>43983</v>
      </c>
      <c r="D419" s="11" t="str">
        <f t="shared" si="6"/>
        <v>10:26</v>
      </c>
      <c r="E419" s="9">
        <v>43985.352083333331</v>
      </c>
      <c r="F419" s="10">
        <f>INT(Cardiac_Table[[#This Row],[Procedure Start Date and Time]])</f>
        <v>43985</v>
      </c>
      <c r="G419" s="12">
        <f>MOD(Cardiac_Table[[#This Row],[Procedure Start Date and Time]],1)</f>
        <v>0.35208333333139308</v>
      </c>
      <c r="H419">
        <v>4</v>
      </c>
      <c r="I419" t="s">
        <v>6</v>
      </c>
      <c r="J419" t="s">
        <v>10</v>
      </c>
      <c r="K419" t="s">
        <v>21</v>
      </c>
      <c r="L419">
        <v>69</v>
      </c>
      <c r="M419">
        <v>4.76</v>
      </c>
      <c r="N419">
        <v>2.31</v>
      </c>
      <c r="O419" t="s">
        <v>15</v>
      </c>
      <c r="P419">
        <v>83</v>
      </c>
      <c r="Q419">
        <v>180</v>
      </c>
      <c r="R419">
        <v>91</v>
      </c>
      <c r="S419">
        <v>41</v>
      </c>
      <c r="T419" t="s">
        <v>50</v>
      </c>
      <c r="U419">
        <f>IF(Cardiac_Table[[#This Row],[Patient Status at Discharge]]="Died", 1,0)</f>
        <v>0</v>
      </c>
      <c r="V419">
        <f>Cardiac_Table[[#This Row],[Risk of Death % (Model 1)]]/100</f>
        <v>4.7599999999999996E-2</v>
      </c>
      <c r="W419">
        <f>Cardiac_Table[[#This Row],[Risk of Death % (Model 2)]]/100</f>
        <v>2.3099999999999999E-2</v>
      </c>
      <c r="X419" s="18">
        <f>Cardiac_Table[[#This Row],[Procedure Start Date and Time]]-Cardiac_Table[[#This Row],[Hospital Admit Date ]]</f>
        <v>1.9173611111109494</v>
      </c>
    </row>
    <row r="420" spans="1:24" x14ac:dyDescent="0.35">
      <c r="A420">
        <v>427</v>
      </c>
      <c r="B420" s="9">
        <v>43983.75</v>
      </c>
      <c r="C420" s="10">
        <f>INT(Cardiac_Table[[#This Row],[Hospital Admit Date ]])</f>
        <v>43983</v>
      </c>
      <c r="D420" s="11" t="str">
        <f t="shared" si="6"/>
        <v>18:00</v>
      </c>
      <c r="E420" s="9">
        <v>43985.354166666664</v>
      </c>
      <c r="F420" s="10">
        <f>INT(Cardiac_Table[[#This Row],[Procedure Start Date and Time]])</f>
        <v>43985</v>
      </c>
      <c r="G420" s="12">
        <f>MOD(Cardiac_Table[[#This Row],[Procedure Start Date and Time]],1)</f>
        <v>0.35416666666424135</v>
      </c>
      <c r="H420">
        <v>5</v>
      </c>
      <c r="I420" t="s">
        <v>4</v>
      </c>
      <c r="J420" t="s">
        <v>3</v>
      </c>
      <c r="K420" t="s">
        <v>28</v>
      </c>
      <c r="L420">
        <v>57</v>
      </c>
      <c r="M420">
        <v>2.08</v>
      </c>
      <c r="N420">
        <v>1.62</v>
      </c>
      <c r="O420" t="s">
        <v>15</v>
      </c>
      <c r="P420">
        <v>110</v>
      </c>
      <c r="Q420">
        <v>155</v>
      </c>
      <c r="R420">
        <v>66</v>
      </c>
      <c r="S420">
        <v>68</v>
      </c>
      <c r="T420" t="s">
        <v>48</v>
      </c>
      <c r="U420">
        <f>IF(Cardiac_Table[[#This Row],[Patient Status at Discharge]]="Died", 1,0)</f>
        <v>0</v>
      </c>
      <c r="V420">
        <f>Cardiac_Table[[#This Row],[Risk of Death % (Model 1)]]/100</f>
        <v>2.0799999999999999E-2</v>
      </c>
      <c r="W420">
        <f>Cardiac_Table[[#This Row],[Risk of Death % (Model 2)]]/100</f>
        <v>1.6200000000000003E-2</v>
      </c>
      <c r="X420" s="18">
        <f>Cardiac_Table[[#This Row],[Procedure Start Date and Time]]-Cardiac_Table[[#This Row],[Hospital Admit Date ]]</f>
        <v>1.6041666666642413</v>
      </c>
    </row>
    <row r="421" spans="1:24" x14ac:dyDescent="0.35">
      <c r="A421">
        <v>428</v>
      </c>
      <c r="B421" s="9">
        <v>43984.583333333336</v>
      </c>
      <c r="C421" s="10">
        <f>INT(Cardiac_Table[[#This Row],[Hospital Admit Date ]])</f>
        <v>43984</v>
      </c>
      <c r="D421" s="11" t="str">
        <f t="shared" si="6"/>
        <v>14:00</v>
      </c>
      <c r="E421" s="9">
        <v>43986.354166666664</v>
      </c>
      <c r="F421" s="10">
        <f>INT(Cardiac_Table[[#This Row],[Procedure Start Date and Time]])</f>
        <v>43986</v>
      </c>
      <c r="G421" s="12">
        <f>MOD(Cardiac_Table[[#This Row],[Procedure Start Date and Time]],1)</f>
        <v>0.35416666666424135</v>
      </c>
      <c r="H421">
        <v>4</v>
      </c>
      <c r="I421" t="s">
        <v>6</v>
      </c>
      <c r="J421" t="s">
        <v>11</v>
      </c>
      <c r="K421" t="s">
        <v>23</v>
      </c>
      <c r="L421">
        <v>56</v>
      </c>
      <c r="M421">
        <v>2.57</v>
      </c>
      <c r="N421">
        <v>1.37</v>
      </c>
      <c r="O421" t="s">
        <v>15</v>
      </c>
      <c r="P421">
        <v>86</v>
      </c>
      <c r="Q421">
        <v>166</v>
      </c>
      <c r="R421">
        <v>87</v>
      </c>
      <c r="S421">
        <v>40</v>
      </c>
      <c r="T421" t="s">
        <v>50</v>
      </c>
      <c r="U421">
        <f>IF(Cardiac_Table[[#This Row],[Patient Status at Discharge]]="Died", 1,0)</f>
        <v>0</v>
      </c>
      <c r="V421">
        <f>Cardiac_Table[[#This Row],[Risk of Death % (Model 1)]]/100</f>
        <v>2.5699999999999997E-2</v>
      </c>
      <c r="W421">
        <f>Cardiac_Table[[#This Row],[Risk of Death % (Model 2)]]/100</f>
        <v>1.37E-2</v>
      </c>
      <c r="X421" s="18">
        <f>Cardiac_Table[[#This Row],[Procedure Start Date and Time]]-Cardiac_Table[[#This Row],[Hospital Admit Date ]]</f>
        <v>1.7708333333284827</v>
      </c>
    </row>
    <row r="422" spans="1:24" x14ac:dyDescent="0.35">
      <c r="A422">
        <v>429</v>
      </c>
      <c r="B422" s="9">
        <v>43986.291666666664</v>
      </c>
      <c r="C422" s="10">
        <f>INT(Cardiac_Table[[#This Row],[Hospital Admit Date ]])</f>
        <v>43986</v>
      </c>
      <c r="D422" s="11" t="str">
        <f t="shared" si="6"/>
        <v>07:00</v>
      </c>
      <c r="E422" s="9">
        <v>43986.371527777781</v>
      </c>
      <c r="F422" s="10">
        <f>INT(Cardiac_Table[[#This Row],[Procedure Start Date and Time]])</f>
        <v>43986</v>
      </c>
      <c r="G422" s="12">
        <f>MOD(Cardiac_Table[[#This Row],[Procedure Start Date and Time]],1)</f>
        <v>0.37152777778101154</v>
      </c>
      <c r="H422">
        <v>5</v>
      </c>
      <c r="I422" t="s">
        <v>4</v>
      </c>
      <c r="J422" t="s">
        <v>11</v>
      </c>
      <c r="K422" t="s">
        <v>29</v>
      </c>
      <c r="L422">
        <v>73</v>
      </c>
      <c r="M422">
        <v>5.98</v>
      </c>
      <c r="N422">
        <v>2.2400000000000002</v>
      </c>
      <c r="O422" t="s">
        <v>15</v>
      </c>
      <c r="P422">
        <v>65</v>
      </c>
      <c r="Q422">
        <v>172</v>
      </c>
      <c r="R422">
        <v>86</v>
      </c>
      <c r="S422">
        <v>55</v>
      </c>
      <c r="T422" t="s">
        <v>48</v>
      </c>
      <c r="U422">
        <f>IF(Cardiac_Table[[#This Row],[Patient Status at Discharge]]="Died", 1,0)</f>
        <v>0</v>
      </c>
      <c r="V422">
        <f>Cardiac_Table[[#This Row],[Risk of Death % (Model 1)]]/100</f>
        <v>5.9800000000000006E-2</v>
      </c>
      <c r="W422">
        <f>Cardiac_Table[[#This Row],[Risk of Death % (Model 2)]]/100</f>
        <v>2.2400000000000003E-2</v>
      </c>
      <c r="X422" s="18">
        <f>Cardiac_Table[[#This Row],[Procedure Start Date and Time]]-Cardiac_Table[[#This Row],[Hospital Admit Date ]]</f>
        <v>7.9861111116770189E-2</v>
      </c>
    </row>
    <row r="423" spans="1:24" x14ac:dyDescent="0.35">
      <c r="A423">
        <v>430</v>
      </c>
      <c r="B423" s="9">
        <v>43986.291666666664</v>
      </c>
      <c r="C423" s="10">
        <f>INT(Cardiac_Table[[#This Row],[Hospital Admit Date ]])</f>
        <v>43986</v>
      </c>
      <c r="D423" s="11" t="str">
        <f t="shared" si="6"/>
        <v>07:00</v>
      </c>
      <c r="E423" s="9">
        <v>43986.604861111111</v>
      </c>
      <c r="F423" s="10">
        <f>INT(Cardiac_Table[[#This Row],[Procedure Start Date and Time]])</f>
        <v>43986</v>
      </c>
      <c r="G423" s="12">
        <f>MOD(Cardiac_Table[[#This Row],[Procedure Start Date and Time]],1)</f>
        <v>0.60486111111094942</v>
      </c>
      <c r="H423">
        <v>4</v>
      </c>
      <c r="I423" t="s">
        <v>4</v>
      </c>
      <c r="J423" t="s">
        <v>10</v>
      </c>
      <c r="K423" t="s">
        <v>23</v>
      </c>
      <c r="L423">
        <v>63</v>
      </c>
      <c r="M423">
        <v>1.73</v>
      </c>
      <c r="N423">
        <v>1.06</v>
      </c>
      <c r="O423" t="s">
        <v>15</v>
      </c>
      <c r="P423">
        <v>95</v>
      </c>
      <c r="Q423">
        <v>176</v>
      </c>
      <c r="R423">
        <v>88</v>
      </c>
      <c r="S423">
        <v>60</v>
      </c>
      <c r="T423" t="s">
        <v>48</v>
      </c>
      <c r="U423">
        <f>IF(Cardiac_Table[[#This Row],[Patient Status at Discharge]]="Died", 1,0)</f>
        <v>0</v>
      </c>
      <c r="V423">
        <f>Cardiac_Table[[#This Row],[Risk of Death % (Model 1)]]/100</f>
        <v>1.7299999999999999E-2</v>
      </c>
      <c r="W423">
        <f>Cardiac_Table[[#This Row],[Risk of Death % (Model 2)]]/100</f>
        <v>1.06E-2</v>
      </c>
      <c r="X423" s="18">
        <f>Cardiac_Table[[#This Row],[Procedure Start Date and Time]]-Cardiac_Table[[#This Row],[Hospital Admit Date ]]</f>
        <v>0.31319444444670808</v>
      </c>
    </row>
    <row r="424" spans="1:24" x14ac:dyDescent="0.35">
      <c r="A424">
        <v>431</v>
      </c>
      <c r="B424" s="9">
        <v>43980.379861111112</v>
      </c>
      <c r="C424" s="10">
        <f>INT(Cardiac_Table[[#This Row],[Hospital Admit Date ]])</f>
        <v>43980</v>
      </c>
      <c r="D424" s="11" t="str">
        <f t="shared" si="6"/>
        <v>09:07</v>
      </c>
      <c r="E424" s="9">
        <v>43987.361111111109</v>
      </c>
      <c r="F424" s="10">
        <f>INT(Cardiac_Table[[#This Row],[Procedure Start Date and Time]])</f>
        <v>43987</v>
      </c>
      <c r="G424" s="12">
        <f>MOD(Cardiac_Table[[#This Row],[Procedure Start Date and Time]],1)</f>
        <v>0.36111111110949423</v>
      </c>
      <c r="H424">
        <v>3</v>
      </c>
      <c r="I424" t="s">
        <v>4</v>
      </c>
      <c r="J424" t="s">
        <v>3</v>
      </c>
      <c r="K424" t="s">
        <v>33</v>
      </c>
      <c r="L424">
        <v>79</v>
      </c>
      <c r="M424">
        <v>7.46</v>
      </c>
      <c r="N424">
        <v>1.07</v>
      </c>
      <c r="O424" t="s">
        <v>15</v>
      </c>
      <c r="P424">
        <v>72</v>
      </c>
      <c r="Q424">
        <v>147</v>
      </c>
      <c r="R424">
        <v>62</v>
      </c>
      <c r="S424">
        <v>46</v>
      </c>
      <c r="T424" t="s">
        <v>50</v>
      </c>
      <c r="U424">
        <f>IF(Cardiac_Table[[#This Row],[Patient Status at Discharge]]="Died", 1,0)</f>
        <v>0</v>
      </c>
      <c r="V424">
        <f>Cardiac_Table[[#This Row],[Risk of Death % (Model 1)]]/100</f>
        <v>7.46E-2</v>
      </c>
      <c r="W424">
        <f>Cardiac_Table[[#This Row],[Risk of Death % (Model 2)]]/100</f>
        <v>1.0700000000000001E-2</v>
      </c>
      <c r="X424" s="18">
        <f>Cardiac_Table[[#This Row],[Procedure Start Date and Time]]-Cardiac_Table[[#This Row],[Hospital Admit Date ]]</f>
        <v>6.9812499999970896</v>
      </c>
    </row>
    <row r="425" spans="1:24" x14ac:dyDescent="0.35">
      <c r="A425">
        <v>432</v>
      </c>
      <c r="B425" s="9">
        <v>43987.802083333336</v>
      </c>
      <c r="C425" s="10">
        <f>INT(Cardiac_Table[[#This Row],[Hospital Admit Date ]])</f>
        <v>43987</v>
      </c>
      <c r="D425" s="11" t="str">
        <f t="shared" si="6"/>
        <v>19:15</v>
      </c>
      <c r="E425" s="9">
        <v>43987.998611111114</v>
      </c>
      <c r="F425" s="10">
        <f>INT(Cardiac_Table[[#This Row],[Procedure Start Date and Time]])</f>
        <v>43987</v>
      </c>
      <c r="G425" s="12">
        <f>MOD(Cardiac_Table[[#This Row],[Procedure Start Date and Time]],1)</f>
        <v>0.99861111111385981</v>
      </c>
      <c r="H425">
        <v>1</v>
      </c>
      <c r="I425" t="s">
        <v>2</v>
      </c>
      <c r="J425" t="s">
        <v>5</v>
      </c>
      <c r="K425" t="s">
        <v>33</v>
      </c>
      <c r="L425">
        <v>61</v>
      </c>
      <c r="M425">
        <v>7.01</v>
      </c>
      <c r="N425">
        <v>4.9800000000000004</v>
      </c>
      <c r="O425" t="s">
        <v>15</v>
      </c>
      <c r="P425">
        <v>95</v>
      </c>
      <c r="Q425">
        <v>160</v>
      </c>
      <c r="R425">
        <v>90</v>
      </c>
      <c r="S425">
        <v>80</v>
      </c>
      <c r="T425" t="s">
        <v>48</v>
      </c>
      <c r="U425">
        <f>IF(Cardiac_Table[[#This Row],[Patient Status at Discharge]]="Died", 1,0)</f>
        <v>0</v>
      </c>
      <c r="V425">
        <f>Cardiac_Table[[#This Row],[Risk of Death % (Model 1)]]/100</f>
        <v>7.0099999999999996E-2</v>
      </c>
      <c r="W425">
        <f>Cardiac_Table[[#This Row],[Risk of Death % (Model 2)]]/100</f>
        <v>4.9800000000000004E-2</v>
      </c>
      <c r="X425" s="18">
        <f>Cardiac_Table[[#This Row],[Procedure Start Date and Time]]-Cardiac_Table[[#This Row],[Hospital Admit Date ]]</f>
        <v>0.19652777777810115</v>
      </c>
    </row>
    <row r="426" spans="1:24" x14ac:dyDescent="0.35">
      <c r="A426">
        <v>433</v>
      </c>
      <c r="B426" s="9">
        <v>43984.624305555553</v>
      </c>
      <c r="C426" s="10">
        <f>INT(Cardiac_Table[[#This Row],[Hospital Admit Date ]])</f>
        <v>43984</v>
      </c>
      <c r="D426" s="11" t="str">
        <f t="shared" si="6"/>
        <v>14:59</v>
      </c>
      <c r="E426" s="9">
        <v>43988.354166666664</v>
      </c>
      <c r="F426" s="10">
        <f>INT(Cardiac_Table[[#This Row],[Procedure Start Date and Time]])</f>
        <v>43988</v>
      </c>
      <c r="G426" s="12">
        <f>MOD(Cardiac_Table[[#This Row],[Procedure Start Date and Time]],1)</f>
        <v>0.35416666666424135</v>
      </c>
      <c r="H426">
        <v>5</v>
      </c>
      <c r="I426" t="s">
        <v>6</v>
      </c>
      <c r="J426" t="s">
        <v>10</v>
      </c>
      <c r="K426" t="s">
        <v>31</v>
      </c>
      <c r="L426">
        <v>67</v>
      </c>
      <c r="M426">
        <v>6.08</v>
      </c>
      <c r="N426">
        <v>3.15</v>
      </c>
      <c r="O426" t="s">
        <v>15</v>
      </c>
      <c r="P426">
        <v>70</v>
      </c>
      <c r="Q426">
        <v>178</v>
      </c>
      <c r="R426">
        <v>80</v>
      </c>
      <c r="S426">
        <v>60</v>
      </c>
      <c r="T426" t="s">
        <v>48</v>
      </c>
      <c r="U426">
        <f>IF(Cardiac_Table[[#This Row],[Patient Status at Discharge]]="Died", 1,0)</f>
        <v>0</v>
      </c>
      <c r="V426">
        <f>Cardiac_Table[[#This Row],[Risk of Death % (Model 1)]]/100</f>
        <v>6.08E-2</v>
      </c>
      <c r="W426">
        <f>Cardiac_Table[[#This Row],[Risk of Death % (Model 2)]]/100</f>
        <v>3.15E-2</v>
      </c>
      <c r="X426" s="18">
        <f>Cardiac_Table[[#This Row],[Procedure Start Date and Time]]-Cardiac_Table[[#This Row],[Hospital Admit Date ]]</f>
        <v>3.7298611111109494</v>
      </c>
    </row>
    <row r="427" spans="1:24" x14ac:dyDescent="0.35">
      <c r="A427">
        <v>434</v>
      </c>
      <c r="B427" s="9">
        <v>43987.65902777778</v>
      </c>
      <c r="C427" s="10">
        <f>INT(Cardiac_Table[[#This Row],[Hospital Admit Date ]])</f>
        <v>43987</v>
      </c>
      <c r="D427" s="11" t="str">
        <f t="shared" si="6"/>
        <v>15:49</v>
      </c>
      <c r="E427" s="9">
        <v>43988.477083333331</v>
      </c>
      <c r="F427" s="10">
        <f>INT(Cardiac_Table[[#This Row],[Procedure Start Date and Time]])</f>
        <v>43988</v>
      </c>
      <c r="G427" s="12">
        <f>MOD(Cardiac_Table[[#This Row],[Procedure Start Date and Time]],1)</f>
        <v>0.47708333333139308</v>
      </c>
      <c r="H427">
        <v>5</v>
      </c>
      <c r="I427" t="s">
        <v>4</v>
      </c>
      <c r="J427" t="s">
        <v>10</v>
      </c>
      <c r="K427" t="s">
        <v>30</v>
      </c>
      <c r="L427">
        <v>77</v>
      </c>
      <c r="M427">
        <v>7.33</v>
      </c>
      <c r="N427">
        <v>2.56</v>
      </c>
      <c r="O427" t="s">
        <v>15</v>
      </c>
      <c r="P427">
        <v>73</v>
      </c>
      <c r="Q427">
        <v>180</v>
      </c>
      <c r="R427">
        <v>93</v>
      </c>
      <c r="S427">
        <v>65</v>
      </c>
      <c r="T427" t="s">
        <v>48</v>
      </c>
      <c r="U427">
        <f>IF(Cardiac_Table[[#This Row],[Patient Status at Discharge]]="Died", 1,0)</f>
        <v>0</v>
      </c>
      <c r="V427">
        <f>Cardiac_Table[[#This Row],[Risk of Death % (Model 1)]]/100</f>
        <v>7.3300000000000004E-2</v>
      </c>
      <c r="W427">
        <f>Cardiac_Table[[#This Row],[Risk of Death % (Model 2)]]/100</f>
        <v>2.5600000000000001E-2</v>
      </c>
      <c r="X427" s="18">
        <f>Cardiac_Table[[#This Row],[Procedure Start Date and Time]]-Cardiac_Table[[#This Row],[Hospital Admit Date ]]</f>
        <v>0.81805555555183673</v>
      </c>
    </row>
    <row r="428" spans="1:24" x14ac:dyDescent="0.35">
      <c r="A428">
        <v>435</v>
      </c>
      <c r="B428" s="9">
        <v>43979.458333333336</v>
      </c>
      <c r="C428" s="10">
        <f>INT(Cardiac_Table[[#This Row],[Hospital Admit Date ]])</f>
        <v>43979</v>
      </c>
      <c r="D428" s="11" t="str">
        <f t="shared" si="6"/>
        <v>11:00</v>
      </c>
      <c r="E428" s="9">
        <v>43990.35833333333</v>
      </c>
      <c r="F428" s="10">
        <f>INT(Cardiac_Table[[#This Row],[Procedure Start Date and Time]])</f>
        <v>43990</v>
      </c>
      <c r="G428" s="12">
        <f>MOD(Cardiac_Table[[#This Row],[Procedure Start Date and Time]],1)</f>
        <v>0.35833333332993789</v>
      </c>
      <c r="H428">
        <v>4</v>
      </c>
      <c r="I428" t="s">
        <v>6</v>
      </c>
      <c r="J428" t="s">
        <v>5</v>
      </c>
      <c r="K428" t="s">
        <v>33</v>
      </c>
      <c r="L428">
        <v>71</v>
      </c>
      <c r="M428">
        <v>11.8</v>
      </c>
      <c r="N428">
        <v>5.58</v>
      </c>
      <c r="O428" t="s">
        <v>13</v>
      </c>
      <c r="P428">
        <v>70</v>
      </c>
      <c r="Q428">
        <v>185</v>
      </c>
      <c r="R428">
        <v>101</v>
      </c>
      <c r="S428">
        <v>62</v>
      </c>
      <c r="T428" t="s">
        <v>48</v>
      </c>
      <c r="U428">
        <f>IF(Cardiac_Table[[#This Row],[Patient Status at Discharge]]="Died", 1,0)</f>
        <v>1</v>
      </c>
      <c r="V428">
        <f>Cardiac_Table[[#This Row],[Risk of Death % (Model 1)]]/100</f>
        <v>0.11800000000000001</v>
      </c>
      <c r="W428">
        <f>Cardiac_Table[[#This Row],[Risk of Death % (Model 2)]]/100</f>
        <v>5.5800000000000002E-2</v>
      </c>
      <c r="X428" s="18">
        <f>Cardiac_Table[[#This Row],[Procedure Start Date and Time]]-Cardiac_Table[[#This Row],[Hospital Admit Date ]]</f>
        <v>10.899999999994179</v>
      </c>
    </row>
    <row r="429" spans="1:24" x14ac:dyDescent="0.35">
      <c r="A429">
        <v>436</v>
      </c>
      <c r="B429" s="9">
        <v>43988.458333333336</v>
      </c>
      <c r="C429" s="10">
        <f>INT(Cardiac_Table[[#This Row],[Hospital Admit Date ]])</f>
        <v>43988</v>
      </c>
      <c r="D429" s="11" t="str">
        <f t="shared" si="6"/>
        <v>11:00</v>
      </c>
      <c r="E429" s="9">
        <v>43990.429861111108</v>
      </c>
      <c r="F429" s="10">
        <f>INT(Cardiac_Table[[#This Row],[Procedure Start Date and Time]])</f>
        <v>43990</v>
      </c>
      <c r="G429" s="12">
        <f>MOD(Cardiac_Table[[#This Row],[Procedure Start Date and Time]],1)</f>
        <v>0.42986111110803904</v>
      </c>
      <c r="H429">
        <v>5</v>
      </c>
      <c r="I429" t="s">
        <v>6</v>
      </c>
      <c r="J429" t="s">
        <v>11</v>
      </c>
      <c r="K429" t="s">
        <v>29</v>
      </c>
      <c r="L429">
        <v>71</v>
      </c>
      <c r="M429">
        <v>3.29</v>
      </c>
      <c r="N429">
        <v>1.61</v>
      </c>
      <c r="O429" t="s">
        <v>15</v>
      </c>
      <c r="P429">
        <v>93</v>
      </c>
      <c r="Q429">
        <v>174</v>
      </c>
      <c r="R429">
        <v>78</v>
      </c>
      <c r="S429">
        <v>60</v>
      </c>
      <c r="T429" t="s">
        <v>48</v>
      </c>
      <c r="U429">
        <f>IF(Cardiac_Table[[#This Row],[Patient Status at Discharge]]="Died", 1,0)</f>
        <v>0</v>
      </c>
      <c r="V429">
        <f>Cardiac_Table[[#This Row],[Risk of Death % (Model 1)]]/100</f>
        <v>3.2899999999999999E-2</v>
      </c>
      <c r="W429">
        <f>Cardiac_Table[[#This Row],[Risk of Death % (Model 2)]]/100</f>
        <v>1.61E-2</v>
      </c>
      <c r="X429" s="18">
        <f>Cardiac_Table[[#This Row],[Procedure Start Date and Time]]-Cardiac_Table[[#This Row],[Hospital Admit Date ]]</f>
        <v>1.9715277777722804</v>
      </c>
    </row>
    <row r="430" spans="1:24" x14ac:dyDescent="0.35">
      <c r="A430">
        <v>437</v>
      </c>
      <c r="B430" s="9">
        <v>43990.291666666664</v>
      </c>
      <c r="C430" s="10">
        <f>INT(Cardiac_Table[[#This Row],[Hospital Admit Date ]])</f>
        <v>43990</v>
      </c>
      <c r="D430" s="11" t="str">
        <f t="shared" si="6"/>
        <v>07:00</v>
      </c>
      <c r="E430" s="9">
        <v>43990.60833333333</v>
      </c>
      <c r="F430" s="10">
        <f>INT(Cardiac_Table[[#This Row],[Procedure Start Date and Time]])</f>
        <v>43990</v>
      </c>
      <c r="G430" s="12">
        <f>MOD(Cardiac_Table[[#This Row],[Procedure Start Date and Time]],1)</f>
        <v>0.60833333332993789</v>
      </c>
      <c r="H430">
        <v>6</v>
      </c>
      <c r="I430" t="s">
        <v>4</v>
      </c>
      <c r="J430" t="s">
        <v>10</v>
      </c>
      <c r="K430" t="s">
        <v>33</v>
      </c>
      <c r="L430">
        <v>76</v>
      </c>
      <c r="M430">
        <v>5.05</v>
      </c>
      <c r="N430">
        <v>1.49</v>
      </c>
      <c r="O430" t="s">
        <v>15</v>
      </c>
      <c r="P430">
        <v>91</v>
      </c>
      <c r="Q430">
        <v>166</v>
      </c>
      <c r="R430">
        <v>78</v>
      </c>
      <c r="S430">
        <v>60</v>
      </c>
      <c r="T430" t="s">
        <v>48</v>
      </c>
      <c r="U430">
        <f>IF(Cardiac_Table[[#This Row],[Patient Status at Discharge]]="Died", 1,0)</f>
        <v>0</v>
      </c>
      <c r="V430">
        <f>Cardiac_Table[[#This Row],[Risk of Death % (Model 1)]]/100</f>
        <v>5.0499999999999996E-2</v>
      </c>
      <c r="W430">
        <f>Cardiac_Table[[#This Row],[Risk of Death % (Model 2)]]/100</f>
        <v>1.49E-2</v>
      </c>
      <c r="X430" s="18">
        <f>Cardiac_Table[[#This Row],[Procedure Start Date and Time]]-Cardiac_Table[[#This Row],[Hospital Admit Date ]]</f>
        <v>0.31666666666569654</v>
      </c>
    </row>
    <row r="431" spans="1:24" x14ac:dyDescent="0.35">
      <c r="A431">
        <v>438</v>
      </c>
      <c r="B431" s="9">
        <v>43990.663194444445</v>
      </c>
      <c r="C431" s="10">
        <f>INT(Cardiac_Table[[#This Row],[Hospital Admit Date ]])</f>
        <v>43990</v>
      </c>
      <c r="D431" s="11" t="str">
        <f t="shared" si="6"/>
        <v>15:55</v>
      </c>
      <c r="E431" s="9">
        <v>43991.347222222219</v>
      </c>
      <c r="F431" s="10">
        <f>INT(Cardiac_Table[[#This Row],[Procedure Start Date and Time]])</f>
        <v>43991</v>
      </c>
      <c r="G431" s="12">
        <f>MOD(Cardiac_Table[[#This Row],[Procedure Start Date and Time]],1)</f>
        <v>0.34722222221898846</v>
      </c>
      <c r="H431">
        <v>5</v>
      </c>
      <c r="I431" t="s">
        <v>4</v>
      </c>
      <c r="J431" t="s">
        <v>10</v>
      </c>
      <c r="K431" t="s">
        <v>26</v>
      </c>
      <c r="L431">
        <v>77</v>
      </c>
      <c r="M431">
        <v>4.29</v>
      </c>
      <c r="N431">
        <v>1.49</v>
      </c>
      <c r="O431" t="s">
        <v>15</v>
      </c>
      <c r="P431">
        <v>78</v>
      </c>
      <c r="Q431">
        <v>169</v>
      </c>
      <c r="R431">
        <v>82</v>
      </c>
      <c r="S431">
        <v>45</v>
      </c>
      <c r="T431" t="s">
        <v>50</v>
      </c>
      <c r="U431">
        <f>IF(Cardiac_Table[[#This Row],[Patient Status at Discharge]]="Died", 1,0)</f>
        <v>0</v>
      </c>
      <c r="V431">
        <f>Cardiac_Table[[#This Row],[Risk of Death % (Model 1)]]/100</f>
        <v>4.2900000000000001E-2</v>
      </c>
      <c r="W431">
        <f>Cardiac_Table[[#This Row],[Risk of Death % (Model 2)]]/100</f>
        <v>1.49E-2</v>
      </c>
      <c r="X431" s="18">
        <f>Cardiac_Table[[#This Row],[Procedure Start Date and Time]]-Cardiac_Table[[#This Row],[Hospital Admit Date ]]</f>
        <v>0.68402777777373558</v>
      </c>
    </row>
    <row r="432" spans="1:24" x14ac:dyDescent="0.35">
      <c r="A432">
        <v>439</v>
      </c>
      <c r="B432" s="9">
        <v>43979.751388888886</v>
      </c>
      <c r="C432" s="10">
        <f>INT(Cardiac_Table[[#This Row],[Hospital Admit Date ]])</f>
        <v>43979</v>
      </c>
      <c r="D432" s="11" t="str">
        <f t="shared" si="6"/>
        <v>18:02</v>
      </c>
      <c r="E432" s="9">
        <v>43991.347222222219</v>
      </c>
      <c r="F432" s="10">
        <f>INT(Cardiac_Table[[#This Row],[Procedure Start Date and Time]])</f>
        <v>43991</v>
      </c>
      <c r="G432" s="12">
        <f>MOD(Cardiac_Table[[#This Row],[Procedure Start Date and Time]],1)</f>
        <v>0.34722222221898846</v>
      </c>
      <c r="H432">
        <v>4</v>
      </c>
      <c r="I432" t="s">
        <v>6</v>
      </c>
      <c r="J432" t="s">
        <v>3</v>
      </c>
      <c r="K432" t="s">
        <v>27</v>
      </c>
      <c r="L432">
        <v>57</v>
      </c>
      <c r="M432">
        <v>3.54</v>
      </c>
      <c r="N432">
        <v>1.26</v>
      </c>
      <c r="O432" t="s">
        <v>15</v>
      </c>
      <c r="P432">
        <v>110</v>
      </c>
      <c r="Q432">
        <v>157</v>
      </c>
      <c r="R432">
        <v>64</v>
      </c>
      <c r="S432">
        <v>65</v>
      </c>
      <c r="T432" t="s">
        <v>48</v>
      </c>
      <c r="U432">
        <f>IF(Cardiac_Table[[#This Row],[Patient Status at Discharge]]="Died", 1,0)</f>
        <v>0</v>
      </c>
      <c r="V432">
        <f>Cardiac_Table[[#This Row],[Risk of Death % (Model 1)]]/100</f>
        <v>3.5400000000000001E-2</v>
      </c>
      <c r="W432">
        <f>Cardiac_Table[[#This Row],[Risk of Death % (Model 2)]]/100</f>
        <v>1.26E-2</v>
      </c>
      <c r="X432" s="18">
        <f>Cardiac_Table[[#This Row],[Procedure Start Date and Time]]-Cardiac_Table[[#This Row],[Hospital Admit Date ]]</f>
        <v>11.595833333332848</v>
      </c>
    </row>
    <row r="433" spans="1:24" x14ac:dyDescent="0.35">
      <c r="A433">
        <v>440</v>
      </c>
      <c r="B433" s="9">
        <v>43991.291666666664</v>
      </c>
      <c r="C433" s="10">
        <f>INT(Cardiac_Table[[#This Row],[Hospital Admit Date ]])</f>
        <v>43991</v>
      </c>
      <c r="D433" s="11" t="str">
        <f t="shared" si="6"/>
        <v>07:00</v>
      </c>
      <c r="E433" s="9">
        <v>43991.6</v>
      </c>
      <c r="F433" s="10">
        <f>INT(Cardiac_Table[[#This Row],[Procedure Start Date and Time]])</f>
        <v>43991</v>
      </c>
      <c r="G433" s="12">
        <f>MOD(Cardiac_Table[[#This Row],[Procedure Start Date and Time]],1)</f>
        <v>0.59999999999854481</v>
      </c>
      <c r="H433">
        <v>5</v>
      </c>
      <c r="I433" t="s">
        <v>4</v>
      </c>
      <c r="J433" t="s">
        <v>3</v>
      </c>
      <c r="K433" t="s">
        <v>26</v>
      </c>
      <c r="L433">
        <v>65</v>
      </c>
      <c r="M433">
        <v>5.76</v>
      </c>
      <c r="N433">
        <v>1.64</v>
      </c>
      <c r="O433" t="s">
        <v>15</v>
      </c>
      <c r="P433">
        <v>83</v>
      </c>
      <c r="Q433">
        <v>158</v>
      </c>
      <c r="R433">
        <v>48</v>
      </c>
      <c r="S433">
        <v>65</v>
      </c>
      <c r="T433" t="s">
        <v>48</v>
      </c>
      <c r="U433">
        <f>IF(Cardiac_Table[[#This Row],[Patient Status at Discharge]]="Died", 1,0)</f>
        <v>0</v>
      </c>
      <c r="V433">
        <f>Cardiac_Table[[#This Row],[Risk of Death % (Model 1)]]/100</f>
        <v>5.7599999999999998E-2</v>
      </c>
      <c r="W433">
        <f>Cardiac_Table[[#This Row],[Risk of Death % (Model 2)]]/100</f>
        <v>1.6399999999999998E-2</v>
      </c>
      <c r="X433" s="18">
        <f>Cardiac_Table[[#This Row],[Procedure Start Date and Time]]-Cardiac_Table[[#This Row],[Hospital Admit Date ]]</f>
        <v>0.30833333333430346</v>
      </c>
    </row>
    <row r="434" spans="1:24" x14ac:dyDescent="0.35">
      <c r="A434">
        <v>441</v>
      </c>
      <c r="B434" s="9">
        <v>43991.291666666664</v>
      </c>
      <c r="C434" s="10">
        <f>INT(Cardiac_Table[[#This Row],[Hospital Admit Date ]])</f>
        <v>43991</v>
      </c>
      <c r="D434" s="11" t="str">
        <f t="shared" si="6"/>
        <v>07:00</v>
      </c>
      <c r="E434" s="9">
        <v>43991.675694444442</v>
      </c>
      <c r="F434" s="10">
        <f>INT(Cardiac_Table[[#This Row],[Procedure Start Date and Time]])</f>
        <v>43991</v>
      </c>
      <c r="G434" s="12">
        <f>MOD(Cardiac_Table[[#This Row],[Procedure Start Date and Time]],1)</f>
        <v>0.6756944444423425</v>
      </c>
      <c r="H434">
        <v>4</v>
      </c>
      <c r="I434" t="s">
        <v>4</v>
      </c>
      <c r="J434" t="s">
        <v>3</v>
      </c>
      <c r="K434" t="s">
        <v>27</v>
      </c>
      <c r="L434">
        <v>45</v>
      </c>
      <c r="M434">
        <v>1.51</v>
      </c>
      <c r="N434">
        <v>0.5</v>
      </c>
      <c r="O434" t="s">
        <v>15</v>
      </c>
      <c r="P434">
        <v>61</v>
      </c>
      <c r="Q434">
        <v>184</v>
      </c>
      <c r="R434">
        <v>111</v>
      </c>
      <c r="S434">
        <v>29</v>
      </c>
      <c r="T434" t="s">
        <v>49</v>
      </c>
      <c r="U434">
        <f>IF(Cardiac_Table[[#This Row],[Patient Status at Discharge]]="Died", 1,0)</f>
        <v>0</v>
      </c>
      <c r="V434">
        <f>Cardiac_Table[[#This Row],[Risk of Death % (Model 1)]]/100</f>
        <v>1.5100000000000001E-2</v>
      </c>
      <c r="W434">
        <f>Cardiac_Table[[#This Row],[Risk of Death % (Model 2)]]/100</f>
        <v>5.0000000000000001E-3</v>
      </c>
      <c r="X434" s="18">
        <f>Cardiac_Table[[#This Row],[Procedure Start Date and Time]]-Cardiac_Table[[#This Row],[Hospital Admit Date ]]</f>
        <v>0.38402777777810115</v>
      </c>
    </row>
    <row r="435" spans="1:24" x14ac:dyDescent="0.35">
      <c r="A435">
        <v>442</v>
      </c>
      <c r="B435" s="9">
        <v>43992.291666666664</v>
      </c>
      <c r="C435" s="10">
        <f>INT(Cardiac_Table[[#This Row],[Hospital Admit Date ]])</f>
        <v>43992</v>
      </c>
      <c r="D435" s="11" t="str">
        <f t="shared" si="6"/>
        <v>07:00</v>
      </c>
      <c r="E435" s="9">
        <v>43992.385416666664</v>
      </c>
      <c r="F435" s="10">
        <f>INT(Cardiac_Table[[#This Row],[Procedure Start Date and Time]])</f>
        <v>43992</v>
      </c>
      <c r="G435" s="12">
        <f>MOD(Cardiac_Table[[#This Row],[Procedure Start Date and Time]],1)</f>
        <v>0.38541666666424135</v>
      </c>
      <c r="H435">
        <v>5</v>
      </c>
      <c r="I435" t="s">
        <v>4</v>
      </c>
      <c r="J435" t="s">
        <v>10</v>
      </c>
      <c r="K435" t="s">
        <v>31</v>
      </c>
      <c r="L435">
        <v>63</v>
      </c>
      <c r="M435">
        <v>1.1499999999999999</v>
      </c>
      <c r="N435">
        <v>0.61</v>
      </c>
      <c r="O435" t="s">
        <v>15</v>
      </c>
      <c r="P435">
        <v>91</v>
      </c>
      <c r="Q435">
        <v>157</v>
      </c>
      <c r="R435">
        <v>51</v>
      </c>
      <c r="S435">
        <v>55</v>
      </c>
      <c r="T435" t="s">
        <v>48</v>
      </c>
      <c r="U435">
        <f>IF(Cardiac_Table[[#This Row],[Patient Status at Discharge]]="Died", 1,0)</f>
        <v>0</v>
      </c>
      <c r="V435">
        <f>Cardiac_Table[[#This Row],[Risk of Death % (Model 1)]]/100</f>
        <v>1.15E-2</v>
      </c>
      <c r="W435">
        <f>Cardiac_Table[[#This Row],[Risk of Death % (Model 2)]]/100</f>
        <v>6.0999999999999995E-3</v>
      </c>
      <c r="X435" s="18">
        <f>Cardiac_Table[[#This Row],[Procedure Start Date and Time]]-Cardiac_Table[[#This Row],[Hospital Admit Date ]]</f>
        <v>9.375E-2</v>
      </c>
    </row>
    <row r="436" spans="1:24" x14ac:dyDescent="0.35">
      <c r="A436">
        <v>443</v>
      </c>
      <c r="B436" s="9">
        <v>43988.572222222225</v>
      </c>
      <c r="C436" s="10">
        <f>INT(Cardiac_Table[[#This Row],[Hospital Admit Date ]])</f>
        <v>43988</v>
      </c>
      <c r="D436" s="11" t="str">
        <f t="shared" si="6"/>
        <v>13:44</v>
      </c>
      <c r="E436" s="9">
        <v>43992.670138888891</v>
      </c>
      <c r="F436" s="10">
        <f>INT(Cardiac_Table[[#This Row],[Procedure Start Date and Time]])</f>
        <v>43992</v>
      </c>
      <c r="G436" s="12">
        <f>MOD(Cardiac_Table[[#This Row],[Procedure Start Date and Time]],1)</f>
        <v>0.67013888889050577</v>
      </c>
      <c r="H436">
        <v>6</v>
      </c>
      <c r="I436" t="s">
        <v>6</v>
      </c>
      <c r="J436" t="s">
        <v>10</v>
      </c>
      <c r="K436" t="s">
        <v>31</v>
      </c>
      <c r="L436">
        <v>71</v>
      </c>
      <c r="M436">
        <v>1.94</v>
      </c>
      <c r="N436">
        <v>1.41</v>
      </c>
      <c r="O436" t="s">
        <v>15</v>
      </c>
      <c r="P436">
        <v>62</v>
      </c>
      <c r="Q436">
        <v>166</v>
      </c>
      <c r="R436">
        <v>72</v>
      </c>
      <c r="S436">
        <v>65</v>
      </c>
      <c r="T436" t="s">
        <v>48</v>
      </c>
      <c r="U436">
        <f>IF(Cardiac_Table[[#This Row],[Patient Status at Discharge]]="Died", 1,0)</f>
        <v>0</v>
      </c>
      <c r="V436">
        <f>Cardiac_Table[[#This Row],[Risk of Death % (Model 1)]]/100</f>
        <v>1.9400000000000001E-2</v>
      </c>
      <c r="W436">
        <f>Cardiac_Table[[#This Row],[Risk of Death % (Model 2)]]/100</f>
        <v>1.41E-2</v>
      </c>
      <c r="X436" s="18">
        <f>Cardiac_Table[[#This Row],[Procedure Start Date and Time]]-Cardiac_Table[[#This Row],[Hospital Admit Date ]]</f>
        <v>4.0979166666656965</v>
      </c>
    </row>
    <row r="437" spans="1:24" x14ac:dyDescent="0.35">
      <c r="A437">
        <v>444</v>
      </c>
      <c r="B437" s="9">
        <v>43986.416666666664</v>
      </c>
      <c r="C437" s="10">
        <f>INT(Cardiac_Table[[#This Row],[Hospital Admit Date ]])</f>
        <v>43986</v>
      </c>
      <c r="D437" s="11" t="str">
        <f t="shared" si="6"/>
        <v>10:00</v>
      </c>
      <c r="E437" s="9">
        <v>43993.345138888886</v>
      </c>
      <c r="F437" s="10">
        <f>INT(Cardiac_Table[[#This Row],[Procedure Start Date and Time]])</f>
        <v>43993</v>
      </c>
      <c r="G437" s="12">
        <f>MOD(Cardiac_Table[[#This Row],[Procedure Start Date and Time]],1)</f>
        <v>0.34513888888614019</v>
      </c>
      <c r="H437">
        <v>5</v>
      </c>
      <c r="I437" t="s">
        <v>6</v>
      </c>
      <c r="J437" t="s">
        <v>10</v>
      </c>
      <c r="K437" t="s">
        <v>32</v>
      </c>
      <c r="L437">
        <v>80</v>
      </c>
      <c r="M437">
        <v>13.41</v>
      </c>
      <c r="N437">
        <v>3.44</v>
      </c>
      <c r="O437" t="s">
        <v>15</v>
      </c>
      <c r="P437">
        <v>61</v>
      </c>
      <c r="Q437">
        <v>150</v>
      </c>
      <c r="R437">
        <v>76</v>
      </c>
      <c r="S437">
        <v>54</v>
      </c>
      <c r="T437" t="s">
        <v>48</v>
      </c>
      <c r="U437">
        <f>IF(Cardiac_Table[[#This Row],[Patient Status at Discharge]]="Died", 1,0)</f>
        <v>0</v>
      </c>
      <c r="V437">
        <f>Cardiac_Table[[#This Row],[Risk of Death % (Model 1)]]/100</f>
        <v>0.1341</v>
      </c>
      <c r="W437">
        <f>Cardiac_Table[[#This Row],[Risk of Death % (Model 2)]]/100</f>
        <v>3.44E-2</v>
      </c>
      <c r="X437" s="18">
        <f>Cardiac_Table[[#This Row],[Procedure Start Date and Time]]-Cardiac_Table[[#This Row],[Hospital Admit Date ]]</f>
        <v>6.9284722222218988</v>
      </c>
    </row>
    <row r="438" spans="1:24" x14ac:dyDescent="0.35">
      <c r="A438">
        <v>445</v>
      </c>
      <c r="B438" s="9">
        <v>43992.532638888886</v>
      </c>
      <c r="C438" s="10">
        <f>INT(Cardiac_Table[[#This Row],[Hospital Admit Date ]])</f>
        <v>43992</v>
      </c>
      <c r="D438" s="11" t="str">
        <f t="shared" si="6"/>
        <v>12:47</v>
      </c>
      <c r="E438" s="9">
        <v>43993.350694444445</v>
      </c>
      <c r="F438" s="10">
        <f>INT(Cardiac_Table[[#This Row],[Procedure Start Date and Time]])</f>
        <v>43993</v>
      </c>
      <c r="G438" s="12">
        <f>MOD(Cardiac_Table[[#This Row],[Procedure Start Date and Time]],1)</f>
        <v>0.35069444444525288</v>
      </c>
      <c r="H438">
        <v>4</v>
      </c>
      <c r="I438" t="s">
        <v>4</v>
      </c>
      <c r="J438" t="s">
        <v>11</v>
      </c>
      <c r="K438" t="s">
        <v>23</v>
      </c>
      <c r="L438">
        <v>75</v>
      </c>
      <c r="M438">
        <v>5.82</v>
      </c>
      <c r="N438">
        <v>1.64</v>
      </c>
      <c r="O438" t="s">
        <v>15</v>
      </c>
      <c r="P438">
        <v>66</v>
      </c>
      <c r="Q438">
        <v>172</v>
      </c>
      <c r="R438">
        <v>79</v>
      </c>
      <c r="S438">
        <v>40</v>
      </c>
      <c r="T438" t="s">
        <v>50</v>
      </c>
      <c r="U438">
        <f>IF(Cardiac_Table[[#This Row],[Patient Status at Discharge]]="Died", 1,0)</f>
        <v>0</v>
      </c>
      <c r="V438">
        <f>Cardiac_Table[[#This Row],[Risk of Death % (Model 1)]]/100</f>
        <v>5.8200000000000002E-2</v>
      </c>
      <c r="W438">
        <f>Cardiac_Table[[#This Row],[Risk of Death % (Model 2)]]/100</f>
        <v>1.6399999999999998E-2</v>
      </c>
      <c r="X438" s="18">
        <f>Cardiac_Table[[#This Row],[Procedure Start Date and Time]]-Cardiac_Table[[#This Row],[Hospital Admit Date ]]</f>
        <v>0.81805555555911269</v>
      </c>
    </row>
    <row r="439" spans="1:24" x14ac:dyDescent="0.35">
      <c r="A439">
        <v>446</v>
      </c>
      <c r="B439" s="9">
        <v>43990.548611111109</v>
      </c>
      <c r="C439" s="10">
        <f>INT(Cardiac_Table[[#This Row],[Hospital Admit Date ]])</f>
        <v>43990</v>
      </c>
      <c r="D439" s="11" t="str">
        <f t="shared" si="6"/>
        <v>13:10</v>
      </c>
      <c r="E439" s="9">
        <v>43993.540277777778</v>
      </c>
      <c r="F439" s="10">
        <f>INT(Cardiac_Table[[#This Row],[Procedure Start Date and Time]])</f>
        <v>43993</v>
      </c>
      <c r="G439" s="12">
        <f>MOD(Cardiac_Table[[#This Row],[Procedure Start Date and Time]],1)</f>
        <v>0.54027777777810115</v>
      </c>
      <c r="H439">
        <v>5</v>
      </c>
      <c r="I439" t="s">
        <v>6</v>
      </c>
      <c r="J439" t="s">
        <v>3</v>
      </c>
      <c r="K439" t="s">
        <v>32</v>
      </c>
      <c r="L439">
        <v>84</v>
      </c>
      <c r="M439">
        <v>65.349999999999994</v>
      </c>
      <c r="N439">
        <v>52.94</v>
      </c>
      <c r="O439" t="s">
        <v>15</v>
      </c>
      <c r="P439">
        <v>84</v>
      </c>
      <c r="Q439">
        <v>182</v>
      </c>
      <c r="R439">
        <v>96</v>
      </c>
      <c r="S439">
        <v>55</v>
      </c>
      <c r="T439" t="s">
        <v>48</v>
      </c>
      <c r="U439">
        <f>IF(Cardiac_Table[[#This Row],[Patient Status at Discharge]]="Died", 1,0)</f>
        <v>0</v>
      </c>
      <c r="V439">
        <f>Cardiac_Table[[#This Row],[Risk of Death % (Model 1)]]/100</f>
        <v>0.65349999999999997</v>
      </c>
      <c r="W439">
        <f>Cardiac_Table[[#This Row],[Risk of Death % (Model 2)]]/100</f>
        <v>0.52939999999999998</v>
      </c>
      <c r="X439" s="18">
        <f>Cardiac_Table[[#This Row],[Procedure Start Date and Time]]-Cardiac_Table[[#This Row],[Hospital Admit Date ]]</f>
        <v>2.9916666666686069</v>
      </c>
    </row>
    <row r="440" spans="1:24" x14ac:dyDescent="0.35">
      <c r="A440">
        <v>447</v>
      </c>
      <c r="B440" s="9">
        <v>43993.291666666664</v>
      </c>
      <c r="C440" s="10">
        <f>INT(Cardiac_Table[[#This Row],[Hospital Admit Date ]])</f>
        <v>43993</v>
      </c>
      <c r="D440" s="11" t="str">
        <f t="shared" si="6"/>
        <v>07:00</v>
      </c>
      <c r="E440" s="9">
        <v>43993.586111111108</v>
      </c>
      <c r="F440" s="10">
        <f>INT(Cardiac_Table[[#This Row],[Procedure Start Date and Time]])</f>
        <v>43993</v>
      </c>
      <c r="G440" s="12">
        <f>MOD(Cardiac_Table[[#This Row],[Procedure Start Date and Time]],1)</f>
        <v>0.58611111110803904</v>
      </c>
      <c r="H440">
        <v>4</v>
      </c>
      <c r="I440" t="s">
        <v>4</v>
      </c>
      <c r="J440" t="s">
        <v>5</v>
      </c>
      <c r="K440" t="s">
        <v>23</v>
      </c>
      <c r="L440">
        <v>50</v>
      </c>
      <c r="M440">
        <v>2.08</v>
      </c>
      <c r="N440">
        <v>1.07</v>
      </c>
      <c r="O440" t="s">
        <v>15</v>
      </c>
      <c r="P440">
        <v>76</v>
      </c>
      <c r="Q440">
        <v>177</v>
      </c>
      <c r="R440">
        <v>72</v>
      </c>
      <c r="S440">
        <v>35</v>
      </c>
      <c r="T440" t="s">
        <v>50</v>
      </c>
      <c r="U440">
        <f>IF(Cardiac_Table[[#This Row],[Patient Status at Discharge]]="Died", 1,0)</f>
        <v>0</v>
      </c>
      <c r="V440">
        <f>Cardiac_Table[[#This Row],[Risk of Death % (Model 1)]]/100</f>
        <v>2.0799999999999999E-2</v>
      </c>
      <c r="W440">
        <f>Cardiac_Table[[#This Row],[Risk of Death % (Model 2)]]/100</f>
        <v>1.0700000000000001E-2</v>
      </c>
      <c r="X440" s="18">
        <f>Cardiac_Table[[#This Row],[Procedure Start Date and Time]]-Cardiac_Table[[#This Row],[Hospital Admit Date ]]</f>
        <v>0.29444444444379769</v>
      </c>
    </row>
    <row r="441" spans="1:24" x14ac:dyDescent="0.35">
      <c r="A441">
        <v>448</v>
      </c>
      <c r="B441" s="9">
        <v>43991.458333333336</v>
      </c>
      <c r="C441" s="10">
        <f>INT(Cardiac_Table[[#This Row],[Hospital Admit Date ]])</f>
        <v>43991</v>
      </c>
      <c r="D441" s="11" t="str">
        <f t="shared" si="6"/>
        <v>11:00</v>
      </c>
      <c r="E441" s="9">
        <v>43994.354166666664</v>
      </c>
      <c r="F441" s="10">
        <f>INT(Cardiac_Table[[#This Row],[Procedure Start Date and Time]])</f>
        <v>43994</v>
      </c>
      <c r="G441" s="12">
        <f>MOD(Cardiac_Table[[#This Row],[Procedure Start Date and Time]],1)</f>
        <v>0.35416666666424135</v>
      </c>
      <c r="H441">
        <v>4</v>
      </c>
      <c r="I441" t="s">
        <v>6</v>
      </c>
      <c r="J441" t="s">
        <v>10</v>
      </c>
      <c r="K441" t="s">
        <v>30</v>
      </c>
      <c r="L441">
        <v>68</v>
      </c>
      <c r="M441">
        <v>23.62</v>
      </c>
      <c r="N441">
        <v>11.13</v>
      </c>
      <c r="O441" t="s">
        <v>15</v>
      </c>
      <c r="P441">
        <v>93</v>
      </c>
      <c r="Q441">
        <v>161</v>
      </c>
      <c r="R441">
        <v>64</v>
      </c>
      <c r="S441">
        <v>68</v>
      </c>
      <c r="T441" t="s">
        <v>48</v>
      </c>
      <c r="U441">
        <f>IF(Cardiac_Table[[#This Row],[Patient Status at Discharge]]="Died", 1,0)</f>
        <v>0</v>
      </c>
      <c r="V441">
        <f>Cardiac_Table[[#This Row],[Risk of Death % (Model 1)]]/100</f>
        <v>0.23620000000000002</v>
      </c>
      <c r="W441">
        <f>Cardiac_Table[[#This Row],[Risk of Death % (Model 2)]]/100</f>
        <v>0.11130000000000001</v>
      </c>
      <c r="X441" s="18">
        <f>Cardiac_Table[[#This Row],[Procedure Start Date and Time]]-Cardiac_Table[[#This Row],[Hospital Admit Date ]]</f>
        <v>2.8958333333284827</v>
      </c>
    </row>
    <row r="442" spans="1:24" x14ac:dyDescent="0.35">
      <c r="A442">
        <v>449</v>
      </c>
      <c r="B442" s="9">
        <v>43994.291666666664</v>
      </c>
      <c r="C442" s="10">
        <f>INT(Cardiac_Table[[#This Row],[Hospital Admit Date ]])</f>
        <v>43994</v>
      </c>
      <c r="D442" s="11" t="str">
        <f t="shared" si="6"/>
        <v>07:00</v>
      </c>
      <c r="E442" s="9">
        <v>43994.401388888888</v>
      </c>
      <c r="F442" s="10">
        <f>INT(Cardiac_Table[[#This Row],[Procedure Start Date and Time]])</f>
        <v>43994</v>
      </c>
      <c r="G442" s="12">
        <f>MOD(Cardiac_Table[[#This Row],[Procedure Start Date and Time]],1)</f>
        <v>0.40138888888759539</v>
      </c>
      <c r="H442">
        <v>5</v>
      </c>
      <c r="I442" t="s">
        <v>4</v>
      </c>
      <c r="J442" t="s">
        <v>3</v>
      </c>
      <c r="K442" t="s">
        <v>21</v>
      </c>
      <c r="L442">
        <v>68</v>
      </c>
      <c r="M442">
        <v>7.68</v>
      </c>
      <c r="N442">
        <v>2.37</v>
      </c>
      <c r="O442" t="s">
        <v>15</v>
      </c>
      <c r="P442">
        <v>109</v>
      </c>
      <c r="Q442">
        <v>180</v>
      </c>
      <c r="R442">
        <v>100</v>
      </c>
      <c r="S442">
        <v>40</v>
      </c>
      <c r="T442" t="s">
        <v>50</v>
      </c>
      <c r="U442">
        <f>IF(Cardiac_Table[[#This Row],[Patient Status at Discharge]]="Died", 1,0)</f>
        <v>0</v>
      </c>
      <c r="V442">
        <f>Cardiac_Table[[#This Row],[Risk of Death % (Model 1)]]/100</f>
        <v>7.6799999999999993E-2</v>
      </c>
      <c r="W442">
        <f>Cardiac_Table[[#This Row],[Risk of Death % (Model 2)]]/100</f>
        <v>2.3700000000000002E-2</v>
      </c>
      <c r="X442" s="18">
        <f>Cardiac_Table[[#This Row],[Procedure Start Date and Time]]-Cardiac_Table[[#This Row],[Hospital Admit Date ]]</f>
        <v>0.10972222222335404</v>
      </c>
    </row>
    <row r="443" spans="1:24" x14ac:dyDescent="0.35">
      <c r="A443">
        <v>450</v>
      </c>
      <c r="B443" s="9">
        <v>43991.416666666664</v>
      </c>
      <c r="C443" s="10">
        <f>INT(Cardiac_Table[[#This Row],[Hospital Admit Date ]])</f>
        <v>43991</v>
      </c>
      <c r="D443" s="11" t="str">
        <f t="shared" si="6"/>
        <v>10:00</v>
      </c>
      <c r="E443" s="9">
        <v>43994.586805555555</v>
      </c>
      <c r="F443" s="10">
        <f>INT(Cardiac_Table[[#This Row],[Procedure Start Date and Time]])</f>
        <v>43994</v>
      </c>
      <c r="G443" s="12">
        <f>MOD(Cardiac_Table[[#This Row],[Procedure Start Date and Time]],1)</f>
        <v>0.58680555555474712</v>
      </c>
      <c r="H443">
        <v>4</v>
      </c>
      <c r="I443" t="s">
        <v>4</v>
      </c>
      <c r="J443" t="s">
        <v>10</v>
      </c>
      <c r="K443" t="s">
        <v>30</v>
      </c>
      <c r="L443">
        <v>65</v>
      </c>
      <c r="M443">
        <v>2.2400000000000002</v>
      </c>
      <c r="N443">
        <v>0.9</v>
      </c>
      <c r="O443" t="s">
        <v>15</v>
      </c>
      <c r="P443">
        <v>71</v>
      </c>
      <c r="Q443">
        <v>166</v>
      </c>
      <c r="R443">
        <v>90</v>
      </c>
      <c r="S443">
        <v>58</v>
      </c>
      <c r="T443" t="s">
        <v>48</v>
      </c>
      <c r="U443">
        <f>IF(Cardiac_Table[[#This Row],[Patient Status at Discharge]]="Died", 1,0)</f>
        <v>0</v>
      </c>
      <c r="V443">
        <f>Cardiac_Table[[#This Row],[Risk of Death % (Model 1)]]/100</f>
        <v>2.2400000000000003E-2</v>
      </c>
      <c r="W443">
        <f>Cardiac_Table[[#This Row],[Risk of Death % (Model 2)]]/100</f>
        <v>9.0000000000000011E-3</v>
      </c>
      <c r="X443" s="18">
        <f>Cardiac_Table[[#This Row],[Procedure Start Date and Time]]-Cardiac_Table[[#This Row],[Hospital Admit Date ]]</f>
        <v>3.1701388888905058</v>
      </c>
    </row>
    <row r="444" spans="1:24" x14ac:dyDescent="0.35">
      <c r="A444">
        <v>451</v>
      </c>
      <c r="B444" s="9">
        <v>43992.436805555553</v>
      </c>
      <c r="C444" s="10">
        <f>INT(Cardiac_Table[[#This Row],[Hospital Admit Date ]])</f>
        <v>43992</v>
      </c>
      <c r="D444" s="11" t="str">
        <f t="shared" si="6"/>
        <v>10:29</v>
      </c>
      <c r="E444" s="9">
        <v>43994.611111111109</v>
      </c>
      <c r="F444" s="10">
        <f>INT(Cardiac_Table[[#This Row],[Procedure Start Date and Time]])</f>
        <v>43994</v>
      </c>
      <c r="G444" s="12">
        <f>MOD(Cardiac_Table[[#This Row],[Procedure Start Date and Time]],1)</f>
        <v>0.61111111110949423</v>
      </c>
      <c r="H444">
        <v>5</v>
      </c>
      <c r="I444" t="s">
        <v>6</v>
      </c>
      <c r="J444" t="s">
        <v>10</v>
      </c>
      <c r="K444" t="s">
        <v>21</v>
      </c>
      <c r="L444">
        <v>77</v>
      </c>
      <c r="M444">
        <v>9.73</v>
      </c>
      <c r="N444">
        <v>6.63</v>
      </c>
      <c r="O444" t="s">
        <v>15</v>
      </c>
      <c r="P444">
        <v>79</v>
      </c>
      <c r="Q444">
        <v>170</v>
      </c>
      <c r="R444">
        <v>92</v>
      </c>
      <c r="S444">
        <v>75</v>
      </c>
      <c r="T444" t="s">
        <v>48</v>
      </c>
      <c r="U444">
        <f>IF(Cardiac_Table[[#This Row],[Patient Status at Discharge]]="Died", 1,0)</f>
        <v>0</v>
      </c>
      <c r="V444">
        <f>Cardiac_Table[[#This Row],[Risk of Death % (Model 1)]]/100</f>
        <v>9.7299999999999998E-2</v>
      </c>
      <c r="W444">
        <f>Cardiac_Table[[#This Row],[Risk of Death % (Model 2)]]/100</f>
        <v>6.6299999999999998E-2</v>
      </c>
      <c r="X444" s="18">
        <f>Cardiac_Table[[#This Row],[Procedure Start Date and Time]]-Cardiac_Table[[#This Row],[Hospital Admit Date ]]</f>
        <v>2.1743055555562023</v>
      </c>
    </row>
    <row r="445" spans="1:24" x14ac:dyDescent="0.35">
      <c r="A445">
        <v>452</v>
      </c>
      <c r="B445" s="9">
        <v>43994.40347222222</v>
      </c>
      <c r="C445" s="10">
        <f>INT(Cardiac_Table[[#This Row],[Hospital Admit Date ]])</f>
        <v>43994</v>
      </c>
      <c r="D445" s="11" t="str">
        <f t="shared" si="6"/>
        <v>09:41</v>
      </c>
      <c r="E445" s="9">
        <v>43994.763888888891</v>
      </c>
      <c r="F445" s="10">
        <f>INT(Cardiac_Table[[#This Row],[Procedure Start Date and Time]])</f>
        <v>43994</v>
      </c>
      <c r="G445" s="12">
        <f>MOD(Cardiac_Table[[#This Row],[Procedure Start Date and Time]],1)</f>
        <v>0.76388888889050577</v>
      </c>
      <c r="H445">
        <v>3</v>
      </c>
      <c r="I445" t="s">
        <v>2</v>
      </c>
      <c r="J445" t="s">
        <v>7</v>
      </c>
      <c r="K445" t="s">
        <v>28</v>
      </c>
      <c r="L445">
        <v>88</v>
      </c>
      <c r="M445">
        <v>14.84</v>
      </c>
      <c r="N445">
        <v>2.74</v>
      </c>
      <c r="O445" t="s">
        <v>15</v>
      </c>
      <c r="P445">
        <v>63</v>
      </c>
      <c r="Q445">
        <v>167</v>
      </c>
      <c r="R445">
        <v>55</v>
      </c>
      <c r="S445">
        <v>62</v>
      </c>
      <c r="T445" t="s">
        <v>48</v>
      </c>
      <c r="U445">
        <f>IF(Cardiac_Table[[#This Row],[Patient Status at Discharge]]="Died", 1,0)</f>
        <v>0</v>
      </c>
      <c r="V445">
        <f>Cardiac_Table[[#This Row],[Risk of Death % (Model 1)]]/100</f>
        <v>0.1484</v>
      </c>
      <c r="W445">
        <f>Cardiac_Table[[#This Row],[Risk of Death % (Model 2)]]/100</f>
        <v>2.7400000000000001E-2</v>
      </c>
      <c r="X445" s="18">
        <f>Cardiac_Table[[#This Row],[Procedure Start Date and Time]]-Cardiac_Table[[#This Row],[Hospital Admit Date ]]</f>
        <v>0.36041666667006211</v>
      </c>
    </row>
    <row r="446" spans="1:24" x14ac:dyDescent="0.35">
      <c r="A446">
        <v>453</v>
      </c>
      <c r="B446" s="9">
        <v>43993.416666666664</v>
      </c>
      <c r="C446" s="10">
        <f>INT(Cardiac_Table[[#This Row],[Hospital Admit Date ]])</f>
        <v>43993</v>
      </c>
      <c r="D446" s="11" t="str">
        <f t="shared" si="6"/>
        <v>10:00</v>
      </c>
      <c r="E446" s="9">
        <v>43995.336805555555</v>
      </c>
      <c r="F446" s="10">
        <f>INT(Cardiac_Table[[#This Row],[Procedure Start Date and Time]])</f>
        <v>43995</v>
      </c>
      <c r="G446" s="12">
        <f>MOD(Cardiac_Table[[#This Row],[Procedure Start Date and Time]],1)</f>
        <v>0.33680555555474712</v>
      </c>
      <c r="H446">
        <v>4</v>
      </c>
      <c r="I446" t="s">
        <v>6</v>
      </c>
      <c r="J446" t="s">
        <v>3</v>
      </c>
      <c r="K446" t="s">
        <v>35</v>
      </c>
      <c r="L446">
        <v>82</v>
      </c>
      <c r="M446">
        <v>6.61</v>
      </c>
      <c r="N446">
        <v>1.28</v>
      </c>
      <c r="O446" t="s">
        <v>15</v>
      </c>
      <c r="P446">
        <v>74</v>
      </c>
      <c r="Q446">
        <v>168</v>
      </c>
      <c r="R446">
        <v>122</v>
      </c>
      <c r="S446">
        <v>55</v>
      </c>
      <c r="T446" t="s">
        <v>48</v>
      </c>
      <c r="U446">
        <f>IF(Cardiac_Table[[#This Row],[Patient Status at Discharge]]="Died", 1,0)</f>
        <v>0</v>
      </c>
      <c r="V446">
        <f>Cardiac_Table[[#This Row],[Risk of Death % (Model 1)]]/100</f>
        <v>6.6100000000000006E-2</v>
      </c>
      <c r="W446">
        <f>Cardiac_Table[[#This Row],[Risk of Death % (Model 2)]]/100</f>
        <v>1.2800000000000001E-2</v>
      </c>
      <c r="X446" s="18">
        <f>Cardiac_Table[[#This Row],[Procedure Start Date and Time]]-Cardiac_Table[[#This Row],[Hospital Admit Date ]]</f>
        <v>1.9201388888905058</v>
      </c>
    </row>
    <row r="447" spans="1:24" x14ac:dyDescent="0.35">
      <c r="A447">
        <v>454</v>
      </c>
      <c r="B447" s="9">
        <v>43983.75</v>
      </c>
      <c r="C447" s="10">
        <f>INT(Cardiac_Table[[#This Row],[Hospital Admit Date ]])</f>
        <v>43983</v>
      </c>
      <c r="D447" s="11" t="str">
        <f t="shared" si="6"/>
        <v>18:00</v>
      </c>
      <c r="E447" s="9">
        <v>43995.354166666664</v>
      </c>
      <c r="F447" s="10">
        <f>INT(Cardiac_Table[[#This Row],[Procedure Start Date and Time]])</f>
        <v>43995</v>
      </c>
      <c r="G447" s="12">
        <f>MOD(Cardiac_Table[[#This Row],[Procedure Start Date and Time]],1)</f>
        <v>0.35416666666424135</v>
      </c>
      <c r="H447">
        <v>5</v>
      </c>
      <c r="I447" t="s">
        <v>6</v>
      </c>
      <c r="J447" t="s">
        <v>3</v>
      </c>
      <c r="K447" t="s">
        <v>28</v>
      </c>
      <c r="L447">
        <v>57</v>
      </c>
      <c r="M447">
        <v>8.67</v>
      </c>
      <c r="N447">
        <v>3.43</v>
      </c>
      <c r="O447" t="s">
        <v>15</v>
      </c>
      <c r="P447">
        <v>68</v>
      </c>
      <c r="Q447">
        <v>178</v>
      </c>
      <c r="R447">
        <v>123</v>
      </c>
      <c r="S447">
        <v>55</v>
      </c>
      <c r="T447" t="s">
        <v>48</v>
      </c>
      <c r="U447">
        <f>IF(Cardiac_Table[[#This Row],[Patient Status at Discharge]]="Died", 1,0)</f>
        <v>0</v>
      </c>
      <c r="V447">
        <f>Cardiac_Table[[#This Row],[Risk of Death % (Model 1)]]/100</f>
        <v>8.6699999999999999E-2</v>
      </c>
      <c r="W447">
        <f>Cardiac_Table[[#This Row],[Risk of Death % (Model 2)]]/100</f>
        <v>3.4300000000000004E-2</v>
      </c>
      <c r="X447" s="18">
        <f>Cardiac_Table[[#This Row],[Procedure Start Date and Time]]-Cardiac_Table[[#This Row],[Hospital Admit Date ]]</f>
        <v>11.604166666664241</v>
      </c>
    </row>
    <row r="448" spans="1:24" x14ac:dyDescent="0.35">
      <c r="A448">
        <v>455</v>
      </c>
      <c r="B448" s="9">
        <v>43994.895833333336</v>
      </c>
      <c r="C448" s="10">
        <f>INT(Cardiac_Table[[#This Row],[Hospital Admit Date ]])</f>
        <v>43994</v>
      </c>
      <c r="D448" s="11" t="str">
        <f t="shared" si="6"/>
        <v>21:30</v>
      </c>
      <c r="E448" s="9">
        <v>43995.541666666664</v>
      </c>
      <c r="F448" s="10">
        <f>INT(Cardiac_Table[[#This Row],[Procedure Start Date and Time]])</f>
        <v>43995</v>
      </c>
      <c r="G448" s="12">
        <f>MOD(Cardiac_Table[[#This Row],[Procedure Start Date and Time]],1)</f>
        <v>0.54166666666424135</v>
      </c>
      <c r="H448">
        <v>5</v>
      </c>
      <c r="I448" t="s">
        <v>2</v>
      </c>
      <c r="J448" t="s">
        <v>3</v>
      </c>
      <c r="K448" t="s">
        <v>28</v>
      </c>
      <c r="L448">
        <v>79</v>
      </c>
      <c r="M448">
        <v>70.7</v>
      </c>
      <c r="N448">
        <v>15.51</v>
      </c>
      <c r="O448" t="s">
        <v>15</v>
      </c>
      <c r="P448">
        <v>67</v>
      </c>
      <c r="Q448">
        <v>163</v>
      </c>
      <c r="R448">
        <v>74</v>
      </c>
      <c r="S448">
        <v>55</v>
      </c>
      <c r="T448" t="s">
        <v>48</v>
      </c>
      <c r="U448">
        <f>IF(Cardiac_Table[[#This Row],[Patient Status at Discharge]]="Died", 1,0)</f>
        <v>0</v>
      </c>
      <c r="V448">
        <f>Cardiac_Table[[#This Row],[Risk of Death % (Model 1)]]/100</f>
        <v>0.70700000000000007</v>
      </c>
      <c r="W448">
        <f>Cardiac_Table[[#This Row],[Risk of Death % (Model 2)]]/100</f>
        <v>0.15509999999999999</v>
      </c>
      <c r="X448" s="18">
        <f>Cardiac_Table[[#This Row],[Procedure Start Date and Time]]-Cardiac_Table[[#This Row],[Hospital Admit Date ]]</f>
        <v>0.64583333332848269</v>
      </c>
    </row>
    <row r="449" spans="1:24" x14ac:dyDescent="0.35">
      <c r="A449">
        <v>456</v>
      </c>
      <c r="B449" s="9">
        <v>43995.291666666664</v>
      </c>
      <c r="C449" s="10">
        <f>INT(Cardiac_Table[[#This Row],[Hospital Admit Date ]])</f>
        <v>43995</v>
      </c>
      <c r="D449" s="11" t="str">
        <f t="shared" si="6"/>
        <v>07:00</v>
      </c>
      <c r="E449" s="9">
        <v>43995.545138888891</v>
      </c>
      <c r="F449" s="10">
        <f>INT(Cardiac_Table[[#This Row],[Procedure Start Date and Time]])</f>
        <v>43995</v>
      </c>
      <c r="G449" s="12">
        <f>MOD(Cardiac_Table[[#This Row],[Procedure Start Date and Time]],1)</f>
        <v>0.54513888889050577</v>
      </c>
      <c r="H449">
        <v>4</v>
      </c>
      <c r="I449" t="s">
        <v>4</v>
      </c>
      <c r="J449" t="s">
        <v>3</v>
      </c>
      <c r="K449" t="s">
        <v>35</v>
      </c>
      <c r="L449">
        <v>55</v>
      </c>
      <c r="M449">
        <v>1.51</v>
      </c>
      <c r="N449">
        <v>0.5</v>
      </c>
      <c r="O449" t="s">
        <v>15</v>
      </c>
      <c r="P449">
        <v>156</v>
      </c>
      <c r="Q449">
        <v>175</v>
      </c>
      <c r="R449">
        <v>66</v>
      </c>
      <c r="S449">
        <v>75</v>
      </c>
      <c r="T449" t="s">
        <v>48</v>
      </c>
      <c r="U449">
        <f>IF(Cardiac_Table[[#This Row],[Patient Status at Discharge]]="Died", 1,0)</f>
        <v>0</v>
      </c>
      <c r="V449">
        <f>Cardiac_Table[[#This Row],[Risk of Death % (Model 1)]]/100</f>
        <v>1.5100000000000001E-2</v>
      </c>
      <c r="W449">
        <f>Cardiac_Table[[#This Row],[Risk of Death % (Model 2)]]/100</f>
        <v>5.0000000000000001E-3</v>
      </c>
      <c r="X449" s="18">
        <f>Cardiac_Table[[#This Row],[Procedure Start Date and Time]]-Cardiac_Table[[#This Row],[Hospital Admit Date ]]</f>
        <v>0.25347222222626442</v>
      </c>
    </row>
    <row r="450" spans="1:24" x14ac:dyDescent="0.35">
      <c r="A450">
        <v>457</v>
      </c>
      <c r="B450" s="9">
        <v>43994.457638888889</v>
      </c>
      <c r="C450" s="10">
        <f>INT(Cardiac_Table[[#This Row],[Hospital Admit Date ]])</f>
        <v>43994</v>
      </c>
      <c r="D450" s="11" t="str">
        <f t="shared" ref="D450:D513" si="7">TEXT(B450,"HH:MM")</f>
        <v>10:59</v>
      </c>
      <c r="E450" s="9">
        <v>43997.342361111114</v>
      </c>
      <c r="F450" s="10">
        <f>INT(Cardiac_Table[[#This Row],[Procedure Start Date and Time]])</f>
        <v>43997</v>
      </c>
      <c r="G450" s="12">
        <f>MOD(Cardiac_Table[[#This Row],[Procedure Start Date and Time]],1)</f>
        <v>0.34236111111385981</v>
      </c>
      <c r="H450">
        <v>4</v>
      </c>
      <c r="I450" t="s">
        <v>6</v>
      </c>
      <c r="J450" t="s">
        <v>3</v>
      </c>
      <c r="K450" t="s">
        <v>32</v>
      </c>
      <c r="L450">
        <v>81</v>
      </c>
      <c r="M450">
        <v>8.44</v>
      </c>
      <c r="N450">
        <v>5.96</v>
      </c>
      <c r="O450" t="s">
        <v>15</v>
      </c>
      <c r="P450">
        <v>190</v>
      </c>
      <c r="Q450">
        <v>165</v>
      </c>
      <c r="R450">
        <v>108</v>
      </c>
      <c r="S450">
        <v>40</v>
      </c>
      <c r="T450" t="s">
        <v>50</v>
      </c>
      <c r="U450">
        <f>IF(Cardiac_Table[[#This Row],[Patient Status at Discharge]]="Died", 1,0)</f>
        <v>0</v>
      </c>
      <c r="V450">
        <f>Cardiac_Table[[#This Row],[Risk of Death % (Model 1)]]/100</f>
        <v>8.4399999999999989E-2</v>
      </c>
      <c r="W450">
        <f>Cardiac_Table[[#This Row],[Risk of Death % (Model 2)]]/100</f>
        <v>5.96E-2</v>
      </c>
      <c r="X450" s="18">
        <f>Cardiac_Table[[#This Row],[Procedure Start Date and Time]]-Cardiac_Table[[#This Row],[Hospital Admit Date ]]</f>
        <v>2.8847222222248092</v>
      </c>
    </row>
    <row r="451" spans="1:24" x14ac:dyDescent="0.35">
      <c r="A451">
        <v>458</v>
      </c>
      <c r="B451" s="9">
        <v>43986.859722222223</v>
      </c>
      <c r="C451" s="10">
        <f>INT(Cardiac_Table[[#This Row],[Hospital Admit Date ]])</f>
        <v>43986</v>
      </c>
      <c r="D451" s="11" t="str">
        <f t="shared" si="7"/>
        <v>20:38</v>
      </c>
      <c r="E451" s="9">
        <v>43997.34375</v>
      </c>
      <c r="F451" s="10">
        <f>INT(Cardiac_Table[[#This Row],[Procedure Start Date and Time]])</f>
        <v>43997</v>
      </c>
      <c r="G451" s="12">
        <f>MOD(Cardiac_Table[[#This Row],[Procedure Start Date and Time]],1)</f>
        <v>0.34375</v>
      </c>
      <c r="H451">
        <v>5</v>
      </c>
      <c r="I451" t="s">
        <v>6</v>
      </c>
      <c r="J451" t="s">
        <v>11</v>
      </c>
      <c r="K451" t="s">
        <v>29</v>
      </c>
      <c r="L451">
        <v>65</v>
      </c>
      <c r="M451">
        <v>10.52</v>
      </c>
      <c r="N451">
        <v>4.62</v>
      </c>
      <c r="O451" t="s">
        <v>15</v>
      </c>
      <c r="P451">
        <v>85</v>
      </c>
      <c r="Q451">
        <v>155</v>
      </c>
      <c r="R451">
        <v>56</v>
      </c>
      <c r="S451">
        <v>70</v>
      </c>
      <c r="T451" t="s">
        <v>48</v>
      </c>
      <c r="U451">
        <f>IF(Cardiac_Table[[#This Row],[Patient Status at Discharge]]="Died", 1,0)</f>
        <v>0</v>
      </c>
      <c r="V451">
        <f>Cardiac_Table[[#This Row],[Risk of Death % (Model 1)]]/100</f>
        <v>0.1052</v>
      </c>
      <c r="W451">
        <f>Cardiac_Table[[#This Row],[Risk of Death % (Model 2)]]/100</f>
        <v>4.6199999999999998E-2</v>
      </c>
      <c r="X451" s="18">
        <f>Cardiac_Table[[#This Row],[Procedure Start Date and Time]]-Cardiac_Table[[#This Row],[Hospital Admit Date ]]</f>
        <v>10.484027777776646</v>
      </c>
    </row>
    <row r="452" spans="1:24" x14ac:dyDescent="0.35">
      <c r="A452">
        <v>459</v>
      </c>
      <c r="B452" s="9">
        <v>43997.291666666664</v>
      </c>
      <c r="C452" s="10">
        <f>INT(Cardiac_Table[[#This Row],[Hospital Admit Date ]])</f>
        <v>43997</v>
      </c>
      <c r="D452" s="11" t="str">
        <f t="shared" si="7"/>
        <v>07:00</v>
      </c>
      <c r="E452" s="9">
        <v>43997.354166666664</v>
      </c>
      <c r="F452" s="10">
        <f>INT(Cardiac_Table[[#This Row],[Procedure Start Date and Time]])</f>
        <v>43997</v>
      </c>
      <c r="G452" s="12">
        <f>MOD(Cardiac_Table[[#This Row],[Procedure Start Date and Time]],1)</f>
        <v>0.35416666666424135</v>
      </c>
      <c r="H452">
        <v>3</v>
      </c>
      <c r="I452" t="s">
        <v>4</v>
      </c>
      <c r="J452" t="s">
        <v>11</v>
      </c>
      <c r="K452" t="s">
        <v>27</v>
      </c>
      <c r="L452">
        <v>71</v>
      </c>
      <c r="M452">
        <v>4.92</v>
      </c>
      <c r="N452">
        <v>1.78</v>
      </c>
      <c r="O452" t="s">
        <v>15</v>
      </c>
      <c r="P452">
        <v>75</v>
      </c>
      <c r="Q452">
        <v>174</v>
      </c>
      <c r="R452">
        <v>81</v>
      </c>
      <c r="S452">
        <v>58</v>
      </c>
      <c r="T452" t="s">
        <v>48</v>
      </c>
      <c r="U452">
        <f>IF(Cardiac_Table[[#This Row],[Patient Status at Discharge]]="Died", 1,0)</f>
        <v>0</v>
      </c>
      <c r="V452">
        <f>Cardiac_Table[[#This Row],[Risk of Death % (Model 1)]]/100</f>
        <v>4.9200000000000001E-2</v>
      </c>
      <c r="W452">
        <f>Cardiac_Table[[#This Row],[Risk of Death % (Model 2)]]/100</f>
        <v>1.78E-2</v>
      </c>
      <c r="X452" s="18">
        <f>Cardiac_Table[[#This Row],[Procedure Start Date and Time]]-Cardiac_Table[[#This Row],[Hospital Admit Date ]]</f>
        <v>6.25E-2</v>
      </c>
    </row>
    <row r="453" spans="1:24" x14ac:dyDescent="0.35">
      <c r="A453">
        <v>460</v>
      </c>
      <c r="B453" s="9">
        <v>43994.458333333336</v>
      </c>
      <c r="C453" s="10">
        <f>INT(Cardiac_Table[[#This Row],[Hospital Admit Date ]])</f>
        <v>43994</v>
      </c>
      <c r="D453" s="11" t="str">
        <f t="shared" si="7"/>
        <v>11:00</v>
      </c>
      <c r="E453" s="9">
        <v>43997.506944444445</v>
      </c>
      <c r="F453" s="10">
        <f>INT(Cardiac_Table[[#This Row],[Procedure Start Date and Time]])</f>
        <v>43997</v>
      </c>
      <c r="G453" s="12">
        <f>MOD(Cardiac_Table[[#This Row],[Procedure Start Date and Time]],1)</f>
        <v>0.50694444444525288</v>
      </c>
      <c r="H453">
        <v>4</v>
      </c>
      <c r="I453" t="s">
        <v>6</v>
      </c>
      <c r="J453" t="s">
        <v>11</v>
      </c>
      <c r="K453" t="s">
        <v>33</v>
      </c>
      <c r="L453">
        <v>81</v>
      </c>
      <c r="M453">
        <v>14.81</v>
      </c>
      <c r="N453">
        <v>6.25</v>
      </c>
      <c r="O453" t="s">
        <v>15</v>
      </c>
      <c r="P453">
        <v>68</v>
      </c>
      <c r="Q453">
        <v>167</v>
      </c>
      <c r="R453">
        <v>63</v>
      </c>
      <c r="S453">
        <v>50</v>
      </c>
      <c r="T453" t="s">
        <v>50</v>
      </c>
      <c r="U453">
        <f>IF(Cardiac_Table[[#This Row],[Patient Status at Discharge]]="Died", 1,0)</f>
        <v>0</v>
      </c>
      <c r="V453">
        <f>Cardiac_Table[[#This Row],[Risk of Death % (Model 1)]]/100</f>
        <v>0.14810000000000001</v>
      </c>
      <c r="W453">
        <f>Cardiac_Table[[#This Row],[Risk of Death % (Model 2)]]/100</f>
        <v>6.25E-2</v>
      </c>
      <c r="X453" s="18">
        <f>Cardiac_Table[[#This Row],[Procedure Start Date and Time]]-Cardiac_Table[[#This Row],[Hospital Admit Date ]]</f>
        <v>3.0486111111094942</v>
      </c>
    </row>
    <row r="454" spans="1:24" x14ac:dyDescent="0.35">
      <c r="A454">
        <v>461</v>
      </c>
      <c r="B454" s="9">
        <v>43997.291666666664</v>
      </c>
      <c r="C454" s="10">
        <f>INT(Cardiac_Table[[#This Row],[Hospital Admit Date ]])</f>
        <v>43997</v>
      </c>
      <c r="D454" s="11" t="str">
        <f t="shared" si="7"/>
        <v>07:00</v>
      </c>
      <c r="E454" s="9">
        <v>43997.65625</v>
      </c>
      <c r="F454" s="10">
        <f>INT(Cardiac_Table[[#This Row],[Procedure Start Date and Time]])</f>
        <v>43997</v>
      </c>
      <c r="G454" s="12">
        <f>MOD(Cardiac_Table[[#This Row],[Procedure Start Date and Time]],1)</f>
        <v>0.65625</v>
      </c>
      <c r="H454">
        <v>5</v>
      </c>
      <c r="I454" t="s">
        <v>4</v>
      </c>
      <c r="J454" t="s">
        <v>1</v>
      </c>
      <c r="K454" t="s">
        <v>29</v>
      </c>
      <c r="L454">
        <v>74</v>
      </c>
      <c r="M454">
        <v>15.56</v>
      </c>
      <c r="N454">
        <v>3.01</v>
      </c>
      <c r="O454" t="s">
        <v>15</v>
      </c>
      <c r="P454">
        <v>72</v>
      </c>
      <c r="Q454">
        <v>167</v>
      </c>
      <c r="R454">
        <v>88</v>
      </c>
      <c r="S454">
        <v>38</v>
      </c>
      <c r="T454" t="s">
        <v>50</v>
      </c>
      <c r="U454">
        <f>IF(Cardiac_Table[[#This Row],[Patient Status at Discharge]]="Died", 1,0)</f>
        <v>0</v>
      </c>
      <c r="V454">
        <f>Cardiac_Table[[#This Row],[Risk of Death % (Model 1)]]/100</f>
        <v>0.15560000000000002</v>
      </c>
      <c r="W454">
        <f>Cardiac_Table[[#This Row],[Risk of Death % (Model 2)]]/100</f>
        <v>3.0099999999999998E-2</v>
      </c>
      <c r="X454" s="18">
        <f>Cardiac_Table[[#This Row],[Procedure Start Date and Time]]-Cardiac_Table[[#This Row],[Hospital Admit Date ]]</f>
        <v>0.36458333333575865</v>
      </c>
    </row>
    <row r="455" spans="1:24" x14ac:dyDescent="0.35">
      <c r="A455">
        <v>462</v>
      </c>
      <c r="B455" s="9">
        <v>43987.416666666664</v>
      </c>
      <c r="C455" s="10">
        <f>INT(Cardiac_Table[[#This Row],[Hospital Admit Date ]])</f>
        <v>43987</v>
      </c>
      <c r="D455" s="11" t="str">
        <f t="shared" si="7"/>
        <v>10:00</v>
      </c>
      <c r="E455" s="9">
        <v>43998.340277777781</v>
      </c>
      <c r="F455" s="10">
        <f>INT(Cardiac_Table[[#This Row],[Procedure Start Date and Time]])</f>
        <v>43998</v>
      </c>
      <c r="G455" s="12">
        <f>MOD(Cardiac_Table[[#This Row],[Procedure Start Date and Time]],1)</f>
        <v>0.34027777778101154</v>
      </c>
      <c r="H455">
        <v>3</v>
      </c>
      <c r="I455" t="s">
        <v>6</v>
      </c>
      <c r="J455" t="s">
        <v>3</v>
      </c>
      <c r="K455" t="s">
        <v>31</v>
      </c>
      <c r="L455">
        <v>63</v>
      </c>
      <c r="M455">
        <v>1.96</v>
      </c>
      <c r="N455">
        <v>1</v>
      </c>
      <c r="O455" t="s">
        <v>15</v>
      </c>
      <c r="P455">
        <v>65</v>
      </c>
      <c r="Q455">
        <v>170</v>
      </c>
      <c r="R455">
        <v>69</v>
      </c>
      <c r="S455">
        <v>49</v>
      </c>
      <c r="T455" t="s">
        <v>50</v>
      </c>
      <c r="U455">
        <f>IF(Cardiac_Table[[#This Row],[Patient Status at Discharge]]="Died", 1,0)</f>
        <v>0</v>
      </c>
      <c r="V455">
        <f>Cardiac_Table[[#This Row],[Risk of Death % (Model 1)]]/100</f>
        <v>1.9599999999999999E-2</v>
      </c>
      <c r="W455">
        <f>Cardiac_Table[[#This Row],[Risk of Death % (Model 2)]]/100</f>
        <v>0.01</v>
      </c>
      <c r="X455" s="18">
        <f>Cardiac_Table[[#This Row],[Procedure Start Date and Time]]-Cardiac_Table[[#This Row],[Hospital Admit Date ]]</f>
        <v>10.92361111111677</v>
      </c>
    </row>
    <row r="456" spans="1:24" x14ac:dyDescent="0.35">
      <c r="A456">
        <v>463</v>
      </c>
      <c r="B456" s="9">
        <v>43992.767361111109</v>
      </c>
      <c r="C456" s="10">
        <f>INT(Cardiac_Table[[#This Row],[Hospital Admit Date ]])</f>
        <v>43992</v>
      </c>
      <c r="D456" s="11" t="str">
        <f t="shared" si="7"/>
        <v>18:25</v>
      </c>
      <c r="E456" s="9">
        <v>43998.34375</v>
      </c>
      <c r="F456" s="10">
        <f>INT(Cardiac_Table[[#This Row],[Procedure Start Date and Time]])</f>
        <v>43998</v>
      </c>
      <c r="G456" s="12">
        <f>MOD(Cardiac_Table[[#This Row],[Procedure Start Date and Time]],1)</f>
        <v>0.34375</v>
      </c>
      <c r="H456">
        <v>4</v>
      </c>
      <c r="I456" t="s">
        <v>4</v>
      </c>
      <c r="J456" t="s">
        <v>3</v>
      </c>
      <c r="K456" t="s">
        <v>35</v>
      </c>
      <c r="L456">
        <v>52</v>
      </c>
      <c r="M456">
        <v>1.51</v>
      </c>
      <c r="N456">
        <v>0.86</v>
      </c>
      <c r="O456" t="s">
        <v>15</v>
      </c>
      <c r="P456">
        <v>93</v>
      </c>
      <c r="Q456">
        <v>152</v>
      </c>
      <c r="R456">
        <v>63</v>
      </c>
      <c r="S456">
        <v>57</v>
      </c>
      <c r="T456" t="s">
        <v>48</v>
      </c>
      <c r="U456">
        <f>IF(Cardiac_Table[[#This Row],[Patient Status at Discharge]]="Died", 1,0)</f>
        <v>0</v>
      </c>
      <c r="V456">
        <f>Cardiac_Table[[#This Row],[Risk of Death % (Model 1)]]/100</f>
        <v>1.5100000000000001E-2</v>
      </c>
      <c r="W456">
        <f>Cardiac_Table[[#This Row],[Risk of Death % (Model 2)]]/100</f>
        <v>8.6E-3</v>
      </c>
      <c r="X456" s="18">
        <f>Cardiac_Table[[#This Row],[Procedure Start Date and Time]]-Cardiac_Table[[#This Row],[Hospital Admit Date ]]</f>
        <v>5.5763888888905058</v>
      </c>
    </row>
    <row r="457" spans="1:24" x14ac:dyDescent="0.35">
      <c r="A457">
        <v>464</v>
      </c>
      <c r="B457" s="9">
        <v>43998.291666666664</v>
      </c>
      <c r="C457" s="10">
        <f>INT(Cardiac_Table[[#This Row],[Hospital Admit Date ]])</f>
        <v>43998</v>
      </c>
      <c r="D457" s="11" t="str">
        <f t="shared" si="7"/>
        <v>07:00</v>
      </c>
      <c r="E457" s="9">
        <v>43998.381944444445</v>
      </c>
      <c r="F457" s="10">
        <f>INT(Cardiac_Table[[#This Row],[Procedure Start Date and Time]])</f>
        <v>43998</v>
      </c>
      <c r="G457" s="12">
        <f>MOD(Cardiac_Table[[#This Row],[Procedure Start Date and Time]],1)</f>
        <v>0.38194444444525288</v>
      </c>
      <c r="H457">
        <v>5</v>
      </c>
      <c r="I457" t="s">
        <v>4</v>
      </c>
      <c r="J457" t="s">
        <v>10</v>
      </c>
      <c r="K457" t="s">
        <v>26</v>
      </c>
      <c r="L457">
        <v>79</v>
      </c>
      <c r="M457">
        <v>3.26</v>
      </c>
      <c r="N457">
        <v>1.1499999999999999</v>
      </c>
      <c r="O457" t="s">
        <v>15</v>
      </c>
      <c r="P457">
        <v>72</v>
      </c>
      <c r="Q457">
        <v>185</v>
      </c>
      <c r="R457">
        <v>102</v>
      </c>
      <c r="S457">
        <v>60</v>
      </c>
      <c r="T457" t="s">
        <v>48</v>
      </c>
      <c r="U457">
        <f>IF(Cardiac_Table[[#This Row],[Patient Status at Discharge]]="Died", 1,0)</f>
        <v>0</v>
      </c>
      <c r="V457">
        <f>Cardiac_Table[[#This Row],[Risk of Death % (Model 1)]]/100</f>
        <v>3.2599999999999997E-2</v>
      </c>
      <c r="W457">
        <f>Cardiac_Table[[#This Row],[Risk of Death % (Model 2)]]/100</f>
        <v>1.15E-2</v>
      </c>
      <c r="X457" s="18">
        <f>Cardiac_Table[[#This Row],[Procedure Start Date and Time]]-Cardiac_Table[[#This Row],[Hospital Admit Date ]]</f>
        <v>9.0277777781011537E-2</v>
      </c>
    </row>
    <row r="458" spans="1:24" x14ac:dyDescent="0.35">
      <c r="A458">
        <v>465</v>
      </c>
      <c r="B458" s="9">
        <v>43998.291666666664</v>
      </c>
      <c r="C458" s="10">
        <f>INT(Cardiac_Table[[#This Row],[Hospital Admit Date ]])</f>
        <v>43998</v>
      </c>
      <c r="D458" s="11" t="str">
        <f t="shared" si="7"/>
        <v>07:00</v>
      </c>
      <c r="E458" s="9">
        <v>43998.53125</v>
      </c>
      <c r="F458" s="10">
        <f>INT(Cardiac_Table[[#This Row],[Procedure Start Date and Time]])</f>
        <v>43998</v>
      </c>
      <c r="G458" s="12">
        <f>MOD(Cardiac_Table[[#This Row],[Procedure Start Date and Time]],1)</f>
        <v>0.53125</v>
      </c>
      <c r="H458">
        <v>3</v>
      </c>
      <c r="I458" t="s">
        <v>4</v>
      </c>
      <c r="J458" t="s">
        <v>10</v>
      </c>
      <c r="K458" t="s">
        <v>31</v>
      </c>
      <c r="L458">
        <v>73</v>
      </c>
      <c r="M458">
        <v>2.21</v>
      </c>
      <c r="N458">
        <v>0.97</v>
      </c>
      <c r="O458" t="s">
        <v>15</v>
      </c>
      <c r="P458">
        <v>73</v>
      </c>
      <c r="Q458">
        <v>170</v>
      </c>
      <c r="R458">
        <v>120</v>
      </c>
      <c r="S458">
        <v>40</v>
      </c>
      <c r="T458" t="s">
        <v>50</v>
      </c>
      <c r="U458">
        <f>IF(Cardiac_Table[[#This Row],[Patient Status at Discharge]]="Died", 1,0)</f>
        <v>0</v>
      </c>
      <c r="V458">
        <f>Cardiac_Table[[#This Row],[Risk of Death % (Model 1)]]/100</f>
        <v>2.2099999999999998E-2</v>
      </c>
      <c r="W458">
        <f>Cardiac_Table[[#This Row],[Risk of Death % (Model 2)]]/100</f>
        <v>9.7000000000000003E-3</v>
      </c>
      <c r="X458" s="18">
        <f>Cardiac_Table[[#This Row],[Procedure Start Date and Time]]-Cardiac_Table[[#This Row],[Hospital Admit Date ]]</f>
        <v>0.23958333333575865</v>
      </c>
    </row>
    <row r="459" spans="1:24" x14ac:dyDescent="0.35">
      <c r="A459">
        <v>466</v>
      </c>
      <c r="B459" s="9">
        <v>43998.291666666664</v>
      </c>
      <c r="C459" s="10">
        <f>INT(Cardiac_Table[[#This Row],[Hospital Admit Date ]])</f>
        <v>43998</v>
      </c>
      <c r="D459" s="11" t="str">
        <f t="shared" si="7"/>
        <v>07:00</v>
      </c>
      <c r="E459" s="9">
        <v>43998.638888888891</v>
      </c>
      <c r="F459" s="10">
        <f>INT(Cardiac_Table[[#This Row],[Procedure Start Date and Time]])</f>
        <v>43998</v>
      </c>
      <c r="G459" s="12">
        <f>MOD(Cardiac_Table[[#This Row],[Procedure Start Date and Time]],1)</f>
        <v>0.63888888889050577</v>
      </c>
      <c r="H459">
        <v>4</v>
      </c>
      <c r="I459" t="s">
        <v>4</v>
      </c>
      <c r="J459" t="s">
        <v>3</v>
      </c>
      <c r="K459" t="s">
        <v>35</v>
      </c>
      <c r="L459">
        <v>44</v>
      </c>
      <c r="M459">
        <v>2.08</v>
      </c>
      <c r="N459">
        <v>0.62</v>
      </c>
      <c r="O459" t="s">
        <v>14</v>
      </c>
      <c r="P459">
        <v>71</v>
      </c>
      <c r="Q459">
        <v>172</v>
      </c>
      <c r="R459">
        <v>57</v>
      </c>
      <c r="S459">
        <v>65</v>
      </c>
      <c r="T459" t="s">
        <v>48</v>
      </c>
      <c r="U459">
        <f>IF(Cardiac_Table[[#This Row],[Patient Status at Discharge]]="Died", 1,0)</f>
        <v>0</v>
      </c>
      <c r="V459">
        <f>Cardiac_Table[[#This Row],[Risk of Death % (Model 1)]]/100</f>
        <v>2.0799999999999999E-2</v>
      </c>
      <c r="W459">
        <f>Cardiac_Table[[#This Row],[Risk of Death % (Model 2)]]/100</f>
        <v>6.1999999999999998E-3</v>
      </c>
      <c r="X459" s="18">
        <f>Cardiac_Table[[#This Row],[Procedure Start Date and Time]]-Cardiac_Table[[#This Row],[Hospital Admit Date ]]</f>
        <v>0.34722222222626442</v>
      </c>
    </row>
    <row r="460" spans="1:24" x14ac:dyDescent="0.35">
      <c r="A460">
        <v>467</v>
      </c>
      <c r="B460" s="9">
        <v>43998.291666666664</v>
      </c>
      <c r="C460" s="10">
        <f>INT(Cardiac_Table[[#This Row],[Hospital Admit Date ]])</f>
        <v>43998</v>
      </c>
      <c r="D460" s="11" t="str">
        <f t="shared" si="7"/>
        <v>07:00</v>
      </c>
      <c r="E460" s="9">
        <v>43998.695138888892</v>
      </c>
      <c r="F460" s="10">
        <f>INT(Cardiac_Table[[#This Row],[Procedure Start Date and Time]])</f>
        <v>43998</v>
      </c>
      <c r="G460" s="12">
        <f>MOD(Cardiac_Table[[#This Row],[Procedure Start Date and Time]],1)</f>
        <v>0.69513888889196096</v>
      </c>
      <c r="H460">
        <v>5</v>
      </c>
      <c r="I460" t="s">
        <v>4</v>
      </c>
      <c r="J460" t="s">
        <v>11</v>
      </c>
      <c r="K460" t="s">
        <v>26</v>
      </c>
      <c r="L460">
        <v>83</v>
      </c>
      <c r="M460">
        <v>9.52</v>
      </c>
      <c r="N460">
        <v>3.67</v>
      </c>
      <c r="O460" t="s">
        <v>15</v>
      </c>
      <c r="P460">
        <v>88</v>
      </c>
      <c r="Q460">
        <v>153</v>
      </c>
      <c r="R460">
        <v>59</v>
      </c>
      <c r="S460">
        <v>73</v>
      </c>
      <c r="T460" t="s">
        <v>48</v>
      </c>
      <c r="U460">
        <f>IF(Cardiac_Table[[#This Row],[Patient Status at Discharge]]="Died", 1,0)</f>
        <v>0</v>
      </c>
      <c r="V460">
        <f>Cardiac_Table[[#This Row],[Risk of Death % (Model 1)]]/100</f>
        <v>9.5199999999999993E-2</v>
      </c>
      <c r="W460">
        <f>Cardiac_Table[[#This Row],[Risk of Death % (Model 2)]]/100</f>
        <v>3.6699999999999997E-2</v>
      </c>
      <c r="X460" s="18">
        <f>Cardiac_Table[[#This Row],[Procedure Start Date and Time]]-Cardiac_Table[[#This Row],[Hospital Admit Date ]]</f>
        <v>0.40347222222771961</v>
      </c>
    </row>
    <row r="461" spans="1:24" x14ac:dyDescent="0.35">
      <c r="A461">
        <v>468</v>
      </c>
      <c r="B461" s="9">
        <v>43997.291666666664</v>
      </c>
      <c r="C461" s="10">
        <f>INT(Cardiac_Table[[#This Row],[Hospital Admit Date ]])</f>
        <v>43997</v>
      </c>
      <c r="D461" s="11" t="str">
        <f t="shared" si="7"/>
        <v>07:00</v>
      </c>
      <c r="E461" s="9">
        <v>43999.336805555555</v>
      </c>
      <c r="F461" s="10">
        <f>INT(Cardiac_Table[[#This Row],[Procedure Start Date and Time]])</f>
        <v>43999</v>
      </c>
      <c r="G461" s="12">
        <f>MOD(Cardiac_Table[[#This Row],[Procedure Start Date and Time]],1)</f>
        <v>0.33680555555474712</v>
      </c>
      <c r="H461">
        <v>4</v>
      </c>
      <c r="I461" t="s">
        <v>4</v>
      </c>
      <c r="J461" t="s">
        <v>3</v>
      </c>
      <c r="K461" t="s">
        <v>27</v>
      </c>
      <c r="L461">
        <v>69</v>
      </c>
      <c r="M461">
        <v>3.98</v>
      </c>
      <c r="N461">
        <v>0.9</v>
      </c>
      <c r="O461" t="s">
        <v>15</v>
      </c>
      <c r="P461">
        <v>74</v>
      </c>
      <c r="Q461">
        <v>162</v>
      </c>
      <c r="R461">
        <v>62</v>
      </c>
      <c r="S461">
        <v>57</v>
      </c>
      <c r="T461" t="s">
        <v>48</v>
      </c>
      <c r="U461">
        <f>IF(Cardiac_Table[[#This Row],[Patient Status at Discharge]]="Died", 1,0)</f>
        <v>0</v>
      </c>
      <c r="V461">
        <f>Cardiac_Table[[#This Row],[Risk of Death % (Model 1)]]/100</f>
        <v>3.9800000000000002E-2</v>
      </c>
      <c r="W461">
        <f>Cardiac_Table[[#This Row],[Risk of Death % (Model 2)]]/100</f>
        <v>9.0000000000000011E-3</v>
      </c>
      <c r="X461" s="18">
        <f>Cardiac_Table[[#This Row],[Procedure Start Date and Time]]-Cardiac_Table[[#This Row],[Hospital Admit Date ]]</f>
        <v>2.0451388888905058</v>
      </c>
    </row>
    <row r="462" spans="1:24" x14ac:dyDescent="0.35">
      <c r="A462">
        <v>469</v>
      </c>
      <c r="B462" s="9">
        <v>43994.397222222222</v>
      </c>
      <c r="C462" s="10">
        <f>INT(Cardiac_Table[[#This Row],[Hospital Admit Date ]])</f>
        <v>43994</v>
      </c>
      <c r="D462" s="11" t="str">
        <f t="shared" si="7"/>
        <v>09:32</v>
      </c>
      <c r="E462" s="9">
        <v>43999.347222222219</v>
      </c>
      <c r="F462" s="10">
        <f>INT(Cardiac_Table[[#This Row],[Procedure Start Date and Time]])</f>
        <v>43999</v>
      </c>
      <c r="G462" s="12">
        <f>MOD(Cardiac_Table[[#This Row],[Procedure Start Date and Time]],1)</f>
        <v>0.34722222221898846</v>
      </c>
      <c r="H462">
        <v>3</v>
      </c>
      <c r="I462" t="s">
        <v>4</v>
      </c>
      <c r="J462" t="s">
        <v>11</v>
      </c>
      <c r="K462" t="s">
        <v>28</v>
      </c>
      <c r="L462">
        <v>75</v>
      </c>
      <c r="M462">
        <v>6.78</v>
      </c>
      <c r="N462">
        <v>2.12</v>
      </c>
      <c r="O462" t="s">
        <v>15</v>
      </c>
      <c r="P462">
        <v>125</v>
      </c>
      <c r="Q462">
        <v>171</v>
      </c>
      <c r="R462">
        <v>119</v>
      </c>
      <c r="S462">
        <v>55</v>
      </c>
      <c r="T462" t="s">
        <v>48</v>
      </c>
      <c r="U462">
        <f>IF(Cardiac_Table[[#This Row],[Patient Status at Discharge]]="Died", 1,0)</f>
        <v>0</v>
      </c>
      <c r="V462">
        <f>Cardiac_Table[[#This Row],[Risk of Death % (Model 1)]]/100</f>
        <v>6.7799999999999999E-2</v>
      </c>
      <c r="W462">
        <f>Cardiac_Table[[#This Row],[Risk of Death % (Model 2)]]/100</f>
        <v>2.12E-2</v>
      </c>
      <c r="X462" s="18">
        <f>Cardiac_Table[[#This Row],[Procedure Start Date and Time]]-Cardiac_Table[[#This Row],[Hospital Admit Date ]]</f>
        <v>4.9499999999970896</v>
      </c>
    </row>
    <row r="463" spans="1:24" x14ac:dyDescent="0.35">
      <c r="A463">
        <v>470</v>
      </c>
      <c r="B463" s="9">
        <v>43996.863194444442</v>
      </c>
      <c r="C463" s="10">
        <f>INT(Cardiac_Table[[#This Row],[Hospital Admit Date ]])</f>
        <v>43996</v>
      </c>
      <c r="D463" s="11" t="str">
        <f t="shared" si="7"/>
        <v>20:43</v>
      </c>
      <c r="E463" s="9">
        <v>43999.569444444445</v>
      </c>
      <c r="F463" s="10">
        <f>INT(Cardiac_Table[[#This Row],[Procedure Start Date and Time]])</f>
        <v>43999</v>
      </c>
      <c r="G463" s="12">
        <f>MOD(Cardiac_Table[[#This Row],[Procedure Start Date and Time]],1)</f>
        <v>0.56944444444525288</v>
      </c>
      <c r="H463">
        <v>4</v>
      </c>
      <c r="I463" t="s">
        <v>6</v>
      </c>
      <c r="J463" t="s">
        <v>10</v>
      </c>
      <c r="K463" t="s">
        <v>27</v>
      </c>
      <c r="L463">
        <v>67</v>
      </c>
      <c r="M463">
        <v>16.2</v>
      </c>
      <c r="N463">
        <v>8.35</v>
      </c>
      <c r="O463" t="s">
        <v>15</v>
      </c>
      <c r="P463">
        <v>105</v>
      </c>
      <c r="Q463">
        <v>177</v>
      </c>
      <c r="R463">
        <v>87</v>
      </c>
      <c r="S463">
        <v>65</v>
      </c>
      <c r="T463" t="s">
        <v>48</v>
      </c>
      <c r="U463">
        <f>IF(Cardiac_Table[[#This Row],[Patient Status at Discharge]]="Died", 1,0)</f>
        <v>0</v>
      </c>
      <c r="V463">
        <f>Cardiac_Table[[#This Row],[Risk of Death % (Model 1)]]/100</f>
        <v>0.16200000000000001</v>
      </c>
      <c r="W463">
        <f>Cardiac_Table[[#This Row],[Risk of Death % (Model 2)]]/100</f>
        <v>8.3499999999999991E-2</v>
      </c>
      <c r="X463" s="18">
        <f>Cardiac_Table[[#This Row],[Procedure Start Date and Time]]-Cardiac_Table[[#This Row],[Hospital Admit Date ]]</f>
        <v>2.7062500000029104</v>
      </c>
    </row>
    <row r="464" spans="1:24" x14ac:dyDescent="0.35">
      <c r="A464">
        <v>471</v>
      </c>
      <c r="B464" s="9">
        <v>43999.291666666664</v>
      </c>
      <c r="C464" s="10">
        <f>INT(Cardiac_Table[[#This Row],[Hospital Admit Date ]])</f>
        <v>43999</v>
      </c>
      <c r="D464" s="11" t="str">
        <f t="shared" si="7"/>
        <v>07:00</v>
      </c>
      <c r="E464" s="9">
        <v>43999.666666666664</v>
      </c>
      <c r="F464" s="10">
        <f>INT(Cardiac_Table[[#This Row],[Procedure Start Date and Time]])</f>
        <v>43999</v>
      </c>
      <c r="G464" s="12">
        <f>MOD(Cardiac_Table[[#This Row],[Procedure Start Date and Time]],1)</f>
        <v>0.66666666666424135</v>
      </c>
      <c r="H464">
        <v>6</v>
      </c>
      <c r="I464" t="s">
        <v>4</v>
      </c>
      <c r="J464" t="s">
        <v>3</v>
      </c>
      <c r="K464" t="s">
        <v>28</v>
      </c>
      <c r="L464">
        <v>61</v>
      </c>
      <c r="M464">
        <v>2.37</v>
      </c>
      <c r="N464">
        <v>1.1200000000000001</v>
      </c>
      <c r="O464" t="s">
        <v>15</v>
      </c>
      <c r="P464">
        <v>107</v>
      </c>
      <c r="Q464">
        <v>174</v>
      </c>
      <c r="R464">
        <v>75</v>
      </c>
      <c r="S464">
        <v>60</v>
      </c>
      <c r="T464" t="s">
        <v>48</v>
      </c>
      <c r="U464">
        <f>IF(Cardiac_Table[[#This Row],[Patient Status at Discharge]]="Died", 1,0)</f>
        <v>0</v>
      </c>
      <c r="V464">
        <f>Cardiac_Table[[#This Row],[Risk of Death % (Model 1)]]/100</f>
        <v>2.3700000000000002E-2</v>
      </c>
      <c r="W464">
        <f>Cardiac_Table[[#This Row],[Risk of Death % (Model 2)]]/100</f>
        <v>1.1200000000000002E-2</v>
      </c>
      <c r="X464" s="18">
        <f>Cardiac_Table[[#This Row],[Procedure Start Date and Time]]-Cardiac_Table[[#This Row],[Hospital Admit Date ]]</f>
        <v>0.375</v>
      </c>
    </row>
    <row r="465" spans="1:24" x14ac:dyDescent="0.35">
      <c r="A465">
        <v>472</v>
      </c>
      <c r="B465" s="9">
        <v>44000.291666666664</v>
      </c>
      <c r="C465" s="10">
        <f>INT(Cardiac_Table[[#This Row],[Hospital Admit Date ]])</f>
        <v>44000</v>
      </c>
      <c r="D465" s="11" t="str">
        <f t="shared" si="7"/>
        <v>07:00</v>
      </c>
      <c r="E465" s="9">
        <v>44000.347222222219</v>
      </c>
      <c r="F465" s="10">
        <f>INT(Cardiac_Table[[#This Row],[Procedure Start Date and Time]])</f>
        <v>44000</v>
      </c>
      <c r="G465" s="12">
        <f>MOD(Cardiac_Table[[#This Row],[Procedure Start Date and Time]],1)</f>
        <v>0.34722222221898846</v>
      </c>
      <c r="H465">
        <v>4</v>
      </c>
      <c r="I465" t="s">
        <v>4</v>
      </c>
      <c r="J465" t="s">
        <v>3</v>
      </c>
      <c r="K465" t="s">
        <v>23</v>
      </c>
      <c r="L465">
        <v>52</v>
      </c>
      <c r="M465">
        <v>1.51</v>
      </c>
      <c r="N465">
        <v>0.56000000000000005</v>
      </c>
      <c r="O465" t="s">
        <v>15</v>
      </c>
      <c r="P465">
        <v>112</v>
      </c>
      <c r="Q465">
        <v>175</v>
      </c>
      <c r="R465">
        <v>70</v>
      </c>
      <c r="S465">
        <v>51</v>
      </c>
      <c r="T465" t="s">
        <v>48</v>
      </c>
      <c r="U465">
        <f>IF(Cardiac_Table[[#This Row],[Patient Status at Discharge]]="Died", 1,0)</f>
        <v>0</v>
      </c>
      <c r="V465">
        <f>Cardiac_Table[[#This Row],[Risk of Death % (Model 1)]]/100</f>
        <v>1.5100000000000001E-2</v>
      </c>
      <c r="W465">
        <f>Cardiac_Table[[#This Row],[Risk of Death % (Model 2)]]/100</f>
        <v>5.6000000000000008E-3</v>
      </c>
      <c r="X465" s="18">
        <f>Cardiac_Table[[#This Row],[Procedure Start Date and Time]]-Cardiac_Table[[#This Row],[Hospital Admit Date ]]</f>
        <v>5.5555555554747116E-2</v>
      </c>
    </row>
    <row r="466" spans="1:24" x14ac:dyDescent="0.35">
      <c r="A466">
        <v>473</v>
      </c>
      <c r="B466" s="9">
        <v>43999.3125</v>
      </c>
      <c r="C466" s="10">
        <f>INT(Cardiac_Table[[#This Row],[Hospital Admit Date ]])</f>
        <v>43999</v>
      </c>
      <c r="D466" s="11" t="str">
        <f t="shared" si="7"/>
        <v>07:30</v>
      </c>
      <c r="E466" s="9">
        <v>44000.352777777778</v>
      </c>
      <c r="F466" s="10">
        <f>INT(Cardiac_Table[[#This Row],[Procedure Start Date and Time]])</f>
        <v>44000</v>
      </c>
      <c r="G466" s="12">
        <f>MOD(Cardiac_Table[[#This Row],[Procedure Start Date and Time]],1)</f>
        <v>0.35277777777810115</v>
      </c>
      <c r="H466">
        <v>5</v>
      </c>
      <c r="I466" t="s">
        <v>4</v>
      </c>
      <c r="J466" t="s">
        <v>5</v>
      </c>
      <c r="K466" t="s">
        <v>32</v>
      </c>
      <c r="L466">
        <v>78</v>
      </c>
      <c r="M466">
        <v>20.64</v>
      </c>
      <c r="N466">
        <v>9.07</v>
      </c>
      <c r="O466" t="s">
        <v>15</v>
      </c>
      <c r="P466">
        <v>81</v>
      </c>
      <c r="Q466">
        <v>173</v>
      </c>
      <c r="R466">
        <v>70</v>
      </c>
      <c r="S466">
        <v>19</v>
      </c>
      <c r="T466" t="s">
        <v>51</v>
      </c>
      <c r="U466">
        <f>IF(Cardiac_Table[[#This Row],[Patient Status at Discharge]]="Died", 1,0)</f>
        <v>0</v>
      </c>
      <c r="V466">
        <f>Cardiac_Table[[#This Row],[Risk of Death % (Model 1)]]/100</f>
        <v>0.2064</v>
      </c>
      <c r="W466">
        <f>Cardiac_Table[[#This Row],[Risk of Death % (Model 2)]]/100</f>
        <v>9.0700000000000003E-2</v>
      </c>
      <c r="X466" s="18">
        <f>Cardiac_Table[[#This Row],[Procedure Start Date and Time]]-Cardiac_Table[[#This Row],[Hospital Admit Date ]]</f>
        <v>1.0402777777781012</v>
      </c>
    </row>
    <row r="467" spans="1:24" x14ac:dyDescent="0.35">
      <c r="A467">
        <v>474</v>
      </c>
      <c r="B467" s="9">
        <v>44000.291666666664</v>
      </c>
      <c r="C467" s="10">
        <f>INT(Cardiac_Table[[#This Row],[Hospital Admit Date ]])</f>
        <v>44000</v>
      </c>
      <c r="D467" s="11" t="str">
        <f t="shared" si="7"/>
        <v>07:00</v>
      </c>
      <c r="E467" s="9">
        <v>44000.564583333333</v>
      </c>
      <c r="F467" s="10">
        <f>INT(Cardiac_Table[[#This Row],[Procedure Start Date and Time]])</f>
        <v>44000</v>
      </c>
      <c r="G467" s="12">
        <f>MOD(Cardiac_Table[[#This Row],[Procedure Start Date and Time]],1)</f>
        <v>0.56458333333284827</v>
      </c>
      <c r="H467">
        <v>4</v>
      </c>
      <c r="I467" t="s">
        <v>4</v>
      </c>
      <c r="J467" t="s">
        <v>10</v>
      </c>
      <c r="K467" t="s">
        <v>23</v>
      </c>
      <c r="L467">
        <v>58</v>
      </c>
      <c r="M467">
        <v>1.33</v>
      </c>
      <c r="N467">
        <v>2.0099999999999998</v>
      </c>
      <c r="O467" t="s">
        <v>15</v>
      </c>
      <c r="P467">
        <v>86</v>
      </c>
      <c r="Q467">
        <v>165</v>
      </c>
      <c r="R467">
        <v>58</v>
      </c>
      <c r="S467">
        <v>65</v>
      </c>
      <c r="T467" t="s">
        <v>48</v>
      </c>
      <c r="U467">
        <f>IF(Cardiac_Table[[#This Row],[Patient Status at Discharge]]="Died", 1,0)</f>
        <v>0</v>
      </c>
      <c r="V467">
        <f>Cardiac_Table[[#This Row],[Risk of Death % (Model 1)]]/100</f>
        <v>1.3300000000000001E-2</v>
      </c>
      <c r="W467">
        <f>Cardiac_Table[[#This Row],[Risk of Death % (Model 2)]]/100</f>
        <v>2.0099999999999996E-2</v>
      </c>
      <c r="X467" s="18">
        <f>Cardiac_Table[[#This Row],[Procedure Start Date and Time]]-Cardiac_Table[[#This Row],[Hospital Admit Date ]]</f>
        <v>0.27291666666860692</v>
      </c>
    </row>
    <row r="468" spans="1:24" x14ac:dyDescent="0.35">
      <c r="A468">
        <v>475</v>
      </c>
      <c r="B468" s="9">
        <v>44000.291666666664</v>
      </c>
      <c r="C468" s="10">
        <f>INT(Cardiac_Table[[#This Row],[Hospital Admit Date ]])</f>
        <v>44000</v>
      </c>
      <c r="D468" s="11" t="str">
        <f t="shared" si="7"/>
        <v>07:00</v>
      </c>
      <c r="E468" s="9">
        <v>44000.568055555559</v>
      </c>
      <c r="F468" s="10">
        <f>INT(Cardiac_Table[[#This Row],[Procedure Start Date and Time]])</f>
        <v>44000</v>
      </c>
      <c r="G468" s="12">
        <f>MOD(Cardiac_Table[[#This Row],[Procedure Start Date and Time]],1)</f>
        <v>0.56805555555911269</v>
      </c>
      <c r="H468">
        <v>3</v>
      </c>
      <c r="I468" t="s">
        <v>4</v>
      </c>
      <c r="J468" t="s">
        <v>3</v>
      </c>
      <c r="K468" t="s">
        <v>32</v>
      </c>
      <c r="L468">
        <v>88</v>
      </c>
      <c r="M468">
        <v>12.81</v>
      </c>
      <c r="N468">
        <v>4.46</v>
      </c>
      <c r="O468" t="s">
        <v>15</v>
      </c>
      <c r="P468">
        <v>116</v>
      </c>
      <c r="Q468">
        <v>173</v>
      </c>
      <c r="R468">
        <v>85</v>
      </c>
      <c r="S468">
        <v>66</v>
      </c>
      <c r="T468" t="s">
        <v>48</v>
      </c>
      <c r="U468">
        <f>IF(Cardiac_Table[[#This Row],[Patient Status at Discharge]]="Died", 1,0)</f>
        <v>0</v>
      </c>
      <c r="V468">
        <f>Cardiac_Table[[#This Row],[Risk of Death % (Model 1)]]/100</f>
        <v>0.12809999999999999</v>
      </c>
      <c r="W468">
        <f>Cardiac_Table[[#This Row],[Risk of Death % (Model 2)]]/100</f>
        <v>4.4600000000000001E-2</v>
      </c>
      <c r="X468" s="18">
        <f>Cardiac_Table[[#This Row],[Procedure Start Date and Time]]-Cardiac_Table[[#This Row],[Hospital Admit Date ]]</f>
        <v>0.27638888889487134</v>
      </c>
    </row>
    <row r="469" spans="1:24" x14ac:dyDescent="0.35">
      <c r="A469">
        <v>476</v>
      </c>
      <c r="B469" s="9">
        <v>44001.291666666664</v>
      </c>
      <c r="C469" s="10">
        <f>INT(Cardiac_Table[[#This Row],[Hospital Admit Date ]])</f>
        <v>44001</v>
      </c>
      <c r="D469" s="11" t="str">
        <f t="shared" si="7"/>
        <v>07:00</v>
      </c>
      <c r="E469" s="9">
        <v>44001.347222222219</v>
      </c>
      <c r="F469" s="10">
        <f>INT(Cardiac_Table[[#This Row],[Procedure Start Date and Time]])</f>
        <v>44001</v>
      </c>
      <c r="G469" s="12">
        <f>MOD(Cardiac_Table[[#This Row],[Procedure Start Date and Time]],1)</f>
        <v>0.34722222221898846</v>
      </c>
      <c r="H469">
        <v>4</v>
      </c>
      <c r="I469" t="s">
        <v>4</v>
      </c>
      <c r="J469" t="s">
        <v>1</v>
      </c>
      <c r="K469" t="s">
        <v>23</v>
      </c>
      <c r="L469">
        <v>52</v>
      </c>
      <c r="M469">
        <v>6.35</v>
      </c>
      <c r="N469">
        <v>1.19</v>
      </c>
      <c r="O469" t="s">
        <v>15</v>
      </c>
      <c r="P469">
        <v>97</v>
      </c>
      <c r="Q469">
        <v>169</v>
      </c>
      <c r="R469">
        <v>101</v>
      </c>
      <c r="S469">
        <v>58</v>
      </c>
      <c r="T469" t="s">
        <v>48</v>
      </c>
      <c r="U469">
        <f>IF(Cardiac_Table[[#This Row],[Patient Status at Discharge]]="Died", 1,0)</f>
        <v>0</v>
      </c>
      <c r="V469">
        <f>Cardiac_Table[[#This Row],[Risk of Death % (Model 1)]]/100</f>
        <v>6.3500000000000001E-2</v>
      </c>
      <c r="W469">
        <f>Cardiac_Table[[#This Row],[Risk of Death % (Model 2)]]/100</f>
        <v>1.1899999999999999E-2</v>
      </c>
      <c r="X469" s="18">
        <f>Cardiac_Table[[#This Row],[Procedure Start Date and Time]]-Cardiac_Table[[#This Row],[Hospital Admit Date ]]</f>
        <v>5.5555555554747116E-2</v>
      </c>
    </row>
    <row r="470" spans="1:24" x14ac:dyDescent="0.35">
      <c r="A470">
        <v>477</v>
      </c>
      <c r="B470" s="9">
        <v>44001.291666666664</v>
      </c>
      <c r="C470" s="10">
        <f>INT(Cardiac_Table[[#This Row],[Hospital Admit Date ]])</f>
        <v>44001</v>
      </c>
      <c r="D470" s="11" t="str">
        <f t="shared" si="7"/>
        <v>07:00</v>
      </c>
      <c r="E470" s="9">
        <v>44001.354166666664</v>
      </c>
      <c r="F470" s="10">
        <f>INT(Cardiac_Table[[#This Row],[Procedure Start Date and Time]])</f>
        <v>44001</v>
      </c>
      <c r="G470" s="12">
        <f>MOD(Cardiac_Table[[#This Row],[Procedure Start Date and Time]],1)</f>
        <v>0.35416666666424135</v>
      </c>
      <c r="H470">
        <v>3</v>
      </c>
      <c r="I470" t="s">
        <v>4</v>
      </c>
      <c r="J470" t="s">
        <v>3</v>
      </c>
      <c r="K470" t="s">
        <v>35</v>
      </c>
      <c r="L470">
        <v>65</v>
      </c>
      <c r="M470">
        <v>4.5999999999999996</v>
      </c>
      <c r="N470">
        <v>1.0900000000000001</v>
      </c>
      <c r="O470" t="s">
        <v>15</v>
      </c>
      <c r="P470">
        <v>89</v>
      </c>
      <c r="Q470">
        <v>170</v>
      </c>
      <c r="R470">
        <v>123</v>
      </c>
      <c r="S470">
        <v>60</v>
      </c>
      <c r="T470" t="s">
        <v>48</v>
      </c>
      <c r="U470">
        <f>IF(Cardiac_Table[[#This Row],[Patient Status at Discharge]]="Died", 1,0)</f>
        <v>0</v>
      </c>
      <c r="V470">
        <f>Cardiac_Table[[#This Row],[Risk of Death % (Model 1)]]/100</f>
        <v>4.5999999999999999E-2</v>
      </c>
      <c r="W470">
        <f>Cardiac_Table[[#This Row],[Risk of Death % (Model 2)]]/100</f>
        <v>1.09E-2</v>
      </c>
      <c r="X470" s="18">
        <f>Cardiac_Table[[#This Row],[Procedure Start Date and Time]]-Cardiac_Table[[#This Row],[Hospital Admit Date ]]</f>
        <v>6.25E-2</v>
      </c>
    </row>
    <row r="471" spans="1:24" x14ac:dyDescent="0.35">
      <c r="A471">
        <v>478</v>
      </c>
      <c r="B471" s="9">
        <v>44001.291666666664</v>
      </c>
      <c r="C471" s="10">
        <f>INT(Cardiac_Table[[#This Row],[Hospital Admit Date ]])</f>
        <v>44001</v>
      </c>
      <c r="D471" s="11" t="str">
        <f t="shared" si="7"/>
        <v>07:00</v>
      </c>
      <c r="E471" s="9">
        <v>44001.545138888891</v>
      </c>
      <c r="F471" s="10">
        <f>INT(Cardiac_Table[[#This Row],[Procedure Start Date and Time]])</f>
        <v>44001</v>
      </c>
      <c r="G471" s="12">
        <f>MOD(Cardiac_Table[[#This Row],[Procedure Start Date and Time]],1)</f>
        <v>0.54513888889050577</v>
      </c>
      <c r="H471">
        <v>3</v>
      </c>
      <c r="I471" t="s">
        <v>4</v>
      </c>
      <c r="J471" t="s">
        <v>3</v>
      </c>
      <c r="K471" t="s">
        <v>35</v>
      </c>
      <c r="L471">
        <v>60</v>
      </c>
      <c r="M471">
        <v>4.6500000000000004</v>
      </c>
      <c r="N471">
        <v>1.77</v>
      </c>
      <c r="O471" t="s">
        <v>15</v>
      </c>
      <c r="P471">
        <v>81</v>
      </c>
      <c r="Q471">
        <v>173</v>
      </c>
      <c r="R471">
        <v>85</v>
      </c>
      <c r="S471">
        <v>39</v>
      </c>
      <c r="T471" t="s">
        <v>50</v>
      </c>
      <c r="U471">
        <f>IF(Cardiac_Table[[#This Row],[Patient Status at Discharge]]="Died", 1,0)</f>
        <v>0</v>
      </c>
      <c r="V471">
        <f>Cardiac_Table[[#This Row],[Risk of Death % (Model 1)]]/100</f>
        <v>4.6500000000000007E-2</v>
      </c>
      <c r="W471">
        <f>Cardiac_Table[[#This Row],[Risk of Death % (Model 2)]]/100</f>
        <v>1.77E-2</v>
      </c>
      <c r="X471" s="18">
        <f>Cardiac_Table[[#This Row],[Procedure Start Date and Time]]-Cardiac_Table[[#This Row],[Hospital Admit Date ]]</f>
        <v>0.25347222222626442</v>
      </c>
    </row>
    <row r="472" spans="1:24" x14ac:dyDescent="0.35">
      <c r="A472">
        <v>479</v>
      </c>
      <c r="B472" s="9">
        <v>44001.291666666664</v>
      </c>
      <c r="C472" s="10">
        <f>INT(Cardiac_Table[[#This Row],[Hospital Admit Date ]])</f>
        <v>44001</v>
      </c>
      <c r="D472" s="11" t="str">
        <f t="shared" si="7"/>
        <v>07:00</v>
      </c>
      <c r="E472" s="9">
        <v>44001.629166666666</v>
      </c>
      <c r="F472" s="10">
        <f>INT(Cardiac_Table[[#This Row],[Procedure Start Date and Time]])</f>
        <v>44001</v>
      </c>
      <c r="G472" s="12">
        <f>MOD(Cardiac_Table[[#This Row],[Procedure Start Date and Time]],1)</f>
        <v>0.62916666666569654</v>
      </c>
      <c r="H472">
        <v>4</v>
      </c>
      <c r="I472" t="s">
        <v>4</v>
      </c>
      <c r="J472" t="s">
        <v>3</v>
      </c>
      <c r="K472" t="s">
        <v>23</v>
      </c>
      <c r="L472">
        <v>40</v>
      </c>
      <c r="M472">
        <v>1.51</v>
      </c>
      <c r="N472">
        <v>0.5</v>
      </c>
      <c r="O472" t="s">
        <v>15</v>
      </c>
      <c r="P472">
        <v>97</v>
      </c>
      <c r="Q472">
        <v>175</v>
      </c>
      <c r="R472">
        <v>76</v>
      </c>
      <c r="S472">
        <v>50</v>
      </c>
      <c r="T472" t="s">
        <v>50</v>
      </c>
      <c r="U472">
        <f>IF(Cardiac_Table[[#This Row],[Patient Status at Discharge]]="Died", 1,0)</f>
        <v>0</v>
      </c>
      <c r="V472">
        <f>Cardiac_Table[[#This Row],[Risk of Death % (Model 1)]]/100</f>
        <v>1.5100000000000001E-2</v>
      </c>
      <c r="W472">
        <f>Cardiac_Table[[#This Row],[Risk of Death % (Model 2)]]/100</f>
        <v>5.0000000000000001E-3</v>
      </c>
      <c r="X472" s="18">
        <f>Cardiac_Table[[#This Row],[Procedure Start Date and Time]]-Cardiac_Table[[#This Row],[Hospital Admit Date ]]</f>
        <v>0.33750000000145519</v>
      </c>
    </row>
    <row r="473" spans="1:24" x14ac:dyDescent="0.35">
      <c r="A473">
        <v>480</v>
      </c>
      <c r="B473" s="9">
        <v>43986.576388888891</v>
      </c>
      <c r="C473" s="10">
        <f>INT(Cardiac_Table[[#This Row],[Hospital Admit Date ]])</f>
        <v>43986</v>
      </c>
      <c r="D473" s="11" t="str">
        <f t="shared" si="7"/>
        <v>13:50</v>
      </c>
      <c r="E473" s="9">
        <v>44002.347222222219</v>
      </c>
      <c r="F473" s="10">
        <f>INT(Cardiac_Table[[#This Row],[Procedure Start Date and Time]])</f>
        <v>44002</v>
      </c>
      <c r="G473" s="12">
        <f>MOD(Cardiac_Table[[#This Row],[Procedure Start Date and Time]],1)</f>
        <v>0.34722222221898846</v>
      </c>
      <c r="H473">
        <v>4</v>
      </c>
      <c r="I473" t="s">
        <v>6</v>
      </c>
      <c r="J473" t="s">
        <v>10</v>
      </c>
      <c r="K473" t="s">
        <v>27</v>
      </c>
      <c r="L473">
        <v>72</v>
      </c>
      <c r="M473">
        <v>2.0699999999999998</v>
      </c>
      <c r="N473">
        <v>0.97</v>
      </c>
      <c r="O473" t="s">
        <v>15</v>
      </c>
      <c r="P473">
        <v>71</v>
      </c>
      <c r="Q473">
        <v>160</v>
      </c>
      <c r="R473">
        <v>60</v>
      </c>
      <c r="S473">
        <v>60</v>
      </c>
      <c r="T473" t="s">
        <v>48</v>
      </c>
      <c r="U473">
        <f>IF(Cardiac_Table[[#This Row],[Patient Status at Discharge]]="Died", 1,0)</f>
        <v>0</v>
      </c>
      <c r="V473">
        <f>Cardiac_Table[[#This Row],[Risk of Death % (Model 1)]]/100</f>
        <v>2.07E-2</v>
      </c>
      <c r="W473">
        <f>Cardiac_Table[[#This Row],[Risk of Death % (Model 2)]]/100</f>
        <v>9.7000000000000003E-3</v>
      </c>
      <c r="X473" s="18">
        <f>Cardiac_Table[[#This Row],[Procedure Start Date and Time]]-Cardiac_Table[[#This Row],[Hospital Admit Date ]]</f>
        <v>15.770833333328483</v>
      </c>
    </row>
    <row r="474" spans="1:24" x14ac:dyDescent="0.35">
      <c r="A474">
        <v>481</v>
      </c>
      <c r="B474" s="9">
        <v>44002.291666666664</v>
      </c>
      <c r="C474" s="10">
        <f>INT(Cardiac_Table[[#This Row],[Hospital Admit Date ]])</f>
        <v>44002</v>
      </c>
      <c r="D474" s="11" t="str">
        <f t="shared" si="7"/>
        <v>07:00</v>
      </c>
      <c r="E474" s="9">
        <v>44002.618055555555</v>
      </c>
      <c r="F474" s="10">
        <f>INT(Cardiac_Table[[#This Row],[Procedure Start Date and Time]])</f>
        <v>44002</v>
      </c>
      <c r="G474" s="12">
        <f>MOD(Cardiac_Table[[#This Row],[Procedure Start Date and Time]],1)</f>
        <v>0.61805555555474712</v>
      </c>
      <c r="H474">
        <v>4</v>
      </c>
      <c r="I474" t="s">
        <v>4</v>
      </c>
      <c r="J474" t="s">
        <v>3</v>
      </c>
      <c r="K474" t="s">
        <v>27</v>
      </c>
      <c r="L474">
        <v>69</v>
      </c>
      <c r="M474">
        <v>2.89</v>
      </c>
      <c r="N474">
        <v>0.65</v>
      </c>
      <c r="O474" t="s">
        <v>15</v>
      </c>
      <c r="P474">
        <v>78</v>
      </c>
      <c r="Q474">
        <v>173</v>
      </c>
      <c r="R474">
        <v>76</v>
      </c>
      <c r="S474">
        <v>45</v>
      </c>
      <c r="T474" t="s">
        <v>50</v>
      </c>
      <c r="U474">
        <f>IF(Cardiac_Table[[#This Row],[Patient Status at Discharge]]="Died", 1,0)</f>
        <v>0</v>
      </c>
      <c r="V474">
        <f>Cardiac_Table[[#This Row],[Risk of Death % (Model 1)]]/100</f>
        <v>2.8900000000000002E-2</v>
      </c>
      <c r="W474">
        <f>Cardiac_Table[[#This Row],[Risk of Death % (Model 2)]]/100</f>
        <v>6.5000000000000006E-3</v>
      </c>
      <c r="X474" s="18">
        <f>Cardiac_Table[[#This Row],[Procedure Start Date and Time]]-Cardiac_Table[[#This Row],[Hospital Admit Date ]]</f>
        <v>0.32638888889050577</v>
      </c>
    </row>
    <row r="475" spans="1:24" x14ac:dyDescent="0.35">
      <c r="A475">
        <v>482</v>
      </c>
      <c r="B475" s="9">
        <v>44003.086111111108</v>
      </c>
      <c r="C475" s="10">
        <f>INT(Cardiac_Table[[#This Row],[Hospital Admit Date ]])</f>
        <v>44003</v>
      </c>
      <c r="D475" s="11" t="str">
        <f t="shared" si="7"/>
        <v>02:04</v>
      </c>
      <c r="E475" s="9">
        <v>44003.125</v>
      </c>
      <c r="F475" s="10">
        <f>INT(Cardiac_Table[[#This Row],[Procedure Start Date and Time]])</f>
        <v>44003</v>
      </c>
      <c r="G475" s="12">
        <f>MOD(Cardiac_Table[[#This Row],[Procedure Start Date and Time]],1)</f>
        <v>0.125</v>
      </c>
      <c r="H475">
        <v>1</v>
      </c>
      <c r="I475" t="s">
        <v>2</v>
      </c>
      <c r="J475" t="s">
        <v>1</v>
      </c>
      <c r="K475" t="s">
        <v>24</v>
      </c>
      <c r="L475">
        <v>61</v>
      </c>
      <c r="M475">
        <v>13.65</v>
      </c>
      <c r="N475">
        <v>5.54</v>
      </c>
      <c r="O475" t="s">
        <v>15</v>
      </c>
      <c r="P475">
        <v>88</v>
      </c>
      <c r="Q475">
        <v>167</v>
      </c>
      <c r="R475">
        <v>70</v>
      </c>
      <c r="S475">
        <v>50</v>
      </c>
      <c r="T475" t="s">
        <v>50</v>
      </c>
      <c r="U475">
        <f>IF(Cardiac_Table[[#This Row],[Patient Status at Discharge]]="Died", 1,0)</f>
        <v>0</v>
      </c>
      <c r="V475">
        <f>Cardiac_Table[[#This Row],[Risk of Death % (Model 1)]]/100</f>
        <v>0.13650000000000001</v>
      </c>
      <c r="W475">
        <f>Cardiac_Table[[#This Row],[Risk of Death % (Model 2)]]/100</f>
        <v>5.5399999999999998E-2</v>
      </c>
      <c r="X475" s="18">
        <f>Cardiac_Table[[#This Row],[Procedure Start Date and Time]]-Cardiac_Table[[#This Row],[Hospital Admit Date ]]</f>
        <v>3.888888889196096E-2</v>
      </c>
    </row>
    <row r="476" spans="1:24" x14ac:dyDescent="0.35">
      <c r="A476">
        <v>483</v>
      </c>
      <c r="B476" s="9">
        <v>44002.458333333336</v>
      </c>
      <c r="C476" s="10">
        <f>INT(Cardiac_Table[[#This Row],[Hospital Admit Date ]])</f>
        <v>44002</v>
      </c>
      <c r="D476" s="11" t="str">
        <f t="shared" si="7"/>
        <v>11:00</v>
      </c>
      <c r="E476" s="9">
        <v>44004.347222222219</v>
      </c>
      <c r="F476" s="10">
        <f>INT(Cardiac_Table[[#This Row],[Procedure Start Date and Time]])</f>
        <v>44004</v>
      </c>
      <c r="G476" s="12">
        <f>MOD(Cardiac_Table[[#This Row],[Procedure Start Date and Time]],1)</f>
        <v>0.34722222221898846</v>
      </c>
      <c r="H476">
        <v>3</v>
      </c>
      <c r="I476" t="s">
        <v>6</v>
      </c>
      <c r="J476" t="s">
        <v>10</v>
      </c>
      <c r="K476" t="s">
        <v>26</v>
      </c>
      <c r="L476">
        <v>69</v>
      </c>
      <c r="M476">
        <v>2.76</v>
      </c>
      <c r="N476">
        <v>1.48</v>
      </c>
      <c r="O476" t="s">
        <v>15</v>
      </c>
      <c r="P476">
        <v>74</v>
      </c>
      <c r="Q476">
        <v>160</v>
      </c>
      <c r="R476">
        <v>73</v>
      </c>
      <c r="S476">
        <v>45</v>
      </c>
      <c r="T476" t="s">
        <v>50</v>
      </c>
      <c r="U476">
        <f>IF(Cardiac_Table[[#This Row],[Patient Status at Discharge]]="Died", 1,0)</f>
        <v>0</v>
      </c>
      <c r="V476">
        <f>Cardiac_Table[[#This Row],[Risk of Death % (Model 1)]]/100</f>
        <v>2.76E-2</v>
      </c>
      <c r="W476">
        <f>Cardiac_Table[[#This Row],[Risk of Death % (Model 2)]]/100</f>
        <v>1.4800000000000001E-2</v>
      </c>
      <c r="X476" s="18">
        <f>Cardiac_Table[[#This Row],[Procedure Start Date and Time]]-Cardiac_Table[[#This Row],[Hospital Admit Date ]]</f>
        <v>1.8888888888832298</v>
      </c>
    </row>
    <row r="477" spans="1:24" x14ac:dyDescent="0.35">
      <c r="A477">
        <v>484</v>
      </c>
      <c r="B477" s="9">
        <v>44004.302083333336</v>
      </c>
      <c r="C477" s="10">
        <f>INT(Cardiac_Table[[#This Row],[Hospital Admit Date ]])</f>
        <v>44004</v>
      </c>
      <c r="D477" s="11" t="str">
        <f t="shared" si="7"/>
        <v>07:15</v>
      </c>
      <c r="E477" s="9">
        <v>44004.367361111108</v>
      </c>
      <c r="F477" s="10">
        <f>INT(Cardiac_Table[[#This Row],[Procedure Start Date and Time]])</f>
        <v>44004</v>
      </c>
      <c r="G477" s="12">
        <f>MOD(Cardiac_Table[[#This Row],[Procedure Start Date and Time]],1)</f>
        <v>0.36736111110803904</v>
      </c>
      <c r="H477">
        <v>4</v>
      </c>
      <c r="I477" t="s">
        <v>4</v>
      </c>
      <c r="J477" t="s">
        <v>3</v>
      </c>
      <c r="K477" t="s">
        <v>33</v>
      </c>
      <c r="L477">
        <v>76</v>
      </c>
      <c r="M477">
        <v>4.53</v>
      </c>
      <c r="N477">
        <v>0.88</v>
      </c>
      <c r="O477" t="s">
        <v>15</v>
      </c>
      <c r="P477">
        <v>66</v>
      </c>
      <c r="Q477">
        <v>177</v>
      </c>
      <c r="R477">
        <v>86</v>
      </c>
      <c r="S477">
        <v>59</v>
      </c>
      <c r="T477" t="s">
        <v>48</v>
      </c>
      <c r="U477">
        <f>IF(Cardiac_Table[[#This Row],[Patient Status at Discharge]]="Died", 1,0)</f>
        <v>0</v>
      </c>
      <c r="V477">
        <f>Cardiac_Table[[#This Row],[Risk of Death % (Model 1)]]/100</f>
        <v>4.53E-2</v>
      </c>
      <c r="W477">
        <f>Cardiac_Table[[#This Row],[Risk of Death % (Model 2)]]/100</f>
        <v>8.8000000000000005E-3</v>
      </c>
      <c r="X477" s="18">
        <f>Cardiac_Table[[#This Row],[Procedure Start Date and Time]]-Cardiac_Table[[#This Row],[Hospital Admit Date ]]</f>
        <v>6.5277777772280388E-2</v>
      </c>
    </row>
    <row r="478" spans="1:24" x14ac:dyDescent="0.35">
      <c r="A478">
        <v>485</v>
      </c>
      <c r="B478" s="9">
        <v>44004.29583333333</v>
      </c>
      <c r="C478" s="10">
        <f>INT(Cardiac_Table[[#This Row],[Hospital Admit Date ]])</f>
        <v>44004</v>
      </c>
      <c r="D478" s="11" t="str">
        <f t="shared" si="7"/>
        <v>07:06</v>
      </c>
      <c r="E478" s="9">
        <v>44004.571527777778</v>
      </c>
      <c r="F478" s="10">
        <f>INT(Cardiac_Table[[#This Row],[Procedure Start Date and Time]])</f>
        <v>44004</v>
      </c>
      <c r="G478" s="12">
        <f>MOD(Cardiac_Table[[#This Row],[Procedure Start Date and Time]],1)</f>
        <v>0.57152777777810115</v>
      </c>
      <c r="H478">
        <v>3</v>
      </c>
      <c r="I478" t="s">
        <v>4</v>
      </c>
      <c r="J478" t="s">
        <v>1</v>
      </c>
      <c r="K478" t="s">
        <v>26</v>
      </c>
      <c r="L478">
        <v>61</v>
      </c>
      <c r="M478">
        <v>14.03</v>
      </c>
      <c r="N478">
        <v>5.14</v>
      </c>
      <c r="O478" t="s">
        <v>15</v>
      </c>
      <c r="P478">
        <v>75</v>
      </c>
      <c r="Q478">
        <v>171</v>
      </c>
      <c r="R478">
        <v>89</v>
      </c>
      <c r="S478">
        <v>50</v>
      </c>
      <c r="T478" t="s">
        <v>50</v>
      </c>
      <c r="U478">
        <f>IF(Cardiac_Table[[#This Row],[Patient Status at Discharge]]="Died", 1,0)</f>
        <v>0</v>
      </c>
      <c r="V478">
        <f>Cardiac_Table[[#This Row],[Risk of Death % (Model 1)]]/100</f>
        <v>0.14029999999999998</v>
      </c>
      <c r="W478">
        <f>Cardiac_Table[[#This Row],[Risk of Death % (Model 2)]]/100</f>
        <v>5.1399999999999994E-2</v>
      </c>
      <c r="X478" s="18">
        <f>Cardiac_Table[[#This Row],[Procedure Start Date and Time]]-Cardiac_Table[[#This Row],[Hospital Admit Date ]]</f>
        <v>0.27569444444816327</v>
      </c>
    </row>
    <row r="479" spans="1:24" x14ac:dyDescent="0.35">
      <c r="A479">
        <v>486</v>
      </c>
      <c r="B479" s="9">
        <v>43999.583333333336</v>
      </c>
      <c r="C479" s="10">
        <f>INT(Cardiac_Table[[#This Row],[Hospital Admit Date ]])</f>
        <v>43999</v>
      </c>
      <c r="D479" s="11" t="str">
        <f t="shared" si="7"/>
        <v>14:00</v>
      </c>
      <c r="E479" s="9">
        <v>44005.34375</v>
      </c>
      <c r="F479" s="10">
        <f>INT(Cardiac_Table[[#This Row],[Procedure Start Date and Time]])</f>
        <v>44005</v>
      </c>
      <c r="G479" s="12">
        <f>MOD(Cardiac_Table[[#This Row],[Procedure Start Date and Time]],1)</f>
        <v>0.34375</v>
      </c>
      <c r="H479">
        <v>3</v>
      </c>
      <c r="I479" t="s">
        <v>6</v>
      </c>
      <c r="J479" t="s">
        <v>10</v>
      </c>
      <c r="K479" t="s">
        <v>26</v>
      </c>
      <c r="L479">
        <v>80</v>
      </c>
      <c r="M479">
        <v>15.41</v>
      </c>
      <c r="N479">
        <v>14.72</v>
      </c>
      <c r="O479" t="s">
        <v>15</v>
      </c>
      <c r="P479">
        <v>86</v>
      </c>
      <c r="Q479">
        <v>174</v>
      </c>
      <c r="R479">
        <v>128</v>
      </c>
      <c r="S479">
        <v>35</v>
      </c>
      <c r="T479" t="s">
        <v>50</v>
      </c>
      <c r="U479">
        <f>IF(Cardiac_Table[[#This Row],[Patient Status at Discharge]]="Died", 1,0)</f>
        <v>0</v>
      </c>
      <c r="V479">
        <f>Cardiac_Table[[#This Row],[Risk of Death % (Model 1)]]/100</f>
        <v>0.15410000000000001</v>
      </c>
      <c r="W479">
        <f>Cardiac_Table[[#This Row],[Risk of Death % (Model 2)]]/100</f>
        <v>0.1472</v>
      </c>
      <c r="X479" s="18">
        <f>Cardiac_Table[[#This Row],[Procedure Start Date and Time]]-Cardiac_Table[[#This Row],[Hospital Admit Date ]]</f>
        <v>5.7604166666642413</v>
      </c>
    </row>
    <row r="480" spans="1:24" x14ac:dyDescent="0.35">
      <c r="A480">
        <v>487</v>
      </c>
      <c r="B480" s="9">
        <v>44004.833333333336</v>
      </c>
      <c r="C480" s="10">
        <f>INT(Cardiac_Table[[#This Row],[Hospital Admit Date ]])</f>
        <v>44004</v>
      </c>
      <c r="D480" s="11" t="str">
        <f t="shared" si="7"/>
        <v>20:00</v>
      </c>
      <c r="E480" s="9">
        <v>44005.354166666664</v>
      </c>
      <c r="F480" s="10">
        <f>INT(Cardiac_Table[[#This Row],[Procedure Start Date and Time]])</f>
        <v>44005</v>
      </c>
      <c r="G480" s="12">
        <f>MOD(Cardiac_Table[[#This Row],[Procedure Start Date and Time]],1)</f>
        <v>0.35416666666424135</v>
      </c>
      <c r="H480">
        <v>5</v>
      </c>
      <c r="I480" t="s">
        <v>4</v>
      </c>
      <c r="J480" t="s">
        <v>3</v>
      </c>
      <c r="K480" t="s">
        <v>28</v>
      </c>
      <c r="L480">
        <v>68</v>
      </c>
      <c r="M480">
        <v>5.56</v>
      </c>
      <c r="N480">
        <v>4.74</v>
      </c>
      <c r="O480" t="s">
        <v>15</v>
      </c>
      <c r="P480">
        <v>88</v>
      </c>
      <c r="Q480">
        <v>164</v>
      </c>
      <c r="R480">
        <v>73</v>
      </c>
      <c r="S480">
        <v>50</v>
      </c>
      <c r="T480" t="s">
        <v>50</v>
      </c>
      <c r="U480">
        <f>IF(Cardiac_Table[[#This Row],[Patient Status at Discharge]]="Died", 1,0)</f>
        <v>0</v>
      </c>
      <c r="V480">
        <f>Cardiac_Table[[#This Row],[Risk of Death % (Model 1)]]/100</f>
        <v>5.5599999999999997E-2</v>
      </c>
      <c r="W480">
        <f>Cardiac_Table[[#This Row],[Risk of Death % (Model 2)]]/100</f>
        <v>4.7400000000000005E-2</v>
      </c>
      <c r="X480" s="18">
        <f>Cardiac_Table[[#This Row],[Procedure Start Date and Time]]-Cardiac_Table[[#This Row],[Hospital Admit Date ]]</f>
        <v>0.52083333332848269</v>
      </c>
    </row>
    <row r="481" spans="1:24" x14ac:dyDescent="0.35">
      <c r="A481">
        <v>488</v>
      </c>
      <c r="B481" s="9">
        <v>44004.396527777775</v>
      </c>
      <c r="C481" s="10">
        <f>INT(Cardiac_Table[[#This Row],[Hospital Admit Date ]])</f>
        <v>44004</v>
      </c>
      <c r="D481" s="11" t="str">
        <f t="shared" si="7"/>
        <v>09:31</v>
      </c>
      <c r="E481" s="9">
        <v>44005.359027777777</v>
      </c>
      <c r="F481" s="10">
        <f>INT(Cardiac_Table[[#This Row],[Procedure Start Date and Time]])</f>
        <v>44005</v>
      </c>
      <c r="G481" s="12">
        <f>MOD(Cardiac_Table[[#This Row],[Procedure Start Date and Time]],1)</f>
        <v>0.35902777777664596</v>
      </c>
      <c r="H481">
        <v>4</v>
      </c>
      <c r="I481" t="s">
        <v>4</v>
      </c>
      <c r="J481" t="s">
        <v>3</v>
      </c>
      <c r="K481" t="s">
        <v>35</v>
      </c>
      <c r="L481">
        <v>76</v>
      </c>
      <c r="M481">
        <v>6.73</v>
      </c>
      <c r="N481">
        <v>2.4700000000000002</v>
      </c>
      <c r="O481" t="s">
        <v>15</v>
      </c>
      <c r="P481">
        <v>93</v>
      </c>
      <c r="Q481">
        <v>166</v>
      </c>
      <c r="R481">
        <v>84</v>
      </c>
      <c r="S481">
        <v>28</v>
      </c>
      <c r="T481" t="s">
        <v>49</v>
      </c>
      <c r="U481">
        <f>IF(Cardiac_Table[[#This Row],[Patient Status at Discharge]]="Died", 1,0)</f>
        <v>0</v>
      </c>
      <c r="V481">
        <f>Cardiac_Table[[#This Row],[Risk of Death % (Model 1)]]/100</f>
        <v>6.7299999999999999E-2</v>
      </c>
      <c r="W481">
        <f>Cardiac_Table[[#This Row],[Risk of Death % (Model 2)]]/100</f>
        <v>2.4700000000000003E-2</v>
      </c>
      <c r="X481" s="18">
        <f>Cardiac_Table[[#This Row],[Procedure Start Date and Time]]-Cardiac_Table[[#This Row],[Hospital Admit Date ]]</f>
        <v>0.96250000000145519</v>
      </c>
    </row>
    <row r="482" spans="1:24" x14ac:dyDescent="0.35">
      <c r="A482">
        <v>489</v>
      </c>
      <c r="B482" s="9">
        <v>44005.295138888891</v>
      </c>
      <c r="C482" s="10">
        <f>INT(Cardiac_Table[[#This Row],[Hospital Admit Date ]])</f>
        <v>44005</v>
      </c>
      <c r="D482" s="11" t="str">
        <f t="shared" si="7"/>
        <v>07:05</v>
      </c>
      <c r="E482" s="9">
        <v>44005.55</v>
      </c>
      <c r="F482" s="10">
        <f>INT(Cardiac_Table[[#This Row],[Procedure Start Date and Time]])</f>
        <v>44005</v>
      </c>
      <c r="G482" s="12">
        <f>MOD(Cardiac_Table[[#This Row],[Procedure Start Date and Time]],1)</f>
        <v>0.55000000000291038</v>
      </c>
      <c r="H482">
        <v>3</v>
      </c>
      <c r="I482" t="s">
        <v>4</v>
      </c>
      <c r="J482" t="s">
        <v>3</v>
      </c>
      <c r="K482" t="s">
        <v>26</v>
      </c>
      <c r="L482">
        <v>85</v>
      </c>
      <c r="M482">
        <v>7.96</v>
      </c>
      <c r="N482">
        <v>1.36</v>
      </c>
      <c r="O482" t="s">
        <v>15</v>
      </c>
      <c r="P482">
        <v>78</v>
      </c>
      <c r="Q482">
        <v>188</v>
      </c>
      <c r="R482">
        <v>93</v>
      </c>
      <c r="S482">
        <v>60</v>
      </c>
      <c r="T482" t="s">
        <v>48</v>
      </c>
      <c r="U482">
        <f>IF(Cardiac_Table[[#This Row],[Patient Status at Discharge]]="Died", 1,0)</f>
        <v>0</v>
      </c>
      <c r="V482">
        <f>Cardiac_Table[[#This Row],[Risk of Death % (Model 1)]]/100</f>
        <v>7.9600000000000004E-2</v>
      </c>
      <c r="W482">
        <f>Cardiac_Table[[#This Row],[Risk of Death % (Model 2)]]/100</f>
        <v>1.3600000000000001E-2</v>
      </c>
      <c r="X482" s="18">
        <f>Cardiac_Table[[#This Row],[Procedure Start Date and Time]]-Cardiac_Table[[#This Row],[Hospital Admit Date ]]</f>
        <v>0.25486111111240461</v>
      </c>
    </row>
    <row r="483" spans="1:24" x14ac:dyDescent="0.35">
      <c r="A483">
        <v>490</v>
      </c>
      <c r="B483" s="9">
        <v>44005.291666666664</v>
      </c>
      <c r="C483" s="10">
        <f>INT(Cardiac_Table[[#This Row],[Hospital Admit Date ]])</f>
        <v>44005</v>
      </c>
      <c r="D483" s="11" t="str">
        <f t="shared" si="7"/>
        <v>07:00</v>
      </c>
      <c r="E483" s="9">
        <v>44005.56527777778</v>
      </c>
      <c r="F483" s="10">
        <f>INT(Cardiac_Table[[#This Row],[Procedure Start Date and Time]])</f>
        <v>44005</v>
      </c>
      <c r="G483" s="12">
        <f>MOD(Cardiac_Table[[#This Row],[Procedure Start Date and Time]],1)</f>
        <v>0.56527777777955635</v>
      </c>
      <c r="H483">
        <v>5</v>
      </c>
      <c r="I483" t="s">
        <v>4</v>
      </c>
      <c r="J483" t="s">
        <v>3</v>
      </c>
      <c r="K483" t="s">
        <v>28</v>
      </c>
      <c r="L483">
        <v>73</v>
      </c>
      <c r="M483">
        <v>5.58</v>
      </c>
      <c r="N483">
        <v>1.49</v>
      </c>
      <c r="O483" t="s">
        <v>15</v>
      </c>
      <c r="P483">
        <v>69</v>
      </c>
      <c r="Q483">
        <v>164</v>
      </c>
      <c r="R483">
        <v>69</v>
      </c>
      <c r="S483">
        <v>40</v>
      </c>
      <c r="T483" t="s">
        <v>50</v>
      </c>
      <c r="U483">
        <f>IF(Cardiac_Table[[#This Row],[Patient Status at Discharge]]="Died", 1,0)</f>
        <v>0</v>
      </c>
      <c r="V483">
        <f>Cardiac_Table[[#This Row],[Risk of Death % (Model 1)]]/100</f>
        <v>5.5800000000000002E-2</v>
      </c>
      <c r="W483">
        <f>Cardiac_Table[[#This Row],[Risk of Death % (Model 2)]]/100</f>
        <v>1.49E-2</v>
      </c>
      <c r="X483" s="18">
        <f>Cardiac_Table[[#This Row],[Procedure Start Date and Time]]-Cardiac_Table[[#This Row],[Hospital Admit Date ]]</f>
        <v>0.273611111115315</v>
      </c>
    </row>
    <row r="484" spans="1:24" x14ac:dyDescent="0.35">
      <c r="A484">
        <v>491</v>
      </c>
      <c r="B484" s="9">
        <v>44005.3</v>
      </c>
      <c r="C484" s="10">
        <f>INT(Cardiac_Table[[#This Row],[Hospital Admit Date ]])</f>
        <v>44005</v>
      </c>
      <c r="D484" s="11" t="str">
        <f t="shared" si="7"/>
        <v>07:12</v>
      </c>
      <c r="E484" s="9">
        <v>44005.614583333336</v>
      </c>
      <c r="F484" s="10">
        <f>INT(Cardiac_Table[[#This Row],[Procedure Start Date and Time]])</f>
        <v>44005</v>
      </c>
      <c r="G484" s="12">
        <f>MOD(Cardiac_Table[[#This Row],[Procedure Start Date and Time]],1)</f>
        <v>0.61458333333575865</v>
      </c>
      <c r="H484">
        <v>4</v>
      </c>
      <c r="I484" t="s">
        <v>4</v>
      </c>
      <c r="J484" t="s">
        <v>3</v>
      </c>
      <c r="K484" t="s">
        <v>35</v>
      </c>
      <c r="L484">
        <v>80</v>
      </c>
      <c r="M484">
        <v>5.19</v>
      </c>
      <c r="N484">
        <v>1.61</v>
      </c>
      <c r="O484" t="s">
        <v>15</v>
      </c>
      <c r="P484">
        <v>72</v>
      </c>
      <c r="Q484">
        <v>159</v>
      </c>
      <c r="R484">
        <v>59</v>
      </c>
      <c r="S484">
        <v>60</v>
      </c>
      <c r="T484" t="s">
        <v>48</v>
      </c>
      <c r="U484">
        <f>IF(Cardiac_Table[[#This Row],[Patient Status at Discharge]]="Died", 1,0)</f>
        <v>0</v>
      </c>
      <c r="V484">
        <f>Cardiac_Table[[#This Row],[Risk of Death % (Model 1)]]/100</f>
        <v>5.1900000000000002E-2</v>
      </c>
      <c r="W484">
        <f>Cardiac_Table[[#This Row],[Risk of Death % (Model 2)]]/100</f>
        <v>1.61E-2</v>
      </c>
      <c r="X484" s="18">
        <f>Cardiac_Table[[#This Row],[Procedure Start Date and Time]]-Cardiac_Table[[#This Row],[Hospital Admit Date ]]</f>
        <v>0.31458333333284827</v>
      </c>
    </row>
    <row r="485" spans="1:24" x14ac:dyDescent="0.35">
      <c r="A485">
        <v>492</v>
      </c>
      <c r="B485" s="9">
        <v>44004.584722222222</v>
      </c>
      <c r="C485" s="10">
        <f>INT(Cardiac_Table[[#This Row],[Hospital Admit Date ]])</f>
        <v>44004</v>
      </c>
      <c r="D485" s="11" t="str">
        <f t="shared" si="7"/>
        <v>14:02</v>
      </c>
      <c r="E485" s="9">
        <v>44005.75</v>
      </c>
      <c r="F485" s="10">
        <f>INT(Cardiac_Table[[#This Row],[Procedure Start Date and Time]])</f>
        <v>44005</v>
      </c>
      <c r="G485" s="12">
        <f>MOD(Cardiac_Table[[#This Row],[Procedure Start Date and Time]],1)</f>
        <v>0.75</v>
      </c>
      <c r="H485">
        <v>6</v>
      </c>
      <c r="I485" t="s">
        <v>0</v>
      </c>
      <c r="J485" t="s">
        <v>5</v>
      </c>
      <c r="K485" t="s">
        <v>28</v>
      </c>
      <c r="L485">
        <v>68</v>
      </c>
      <c r="M485">
        <v>42.02</v>
      </c>
      <c r="N485">
        <v>36.39</v>
      </c>
      <c r="O485" t="s">
        <v>15</v>
      </c>
      <c r="P485">
        <v>62</v>
      </c>
      <c r="Q485">
        <v>164</v>
      </c>
      <c r="R485">
        <v>75</v>
      </c>
      <c r="S485">
        <v>63</v>
      </c>
      <c r="T485" t="s">
        <v>48</v>
      </c>
      <c r="U485">
        <f>IF(Cardiac_Table[[#This Row],[Patient Status at Discharge]]="Died", 1,0)</f>
        <v>0</v>
      </c>
      <c r="V485">
        <f>Cardiac_Table[[#This Row],[Risk of Death % (Model 1)]]/100</f>
        <v>0.42020000000000002</v>
      </c>
      <c r="W485">
        <f>Cardiac_Table[[#This Row],[Risk of Death % (Model 2)]]/100</f>
        <v>0.3639</v>
      </c>
      <c r="X485" s="18">
        <f>Cardiac_Table[[#This Row],[Procedure Start Date and Time]]-Cardiac_Table[[#This Row],[Hospital Admit Date ]]</f>
        <v>1.1652777777781012</v>
      </c>
    </row>
    <row r="486" spans="1:24" x14ac:dyDescent="0.35">
      <c r="A486">
        <v>493</v>
      </c>
      <c r="B486" s="9">
        <v>44006.270833333336</v>
      </c>
      <c r="C486" s="10">
        <f>INT(Cardiac_Table[[#This Row],[Hospital Admit Date ]])</f>
        <v>44006</v>
      </c>
      <c r="D486" s="11" t="str">
        <f t="shared" si="7"/>
        <v>06:30</v>
      </c>
      <c r="E486" s="9">
        <v>44006.427083333336</v>
      </c>
      <c r="F486" s="10">
        <f>INT(Cardiac_Table[[#This Row],[Procedure Start Date and Time]])</f>
        <v>44006</v>
      </c>
      <c r="G486" s="12">
        <f>MOD(Cardiac_Table[[#This Row],[Procedure Start Date and Time]],1)</f>
        <v>0.42708333333575865</v>
      </c>
      <c r="H486">
        <v>6</v>
      </c>
      <c r="I486" t="s">
        <v>4</v>
      </c>
      <c r="J486" t="s">
        <v>3</v>
      </c>
      <c r="K486" t="s">
        <v>31</v>
      </c>
      <c r="L486">
        <v>54</v>
      </c>
      <c r="M486">
        <v>2.27</v>
      </c>
      <c r="N486">
        <v>1.59</v>
      </c>
      <c r="O486" t="s">
        <v>15</v>
      </c>
      <c r="P486">
        <v>107</v>
      </c>
      <c r="Q486">
        <v>161</v>
      </c>
      <c r="R486">
        <v>101</v>
      </c>
      <c r="S486">
        <v>35</v>
      </c>
      <c r="T486" t="s">
        <v>50</v>
      </c>
      <c r="U486">
        <f>IF(Cardiac_Table[[#This Row],[Patient Status at Discharge]]="Died", 1,0)</f>
        <v>0</v>
      </c>
      <c r="V486">
        <f>Cardiac_Table[[#This Row],[Risk of Death % (Model 1)]]/100</f>
        <v>2.2700000000000001E-2</v>
      </c>
      <c r="W486">
        <f>Cardiac_Table[[#This Row],[Risk of Death % (Model 2)]]/100</f>
        <v>1.5900000000000001E-2</v>
      </c>
      <c r="X486" s="18">
        <f>Cardiac_Table[[#This Row],[Procedure Start Date and Time]]-Cardiac_Table[[#This Row],[Hospital Admit Date ]]</f>
        <v>0.15625</v>
      </c>
    </row>
    <row r="487" spans="1:24" x14ac:dyDescent="0.35">
      <c r="A487">
        <v>494</v>
      </c>
      <c r="B487" s="9">
        <v>44004.745138888888</v>
      </c>
      <c r="C487" s="10">
        <f>INT(Cardiac_Table[[#This Row],[Hospital Admit Date ]])</f>
        <v>44004</v>
      </c>
      <c r="D487" s="11" t="str">
        <f t="shared" si="7"/>
        <v>17:53</v>
      </c>
      <c r="E487" s="9">
        <v>44006.597916666666</v>
      </c>
      <c r="F487" s="10">
        <f>INT(Cardiac_Table[[#This Row],[Procedure Start Date and Time]])</f>
        <v>44006</v>
      </c>
      <c r="G487" s="12">
        <f>MOD(Cardiac_Table[[#This Row],[Procedure Start Date and Time]],1)</f>
        <v>0.59791666666569654</v>
      </c>
      <c r="H487">
        <v>4</v>
      </c>
      <c r="I487" t="s">
        <v>6</v>
      </c>
      <c r="J487" t="s">
        <v>10</v>
      </c>
      <c r="K487" t="s">
        <v>31</v>
      </c>
      <c r="L487">
        <v>63</v>
      </c>
      <c r="M487">
        <v>2.81</v>
      </c>
      <c r="N487">
        <v>1.37</v>
      </c>
      <c r="O487" t="s">
        <v>15</v>
      </c>
      <c r="P487">
        <v>87</v>
      </c>
      <c r="Q487">
        <v>175</v>
      </c>
      <c r="R487">
        <v>88</v>
      </c>
      <c r="S487">
        <v>63</v>
      </c>
      <c r="T487" t="s">
        <v>48</v>
      </c>
      <c r="U487">
        <f>IF(Cardiac_Table[[#This Row],[Patient Status at Discharge]]="Died", 1,0)</f>
        <v>0</v>
      </c>
      <c r="V487">
        <f>Cardiac_Table[[#This Row],[Risk of Death % (Model 1)]]/100</f>
        <v>2.81E-2</v>
      </c>
      <c r="W487">
        <f>Cardiac_Table[[#This Row],[Risk of Death % (Model 2)]]/100</f>
        <v>1.37E-2</v>
      </c>
      <c r="X487" s="18">
        <f>Cardiac_Table[[#This Row],[Procedure Start Date and Time]]-Cardiac_Table[[#This Row],[Hospital Admit Date ]]</f>
        <v>1.8527777777781012</v>
      </c>
    </row>
    <row r="488" spans="1:24" x14ac:dyDescent="0.35">
      <c r="A488">
        <v>495</v>
      </c>
      <c r="B488" s="9">
        <v>44007.291666666664</v>
      </c>
      <c r="C488" s="10">
        <f>INT(Cardiac_Table[[#This Row],[Hospital Admit Date ]])</f>
        <v>44007</v>
      </c>
      <c r="D488" s="11" t="str">
        <f t="shared" si="7"/>
        <v>07:00</v>
      </c>
      <c r="E488" s="9">
        <v>44007.510416666664</v>
      </c>
      <c r="F488" s="10">
        <f>INT(Cardiac_Table[[#This Row],[Procedure Start Date and Time]])</f>
        <v>44007</v>
      </c>
      <c r="G488" s="12">
        <f>MOD(Cardiac_Table[[#This Row],[Procedure Start Date and Time]],1)</f>
        <v>0.51041666666424135</v>
      </c>
      <c r="H488">
        <v>5</v>
      </c>
      <c r="I488" t="s">
        <v>4</v>
      </c>
      <c r="J488" t="s">
        <v>11</v>
      </c>
      <c r="K488" t="s">
        <v>29</v>
      </c>
      <c r="L488">
        <v>78</v>
      </c>
      <c r="M488">
        <v>5.14</v>
      </c>
      <c r="N488">
        <v>1.92</v>
      </c>
      <c r="O488" t="s">
        <v>15</v>
      </c>
      <c r="P488">
        <v>93</v>
      </c>
      <c r="Q488">
        <v>141</v>
      </c>
      <c r="R488">
        <v>90</v>
      </c>
      <c r="S488">
        <v>38</v>
      </c>
      <c r="T488" t="s">
        <v>50</v>
      </c>
      <c r="U488">
        <f>IF(Cardiac_Table[[#This Row],[Patient Status at Discharge]]="Died", 1,0)</f>
        <v>0</v>
      </c>
      <c r="V488">
        <f>Cardiac_Table[[#This Row],[Risk of Death % (Model 1)]]/100</f>
        <v>5.1399999999999994E-2</v>
      </c>
      <c r="W488">
        <f>Cardiac_Table[[#This Row],[Risk of Death % (Model 2)]]/100</f>
        <v>1.9199999999999998E-2</v>
      </c>
      <c r="X488" s="18">
        <f>Cardiac_Table[[#This Row],[Procedure Start Date and Time]]-Cardiac_Table[[#This Row],[Hospital Admit Date ]]</f>
        <v>0.21875</v>
      </c>
    </row>
    <row r="489" spans="1:24" x14ac:dyDescent="0.35">
      <c r="A489">
        <v>496</v>
      </c>
      <c r="B489" s="9">
        <v>44007.291666666664</v>
      </c>
      <c r="C489" s="10">
        <f>INT(Cardiac_Table[[#This Row],[Hospital Admit Date ]])</f>
        <v>44007</v>
      </c>
      <c r="D489" s="11" t="str">
        <f t="shared" si="7"/>
        <v>07:00</v>
      </c>
      <c r="E489" s="9">
        <v>44007.511805555558</v>
      </c>
      <c r="F489" s="10">
        <f>INT(Cardiac_Table[[#This Row],[Procedure Start Date and Time]])</f>
        <v>44007</v>
      </c>
      <c r="G489" s="12">
        <f>MOD(Cardiac_Table[[#This Row],[Procedure Start Date and Time]],1)</f>
        <v>0.5118055555576575</v>
      </c>
      <c r="H489">
        <v>4</v>
      </c>
      <c r="I489" t="s">
        <v>4</v>
      </c>
      <c r="J489" t="s">
        <v>10</v>
      </c>
      <c r="K489" t="s">
        <v>21</v>
      </c>
      <c r="L489">
        <v>67</v>
      </c>
      <c r="M489">
        <v>2.84</v>
      </c>
      <c r="N489">
        <v>1.04</v>
      </c>
      <c r="O489" t="s">
        <v>15</v>
      </c>
      <c r="P489">
        <v>88</v>
      </c>
      <c r="Q489">
        <v>185</v>
      </c>
      <c r="R489">
        <v>92</v>
      </c>
      <c r="S489">
        <v>65</v>
      </c>
      <c r="T489" t="s">
        <v>48</v>
      </c>
      <c r="U489">
        <f>IF(Cardiac_Table[[#This Row],[Patient Status at Discharge]]="Died", 1,0)</f>
        <v>0</v>
      </c>
      <c r="V489">
        <f>Cardiac_Table[[#This Row],[Risk of Death % (Model 1)]]/100</f>
        <v>2.8399999999999998E-2</v>
      </c>
      <c r="W489">
        <f>Cardiac_Table[[#This Row],[Risk of Death % (Model 2)]]/100</f>
        <v>1.04E-2</v>
      </c>
      <c r="X489" s="18">
        <f>Cardiac_Table[[#This Row],[Procedure Start Date and Time]]-Cardiac_Table[[#This Row],[Hospital Admit Date ]]</f>
        <v>0.22013888889341615</v>
      </c>
    </row>
    <row r="490" spans="1:24" x14ac:dyDescent="0.35">
      <c r="A490">
        <v>497</v>
      </c>
      <c r="B490" s="9">
        <v>44001.453472222223</v>
      </c>
      <c r="C490" s="10">
        <f>INT(Cardiac_Table[[#This Row],[Hospital Admit Date ]])</f>
        <v>44001</v>
      </c>
      <c r="D490" s="11" t="str">
        <f t="shared" si="7"/>
        <v>10:53</v>
      </c>
      <c r="E490" s="9">
        <v>44007.536805555559</v>
      </c>
      <c r="F490" s="10">
        <f>INT(Cardiac_Table[[#This Row],[Procedure Start Date and Time]])</f>
        <v>44007</v>
      </c>
      <c r="G490" s="12">
        <f>MOD(Cardiac_Table[[#This Row],[Procedure Start Date and Time]],1)</f>
        <v>0.53680555555911269</v>
      </c>
      <c r="H490">
        <v>3</v>
      </c>
      <c r="I490" t="s">
        <v>6</v>
      </c>
      <c r="J490" t="s">
        <v>11</v>
      </c>
      <c r="K490" t="s">
        <v>31</v>
      </c>
      <c r="L490">
        <v>62</v>
      </c>
      <c r="M490">
        <v>18.88</v>
      </c>
      <c r="N490">
        <v>14.1</v>
      </c>
      <c r="O490" t="s">
        <v>15</v>
      </c>
      <c r="P490">
        <v>80</v>
      </c>
      <c r="Q490">
        <v>180</v>
      </c>
      <c r="R490">
        <v>116</v>
      </c>
      <c r="S490">
        <v>55</v>
      </c>
      <c r="T490" t="s">
        <v>48</v>
      </c>
      <c r="U490">
        <f>IF(Cardiac_Table[[#This Row],[Patient Status at Discharge]]="Died", 1,0)</f>
        <v>0</v>
      </c>
      <c r="V490">
        <f>Cardiac_Table[[#This Row],[Risk of Death % (Model 1)]]/100</f>
        <v>0.1888</v>
      </c>
      <c r="W490">
        <f>Cardiac_Table[[#This Row],[Risk of Death % (Model 2)]]/100</f>
        <v>0.14099999999999999</v>
      </c>
      <c r="X490" s="18">
        <f>Cardiac_Table[[#This Row],[Procedure Start Date and Time]]-Cardiac_Table[[#This Row],[Hospital Admit Date ]]</f>
        <v>6.0833333333357587</v>
      </c>
    </row>
    <row r="491" spans="1:24" x14ac:dyDescent="0.35">
      <c r="A491">
        <v>498</v>
      </c>
      <c r="B491" s="9">
        <v>44001.795138888891</v>
      </c>
      <c r="C491" s="10">
        <f>INT(Cardiac_Table[[#This Row],[Hospital Admit Date ]])</f>
        <v>44001</v>
      </c>
      <c r="D491" s="11" t="str">
        <f t="shared" si="7"/>
        <v>19:05</v>
      </c>
      <c r="E491" s="9">
        <v>44008.34375</v>
      </c>
      <c r="F491" s="10">
        <f>INT(Cardiac_Table[[#This Row],[Procedure Start Date and Time]])</f>
        <v>44008</v>
      </c>
      <c r="G491" s="12">
        <f>MOD(Cardiac_Table[[#This Row],[Procedure Start Date and Time]],1)</f>
        <v>0.34375</v>
      </c>
      <c r="H491">
        <v>4</v>
      </c>
      <c r="I491" t="s">
        <v>6</v>
      </c>
      <c r="J491" t="s">
        <v>10</v>
      </c>
      <c r="K491" t="s">
        <v>24</v>
      </c>
      <c r="L491">
        <v>56</v>
      </c>
      <c r="M491">
        <v>3.63</v>
      </c>
      <c r="N491">
        <v>1.66</v>
      </c>
      <c r="O491" t="s">
        <v>15</v>
      </c>
      <c r="P491">
        <v>150</v>
      </c>
      <c r="Q491">
        <v>165</v>
      </c>
      <c r="R491">
        <v>93</v>
      </c>
      <c r="S491">
        <v>64</v>
      </c>
      <c r="T491" t="s">
        <v>48</v>
      </c>
      <c r="U491">
        <f>IF(Cardiac_Table[[#This Row],[Patient Status at Discharge]]="Died", 1,0)</f>
        <v>0</v>
      </c>
      <c r="V491">
        <f>Cardiac_Table[[#This Row],[Risk of Death % (Model 1)]]/100</f>
        <v>3.6299999999999999E-2</v>
      </c>
      <c r="W491">
        <f>Cardiac_Table[[#This Row],[Risk of Death % (Model 2)]]/100</f>
        <v>1.66E-2</v>
      </c>
      <c r="X491" s="18">
        <f>Cardiac_Table[[#This Row],[Procedure Start Date and Time]]-Cardiac_Table[[#This Row],[Hospital Admit Date ]]</f>
        <v>6.5486111111094942</v>
      </c>
    </row>
    <row r="492" spans="1:24" x14ac:dyDescent="0.35">
      <c r="A492">
        <v>499</v>
      </c>
      <c r="B492" s="9">
        <v>44007.583333333336</v>
      </c>
      <c r="C492" s="10">
        <f>INT(Cardiac_Table[[#This Row],[Hospital Admit Date ]])</f>
        <v>44007</v>
      </c>
      <c r="D492" s="11" t="str">
        <f t="shared" si="7"/>
        <v>14:00</v>
      </c>
      <c r="E492" s="9">
        <v>44008.364583333336</v>
      </c>
      <c r="F492" s="10">
        <f>INT(Cardiac_Table[[#This Row],[Procedure Start Date and Time]])</f>
        <v>44008</v>
      </c>
      <c r="G492" s="12">
        <f>MOD(Cardiac_Table[[#This Row],[Procedure Start Date and Time]],1)</f>
        <v>0.36458333333575865</v>
      </c>
      <c r="H492">
        <v>3</v>
      </c>
      <c r="I492" t="s">
        <v>4</v>
      </c>
      <c r="J492" t="s">
        <v>11</v>
      </c>
      <c r="K492" t="s">
        <v>27</v>
      </c>
      <c r="L492">
        <v>81</v>
      </c>
      <c r="M492">
        <v>9.15</v>
      </c>
      <c r="N492">
        <v>3.17</v>
      </c>
      <c r="O492" t="s">
        <v>15</v>
      </c>
      <c r="P492">
        <v>72</v>
      </c>
      <c r="Q492">
        <v>169</v>
      </c>
      <c r="R492">
        <v>70</v>
      </c>
      <c r="S492">
        <v>50</v>
      </c>
      <c r="T492" t="s">
        <v>50</v>
      </c>
      <c r="U492">
        <f>IF(Cardiac_Table[[#This Row],[Patient Status at Discharge]]="Died", 1,0)</f>
        <v>0</v>
      </c>
      <c r="V492">
        <f>Cardiac_Table[[#This Row],[Risk of Death % (Model 1)]]/100</f>
        <v>9.1499999999999998E-2</v>
      </c>
      <c r="W492">
        <f>Cardiac_Table[[#This Row],[Risk of Death % (Model 2)]]/100</f>
        <v>3.1699999999999999E-2</v>
      </c>
      <c r="X492" s="18">
        <f>Cardiac_Table[[#This Row],[Procedure Start Date and Time]]-Cardiac_Table[[#This Row],[Hospital Admit Date ]]</f>
        <v>0.78125</v>
      </c>
    </row>
    <row r="493" spans="1:24" x14ac:dyDescent="0.35">
      <c r="A493">
        <v>500</v>
      </c>
      <c r="B493" s="9">
        <v>44008.291666666664</v>
      </c>
      <c r="C493" s="10">
        <f>INT(Cardiac_Table[[#This Row],[Hospital Admit Date ]])</f>
        <v>44008</v>
      </c>
      <c r="D493" s="11" t="str">
        <f t="shared" si="7"/>
        <v>07:00</v>
      </c>
      <c r="E493" s="9">
        <v>44008.574305555558</v>
      </c>
      <c r="F493" s="10">
        <f>INT(Cardiac_Table[[#This Row],[Procedure Start Date and Time]])</f>
        <v>44008</v>
      </c>
      <c r="G493" s="12">
        <f>MOD(Cardiac_Table[[#This Row],[Procedure Start Date and Time]],1)</f>
        <v>0.5743055555576575</v>
      </c>
      <c r="H493">
        <v>4</v>
      </c>
      <c r="I493" t="s">
        <v>4</v>
      </c>
      <c r="J493" t="s">
        <v>3</v>
      </c>
      <c r="K493" t="s">
        <v>24</v>
      </c>
      <c r="L493">
        <v>56</v>
      </c>
      <c r="M493">
        <v>2.08</v>
      </c>
      <c r="N493">
        <v>0.84</v>
      </c>
      <c r="O493" t="s">
        <v>15</v>
      </c>
      <c r="P493">
        <v>79</v>
      </c>
      <c r="Q493">
        <v>170</v>
      </c>
      <c r="R493">
        <v>75</v>
      </c>
      <c r="S493">
        <v>55</v>
      </c>
      <c r="T493" t="s">
        <v>48</v>
      </c>
      <c r="U493">
        <f>IF(Cardiac_Table[[#This Row],[Patient Status at Discharge]]="Died", 1,0)</f>
        <v>0</v>
      </c>
      <c r="V493">
        <f>Cardiac_Table[[#This Row],[Risk of Death % (Model 1)]]/100</f>
        <v>2.0799999999999999E-2</v>
      </c>
      <c r="W493">
        <f>Cardiac_Table[[#This Row],[Risk of Death % (Model 2)]]/100</f>
        <v>8.3999999999999995E-3</v>
      </c>
      <c r="X493" s="18">
        <f>Cardiac_Table[[#This Row],[Procedure Start Date and Time]]-Cardiac_Table[[#This Row],[Hospital Admit Date ]]</f>
        <v>0.28263888889341615</v>
      </c>
    </row>
    <row r="494" spans="1:24" x14ac:dyDescent="0.35">
      <c r="A494">
        <v>501</v>
      </c>
      <c r="B494" s="9">
        <v>44007.291666666664</v>
      </c>
      <c r="C494" s="10">
        <f>INT(Cardiac_Table[[#This Row],[Hospital Admit Date ]])</f>
        <v>44007</v>
      </c>
      <c r="D494" s="11" t="str">
        <f t="shared" si="7"/>
        <v>07:00</v>
      </c>
      <c r="E494" s="9">
        <v>44008.631944444445</v>
      </c>
      <c r="F494" s="10">
        <f>INT(Cardiac_Table[[#This Row],[Procedure Start Date and Time]])</f>
        <v>44008</v>
      </c>
      <c r="G494" s="12">
        <f>MOD(Cardiac_Table[[#This Row],[Procedure Start Date and Time]],1)</f>
        <v>0.63194444444525288</v>
      </c>
      <c r="H494">
        <v>3</v>
      </c>
      <c r="I494" t="s">
        <v>4</v>
      </c>
      <c r="J494" t="s">
        <v>3</v>
      </c>
      <c r="K494" t="s">
        <v>21</v>
      </c>
      <c r="L494">
        <v>82</v>
      </c>
      <c r="M494">
        <v>6.61</v>
      </c>
      <c r="N494">
        <v>0.94</v>
      </c>
      <c r="O494" t="s">
        <v>15</v>
      </c>
      <c r="P494">
        <v>134</v>
      </c>
      <c r="Q494">
        <v>186</v>
      </c>
      <c r="R494">
        <v>145</v>
      </c>
      <c r="S494">
        <v>62</v>
      </c>
      <c r="T494" t="s">
        <v>48</v>
      </c>
      <c r="U494">
        <f>IF(Cardiac_Table[[#This Row],[Patient Status at Discharge]]="Died", 1,0)</f>
        <v>0</v>
      </c>
      <c r="V494">
        <f>Cardiac_Table[[#This Row],[Risk of Death % (Model 1)]]/100</f>
        <v>6.6100000000000006E-2</v>
      </c>
      <c r="W494">
        <f>Cardiac_Table[[#This Row],[Risk of Death % (Model 2)]]/100</f>
        <v>9.3999999999999986E-3</v>
      </c>
      <c r="X494" s="18">
        <f>Cardiac_Table[[#This Row],[Procedure Start Date and Time]]-Cardiac_Table[[#This Row],[Hospital Admit Date ]]</f>
        <v>1.3402777777810115</v>
      </c>
    </row>
    <row r="495" spans="1:24" x14ac:dyDescent="0.35">
      <c r="A495">
        <v>502</v>
      </c>
      <c r="B495" s="9">
        <v>44008.65625</v>
      </c>
      <c r="C495" s="10">
        <f>INT(Cardiac_Table[[#This Row],[Hospital Admit Date ]])</f>
        <v>44008</v>
      </c>
      <c r="D495" s="11" t="str">
        <f t="shared" si="7"/>
        <v>15:45</v>
      </c>
      <c r="E495" s="9">
        <v>44009.333333333336</v>
      </c>
      <c r="F495" s="10">
        <f>INT(Cardiac_Table[[#This Row],[Procedure Start Date and Time]])</f>
        <v>44009</v>
      </c>
      <c r="G495" s="12">
        <f>MOD(Cardiac_Table[[#This Row],[Procedure Start Date and Time]],1)</f>
        <v>0.33333333333575865</v>
      </c>
      <c r="H495">
        <v>4</v>
      </c>
      <c r="I495" t="s">
        <v>4</v>
      </c>
      <c r="J495" t="s">
        <v>11</v>
      </c>
      <c r="K495" t="s">
        <v>24</v>
      </c>
      <c r="L495">
        <v>80</v>
      </c>
      <c r="M495">
        <v>10.66</v>
      </c>
      <c r="N495">
        <v>7.23</v>
      </c>
      <c r="O495" t="s">
        <v>15</v>
      </c>
      <c r="P495">
        <v>97</v>
      </c>
      <c r="Q495">
        <v>175</v>
      </c>
      <c r="R495">
        <v>75</v>
      </c>
      <c r="S495">
        <v>56</v>
      </c>
      <c r="T495" t="s">
        <v>48</v>
      </c>
      <c r="U495">
        <f>IF(Cardiac_Table[[#This Row],[Patient Status at Discharge]]="Died", 1,0)</f>
        <v>0</v>
      </c>
      <c r="V495">
        <f>Cardiac_Table[[#This Row],[Risk of Death % (Model 1)]]/100</f>
        <v>0.1066</v>
      </c>
      <c r="W495">
        <f>Cardiac_Table[[#This Row],[Risk of Death % (Model 2)]]/100</f>
        <v>7.2300000000000003E-2</v>
      </c>
      <c r="X495" s="18">
        <f>Cardiac_Table[[#This Row],[Procedure Start Date and Time]]-Cardiac_Table[[#This Row],[Hospital Admit Date ]]</f>
        <v>0.67708333333575865</v>
      </c>
    </row>
    <row r="496" spans="1:24" x14ac:dyDescent="0.35">
      <c r="A496">
        <v>503</v>
      </c>
      <c r="B496" s="9">
        <v>44006.45208333333</v>
      </c>
      <c r="C496" s="10">
        <f>INT(Cardiac_Table[[#This Row],[Hospital Admit Date ]])</f>
        <v>44006</v>
      </c>
      <c r="D496" s="11" t="str">
        <f t="shared" si="7"/>
        <v>10:51</v>
      </c>
      <c r="E496" s="9">
        <v>44009.341666666667</v>
      </c>
      <c r="F496" s="10">
        <f>INT(Cardiac_Table[[#This Row],[Procedure Start Date and Time]])</f>
        <v>44009</v>
      </c>
      <c r="G496" s="12">
        <f>MOD(Cardiac_Table[[#This Row],[Procedure Start Date and Time]],1)</f>
        <v>0.34166666666715173</v>
      </c>
      <c r="H496">
        <v>5</v>
      </c>
      <c r="I496" t="s">
        <v>6</v>
      </c>
      <c r="J496" t="s">
        <v>3</v>
      </c>
      <c r="K496" t="s">
        <v>32</v>
      </c>
      <c r="L496">
        <v>78</v>
      </c>
      <c r="M496">
        <v>5.14</v>
      </c>
      <c r="N496">
        <v>5.25</v>
      </c>
      <c r="O496" t="s">
        <v>15</v>
      </c>
      <c r="P496">
        <v>95</v>
      </c>
      <c r="Q496">
        <v>175</v>
      </c>
      <c r="R496">
        <v>103</v>
      </c>
      <c r="S496">
        <v>45</v>
      </c>
      <c r="T496" t="s">
        <v>50</v>
      </c>
      <c r="U496">
        <f>IF(Cardiac_Table[[#This Row],[Patient Status at Discharge]]="Died", 1,0)</f>
        <v>0</v>
      </c>
      <c r="V496">
        <f>Cardiac_Table[[#This Row],[Risk of Death % (Model 1)]]/100</f>
        <v>5.1399999999999994E-2</v>
      </c>
      <c r="W496">
        <f>Cardiac_Table[[#This Row],[Risk of Death % (Model 2)]]/100</f>
        <v>5.2499999999999998E-2</v>
      </c>
      <c r="X496" s="18">
        <f>Cardiac_Table[[#This Row],[Procedure Start Date and Time]]-Cardiac_Table[[#This Row],[Hospital Admit Date ]]</f>
        <v>2.8895833333372138</v>
      </c>
    </row>
    <row r="497" spans="1:24" x14ac:dyDescent="0.35">
      <c r="A497">
        <v>504</v>
      </c>
      <c r="B497" s="9">
        <v>44009.291666666664</v>
      </c>
      <c r="C497" s="10">
        <f>INT(Cardiac_Table[[#This Row],[Hospital Admit Date ]])</f>
        <v>44009</v>
      </c>
      <c r="D497" s="11" t="str">
        <f t="shared" si="7"/>
        <v>07:00</v>
      </c>
      <c r="E497" s="9">
        <v>44009.491666666669</v>
      </c>
      <c r="F497" s="10">
        <f>INT(Cardiac_Table[[#This Row],[Procedure Start Date and Time]])</f>
        <v>44009</v>
      </c>
      <c r="G497" s="12">
        <f>MOD(Cardiac_Table[[#This Row],[Procedure Start Date and Time]],1)</f>
        <v>0.49166666666860692</v>
      </c>
      <c r="H497">
        <v>5</v>
      </c>
      <c r="I497" t="s">
        <v>4</v>
      </c>
      <c r="J497" t="s">
        <v>3</v>
      </c>
      <c r="K497" t="s">
        <v>32</v>
      </c>
      <c r="L497">
        <v>82</v>
      </c>
      <c r="M497">
        <v>6.61</v>
      </c>
      <c r="N497">
        <v>2.69</v>
      </c>
      <c r="O497" t="s">
        <v>15</v>
      </c>
      <c r="P497">
        <v>73</v>
      </c>
      <c r="Q497">
        <v>175</v>
      </c>
      <c r="R497">
        <v>69</v>
      </c>
      <c r="S497">
        <v>66</v>
      </c>
      <c r="T497" t="s">
        <v>48</v>
      </c>
      <c r="U497">
        <f>IF(Cardiac_Table[[#This Row],[Patient Status at Discharge]]="Died", 1,0)</f>
        <v>0</v>
      </c>
      <c r="V497">
        <f>Cardiac_Table[[#This Row],[Risk of Death % (Model 1)]]/100</f>
        <v>6.6100000000000006E-2</v>
      </c>
      <c r="W497">
        <f>Cardiac_Table[[#This Row],[Risk of Death % (Model 2)]]/100</f>
        <v>2.69E-2</v>
      </c>
      <c r="X497" s="18">
        <f>Cardiac_Table[[#This Row],[Procedure Start Date and Time]]-Cardiac_Table[[#This Row],[Hospital Admit Date ]]</f>
        <v>0.20000000000436557</v>
      </c>
    </row>
    <row r="498" spans="1:24" x14ac:dyDescent="0.35">
      <c r="A498">
        <v>505</v>
      </c>
      <c r="B498" s="9">
        <v>44009.291666666664</v>
      </c>
      <c r="C498" s="10">
        <f>INT(Cardiac_Table[[#This Row],[Hospital Admit Date ]])</f>
        <v>44009</v>
      </c>
      <c r="D498" s="11" t="str">
        <f t="shared" si="7"/>
        <v>07:00</v>
      </c>
      <c r="E498" s="9">
        <v>44009.633333333331</v>
      </c>
      <c r="F498" s="10">
        <f>INT(Cardiac_Table[[#This Row],[Procedure Start Date and Time]])</f>
        <v>44009</v>
      </c>
      <c r="G498" s="12">
        <f>MOD(Cardiac_Table[[#This Row],[Procedure Start Date and Time]],1)</f>
        <v>0.63333333333139308</v>
      </c>
      <c r="H498">
        <v>3</v>
      </c>
      <c r="I498" t="s">
        <v>4</v>
      </c>
      <c r="J498" t="s">
        <v>3</v>
      </c>
      <c r="K498" t="s">
        <v>24</v>
      </c>
      <c r="L498">
        <v>68</v>
      </c>
      <c r="M498">
        <v>5.97</v>
      </c>
      <c r="N498">
        <v>1.64</v>
      </c>
      <c r="O498" t="s">
        <v>15</v>
      </c>
      <c r="P498">
        <v>70</v>
      </c>
      <c r="Q498">
        <v>176</v>
      </c>
      <c r="R498">
        <v>130</v>
      </c>
      <c r="S498">
        <v>66</v>
      </c>
      <c r="T498" t="s">
        <v>48</v>
      </c>
      <c r="U498">
        <f>IF(Cardiac_Table[[#This Row],[Patient Status at Discharge]]="Died", 1,0)</f>
        <v>0</v>
      </c>
      <c r="V498">
        <f>Cardiac_Table[[#This Row],[Risk of Death % (Model 1)]]/100</f>
        <v>5.9699999999999996E-2</v>
      </c>
      <c r="W498">
        <f>Cardiac_Table[[#This Row],[Risk of Death % (Model 2)]]/100</f>
        <v>1.6399999999999998E-2</v>
      </c>
      <c r="X498" s="18">
        <f>Cardiac_Table[[#This Row],[Procedure Start Date and Time]]-Cardiac_Table[[#This Row],[Hospital Admit Date ]]</f>
        <v>0.34166666666715173</v>
      </c>
    </row>
    <row r="499" spans="1:24" x14ac:dyDescent="0.35">
      <c r="A499">
        <v>506</v>
      </c>
      <c r="B499" s="9">
        <v>44008.416666666664</v>
      </c>
      <c r="C499" s="10">
        <f>INT(Cardiac_Table[[#This Row],[Hospital Admit Date ]])</f>
        <v>44008</v>
      </c>
      <c r="D499" s="11" t="str">
        <f t="shared" si="7"/>
        <v>10:00</v>
      </c>
      <c r="E499" s="9">
        <v>44011.350694444445</v>
      </c>
      <c r="F499" s="10">
        <f>INT(Cardiac_Table[[#This Row],[Procedure Start Date and Time]])</f>
        <v>44011</v>
      </c>
      <c r="G499" s="12">
        <f>MOD(Cardiac_Table[[#This Row],[Procedure Start Date and Time]],1)</f>
        <v>0.35069444444525288</v>
      </c>
      <c r="H499">
        <v>3</v>
      </c>
      <c r="I499" t="s">
        <v>6</v>
      </c>
      <c r="J499" t="s">
        <v>10</v>
      </c>
      <c r="K499" t="s">
        <v>33</v>
      </c>
      <c r="L499">
        <v>52</v>
      </c>
      <c r="M499">
        <v>4.3</v>
      </c>
      <c r="N499">
        <v>1.86</v>
      </c>
      <c r="O499" t="s">
        <v>15</v>
      </c>
      <c r="P499">
        <v>87</v>
      </c>
      <c r="Q499">
        <v>163</v>
      </c>
      <c r="R499">
        <v>50</v>
      </c>
      <c r="S499">
        <v>44</v>
      </c>
      <c r="T499" t="s">
        <v>50</v>
      </c>
      <c r="U499">
        <f>IF(Cardiac_Table[[#This Row],[Patient Status at Discharge]]="Died", 1,0)</f>
        <v>0</v>
      </c>
      <c r="V499">
        <f>Cardiac_Table[[#This Row],[Risk of Death % (Model 1)]]/100</f>
        <v>4.2999999999999997E-2</v>
      </c>
      <c r="W499">
        <f>Cardiac_Table[[#This Row],[Risk of Death % (Model 2)]]/100</f>
        <v>1.8600000000000002E-2</v>
      </c>
      <c r="X499" s="18">
        <f>Cardiac_Table[[#This Row],[Procedure Start Date and Time]]-Cardiac_Table[[#This Row],[Hospital Admit Date ]]</f>
        <v>2.9340277777810115</v>
      </c>
    </row>
    <row r="500" spans="1:24" x14ac:dyDescent="0.35">
      <c r="A500">
        <v>507</v>
      </c>
      <c r="B500" s="9">
        <v>44010.659722222219</v>
      </c>
      <c r="C500" s="10">
        <f>INT(Cardiac_Table[[#This Row],[Hospital Admit Date ]])</f>
        <v>44010</v>
      </c>
      <c r="D500" s="11" t="str">
        <f t="shared" si="7"/>
        <v>15:50</v>
      </c>
      <c r="E500" s="9">
        <v>44011.354166666664</v>
      </c>
      <c r="F500" s="10">
        <f>INT(Cardiac_Table[[#This Row],[Procedure Start Date and Time]])</f>
        <v>44011</v>
      </c>
      <c r="G500" s="12">
        <f>MOD(Cardiac_Table[[#This Row],[Procedure Start Date and Time]],1)</f>
        <v>0.35416666666424135</v>
      </c>
      <c r="H500">
        <v>4</v>
      </c>
      <c r="I500" t="s">
        <v>4</v>
      </c>
      <c r="J500" t="s">
        <v>11</v>
      </c>
      <c r="K500" t="s">
        <v>23</v>
      </c>
      <c r="L500">
        <v>54</v>
      </c>
      <c r="M500">
        <v>2.27</v>
      </c>
      <c r="N500">
        <v>1.58</v>
      </c>
      <c r="O500" t="s">
        <v>15</v>
      </c>
      <c r="P500">
        <v>62</v>
      </c>
      <c r="Q500">
        <v>178</v>
      </c>
      <c r="R500">
        <v>66</v>
      </c>
      <c r="S500">
        <v>50</v>
      </c>
      <c r="T500" t="s">
        <v>50</v>
      </c>
      <c r="U500">
        <f>IF(Cardiac_Table[[#This Row],[Patient Status at Discharge]]="Died", 1,0)</f>
        <v>0</v>
      </c>
      <c r="V500">
        <f>Cardiac_Table[[#This Row],[Risk of Death % (Model 1)]]/100</f>
        <v>2.2700000000000001E-2</v>
      </c>
      <c r="W500">
        <f>Cardiac_Table[[#This Row],[Risk of Death % (Model 2)]]/100</f>
        <v>1.5800000000000002E-2</v>
      </c>
      <c r="X500" s="18">
        <f>Cardiac_Table[[#This Row],[Procedure Start Date and Time]]-Cardiac_Table[[#This Row],[Hospital Admit Date ]]</f>
        <v>0.69444444444525288</v>
      </c>
    </row>
    <row r="501" spans="1:24" x14ac:dyDescent="0.35">
      <c r="A501">
        <v>508</v>
      </c>
      <c r="B501" s="9">
        <v>44011.291666666664</v>
      </c>
      <c r="C501" s="10">
        <f>INT(Cardiac_Table[[#This Row],[Hospital Admit Date ]])</f>
        <v>44011</v>
      </c>
      <c r="D501" s="11" t="str">
        <f t="shared" si="7"/>
        <v>07:00</v>
      </c>
      <c r="E501" s="9">
        <v>44011.361111111109</v>
      </c>
      <c r="F501" s="10">
        <f>INT(Cardiac_Table[[#This Row],[Procedure Start Date and Time]])</f>
        <v>44011</v>
      </c>
      <c r="G501" s="12">
        <f>MOD(Cardiac_Table[[#This Row],[Procedure Start Date and Time]],1)</f>
        <v>0.36111111110949423</v>
      </c>
      <c r="H501">
        <v>5</v>
      </c>
      <c r="I501" t="s">
        <v>4</v>
      </c>
      <c r="J501" t="s">
        <v>1</v>
      </c>
      <c r="K501" t="s">
        <v>29</v>
      </c>
      <c r="L501">
        <v>55</v>
      </c>
      <c r="M501">
        <v>4.6500000000000004</v>
      </c>
      <c r="N501">
        <v>0.96</v>
      </c>
      <c r="O501" t="s">
        <v>15</v>
      </c>
      <c r="P501">
        <v>94</v>
      </c>
      <c r="Q501">
        <v>190</v>
      </c>
      <c r="R501">
        <v>90</v>
      </c>
      <c r="S501">
        <v>20</v>
      </c>
      <c r="T501" t="s">
        <v>51</v>
      </c>
      <c r="U501">
        <f>IF(Cardiac_Table[[#This Row],[Patient Status at Discharge]]="Died", 1,0)</f>
        <v>0</v>
      </c>
      <c r="V501">
        <f>Cardiac_Table[[#This Row],[Risk of Death % (Model 1)]]/100</f>
        <v>4.6500000000000007E-2</v>
      </c>
      <c r="W501">
        <f>Cardiac_Table[[#This Row],[Risk of Death % (Model 2)]]/100</f>
        <v>9.5999999999999992E-3</v>
      </c>
      <c r="X501" s="18">
        <f>Cardiac_Table[[#This Row],[Procedure Start Date and Time]]-Cardiac_Table[[#This Row],[Hospital Admit Date ]]</f>
        <v>6.9444444445252884E-2</v>
      </c>
    </row>
    <row r="502" spans="1:24" x14ac:dyDescent="0.35">
      <c r="A502">
        <v>509</v>
      </c>
      <c r="B502" s="9">
        <v>44011.270833333336</v>
      </c>
      <c r="C502" s="10">
        <f>INT(Cardiac_Table[[#This Row],[Hospital Admit Date ]])</f>
        <v>44011</v>
      </c>
      <c r="D502" s="11" t="str">
        <f t="shared" si="7"/>
        <v>06:30</v>
      </c>
      <c r="E502" s="9">
        <v>44011.625</v>
      </c>
      <c r="F502" s="10">
        <f>INT(Cardiac_Table[[#This Row],[Procedure Start Date and Time]])</f>
        <v>44011</v>
      </c>
      <c r="G502" s="12">
        <f>MOD(Cardiac_Table[[#This Row],[Procedure Start Date and Time]],1)</f>
        <v>0.625</v>
      </c>
      <c r="H502">
        <v>4</v>
      </c>
      <c r="I502" t="s">
        <v>4</v>
      </c>
      <c r="J502" t="s">
        <v>10</v>
      </c>
      <c r="K502" t="s">
        <v>23</v>
      </c>
      <c r="L502">
        <v>59</v>
      </c>
      <c r="M502">
        <v>1.33</v>
      </c>
      <c r="N502">
        <v>0.69</v>
      </c>
      <c r="O502" t="s">
        <v>15</v>
      </c>
      <c r="P502">
        <v>66</v>
      </c>
      <c r="Q502">
        <v>170</v>
      </c>
      <c r="R502">
        <v>77</v>
      </c>
      <c r="S502">
        <v>60</v>
      </c>
      <c r="T502" t="s">
        <v>48</v>
      </c>
      <c r="U502">
        <f>IF(Cardiac_Table[[#This Row],[Patient Status at Discharge]]="Died", 1,0)</f>
        <v>0</v>
      </c>
      <c r="V502">
        <f>Cardiac_Table[[#This Row],[Risk of Death % (Model 1)]]/100</f>
        <v>1.3300000000000001E-2</v>
      </c>
      <c r="W502">
        <f>Cardiac_Table[[#This Row],[Risk of Death % (Model 2)]]/100</f>
        <v>6.8999999999999999E-3</v>
      </c>
      <c r="X502" s="18">
        <f>Cardiac_Table[[#This Row],[Procedure Start Date and Time]]-Cardiac_Table[[#This Row],[Hospital Admit Date ]]</f>
        <v>0.35416666666424135</v>
      </c>
    </row>
    <row r="503" spans="1:24" x14ac:dyDescent="0.35">
      <c r="A503">
        <v>510</v>
      </c>
      <c r="B503" s="9">
        <v>44011.291666666664</v>
      </c>
      <c r="C503" s="10">
        <f>INT(Cardiac_Table[[#This Row],[Hospital Admit Date ]])</f>
        <v>44011</v>
      </c>
      <c r="D503" s="11" t="str">
        <f t="shared" si="7"/>
        <v>07:00</v>
      </c>
      <c r="E503" s="9">
        <v>44011.652777777781</v>
      </c>
      <c r="F503" s="10">
        <f>INT(Cardiac_Table[[#This Row],[Procedure Start Date and Time]])</f>
        <v>44011</v>
      </c>
      <c r="G503" s="12">
        <f>MOD(Cardiac_Table[[#This Row],[Procedure Start Date and Time]],1)</f>
        <v>0.65277777778101154</v>
      </c>
      <c r="H503">
        <v>5</v>
      </c>
      <c r="I503" t="s">
        <v>4</v>
      </c>
      <c r="J503" t="s">
        <v>10</v>
      </c>
      <c r="K503" t="s">
        <v>29</v>
      </c>
      <c r="L503">
        <v>56</v>
      </c>
      <c r="M503">
        <v>3.26</v>
      </c>
      <c r="N503">
        <v>1.89</v>
      </c>
      <c r="O503" t="s">
        <v>15</v>
      </c>
      <c r="P503">
        <v>68</v>
      </c>
      <c r="Q503">
        <v>167</v>
      </c>
      <c r="R503">
        <v>66</v>
      </c>
      <c r="S503">
        <v>50</v>
      </c>
      <c r="T503" t="s">
        <v>50</v>
      </c>
      <c r="U503">
        <f>IF(Cardiac_Table[[#This Row],[Patient Status at Discharge]]="Died", 1,0)</f>
        <v>0</v>
      </c>
      <c r="V503">
        <f>Cardiac_Table[[#This Row],[Risk of Death % (Model 1)]]/100</f>
        <v>3.2599999999999997E-2</v>
      </c>
      <c r="W503">
        <f>Cardiac_Table[[#This Row],[Risk of Death % (Model 2)]]/100</f>
        <v>1.89E-2</v>
      </c>
      <c r="X503" s="18">
        <f>Cardiac_Table[[#This Row],[Procedure Start Date and Time]]-Cardiac_Table[[#This Row],[Hospital Admit Date ]]</f>
        <v>0.36111111111677019</v>
      </c>
    </row>
    <row r="504" spans="1:24" x14ac:dyDescent="0.35">
      <c r="A504">
        <v>511</v>
      </c>
      <c r="B504" s="9">
        <v>44011.59097222222</v>
      </c>
      <c r="C504" s="10">
        <f>INT(Cardiac_Table[[#This Row],[Hospital Admit Date ]])</f>
        <v>44011</v>
      </c>
      <c r="D504" s="11" t="str">
        <f t="shared" si="7"/>
        <v>14:11</v>
      </c>
      <c r="E504" s="9">
        <v>44012.347222222219</v>
      </c>
      <c r="F504" s="10">
        <f>INT(Cardiac_Table[[#This Row],[Procedure Start Date and Time]])</f>
        <v>44012</v>
      </c>
      <c r="G504" s="12">
        <f>MOD(Cardiac_Table[[#This Row],[Procedure Start Date and Time]],1)</f>
        <v>0.34722222221898846</v>
      </c>
      <c r="H504">
        <v>3</v>
      </c>
      <c r="I504" t="s">
        <v>4</v>
      </c>
      <c r="J504" t="s">
        <v>3</v>
      </c>
      <c r="K504" t="s">
        <v>28</v>
      </c>
      <c r="L504">
        <v>79</v>
      </c>
      <c r="M504">
        <v>10.92</v>
      </c>
      <c r="N504">
        <v>1.46</v>
      </c>
      <c r="O504" t="s">
        <v>15</v>
      </c>
      <c r="P504">
        <v>126</v>
      </c>
      <c r="Q504">
        <v>181</v>
      </c>
      <c r="R504">
        <v>72</v>
      </c>
      <c r="S504">
        <v>56</v>
      </c>
      <c r="T504" t="s">
        <v>48</v>
      </c>
      <c r="U504">
        <f>IF(Cardiac_Table[[#This Row],[Patient Status at Discharge]]="Died", 1,0)</f>
        <v>0</v>
      </c>
      <c r="V504">
        <f>Cardiac_Table[[#This Row],[Risk of Death % (Model 1)]]/100</f>
        <v>0.10920000000000001</v>
      </c>
      <c r="W504">
        <f>Cardiac_Table[[#This Row],[Risk of Death % (Model 2)]]/100</f>
        <v>1.46E-2</v>
      </c>
      <c r="X504" s="18">
        <f>Cardiac_Table[[#This Row],[Procedure Start Date and Time]]-Cardiac_Table[[#This Row],[Hospital Admit Date ]]</f>
        <v>0.75624999999854481</v>
      </c>
    </row>
    <row r="505" spans="1:24" x14ac:dyDescent="0.35">
      <c r="A505">
        <v>512</v>
      </c>
      <c r="B505" s="9">
        <v>44011.666666666664</v>
      </c>
      <c r="C505" s="10">
        <f>INT(Cardiac_Table[[#This Row],[Hospital Admit Date ]])</f>
        <v>44011</v>
      </c>
      <c r="D505" s="11" t="str">
        <f t="shared" si="7"/>
        <v>16:00</v>
      </c>
      <c r="E505" s="9">
        <v>44012.347222222219</v>
      </c>
      <c r="F505" s="10">
        <f>INT(Cardiac_Table[[#This Row],[Procedure Start Date and Time]])</f>
        <v>44012</v>
      </c>
      <c r="G505" s="12">
        <f>MOD(Cardiac_Table[[#This Row],[Procedure Start Date and Time]],1)</f>
        <v>0.34722222221898846</v>
      </c>
      <c r="H505">
        <v>4</v>
      </c>
      <c r="I505" t="s">
        <v>4</v>
      </c>
      <c r="J505" t="s">
        <v>3</v>
      </c>
      <c r="K505" t="s">
        <v>35</v>
      </c>
      <c r="L505">
        <v>66</v>
      </c>
      <c r="M505">
        <v>3.28</v>
      </c>
      <c r="N505">
        <v>0.74</v>
      </c>
      <c r="O505" t="s">
        <v>15</v>
      </c>
      <c r="P505">
        <v>116</v>
      </c>
      <c r="Q505">
        <v>167</v>
      </c>
      <c r="R505">
        <v>68</v>
      </c>
      <c r="S505">
        <v>38</v>
      </c>
      <c r="T505" t="s">
        <v>50</v>
      </c>
      <c r="U505">
        <f>IF(Cardiac_Table[[#This Row],[Patient Status at Discharge]]="Died", 1,0)</f>
        <v>0</v>
      </c>
      <c r="V505">
        <f>Cardiac_Table[[#This Row],[Risk of Death % (Model 1)]]/100</f>
        <v>3.2799999999999996E-2</v>
      </c>
      <c r="W505">
        <f>Cardiac_Table[[#This Row],[Risk of Death % (Model 2)]]/100</f>
        <v>7.4000000000000003E-3</v>
      </c>
      <c r="X505" s="18">
        <f>Cardiac_Table[[#This Row],[Procedure Start Date and Time]]-Cardiac_Table[[#This Row],[Hospital Admit Date ]]</f>
        <v>0.68055555555474712</v>
      </c>
    </row>
    <row r="506" spans="1:24" x14ac:dyDescent="0.35">
      <c r="A506">
        <v>513</v>
      </c>
      <c r="B506" s="9">
        <v>44009.604166666664</v>
      </c>
      <c r="C506" s="10">
        <f>INT(Cardiac_Table[[#This Row],[Hospital Admit Date ]])</f>
        <v>44009</v>
      </c>
      <c r="D506" s="11" t="str">
        <f t="shared" si="7"/>
        <v>14:30</v>
      </c>
      <c r="E506" s="9">
        <v>44012.352083333331</v>
      </c>
      <c r="F506" s="10">
        <f>INT(Cardiac_Table[[#This Row],[Procedure Start Date and Time]])</f>
        <v>44012</v>
      </c>
      <c r="G506" s="12">
        <f>MOD(Cardiac_Table[[#This Row],[Procedure Start Date and Time]],1)</f>
        <v>0.35208333333139308</v>
      </c>
      <c r="H506">
        <v>5</v>
      </c>
      <c r="I506" t="s">
        <v>6</v>
      </c>
      <c r="J506" t="s">
        <v>10</v>
      </c>
      <c r="K506" t="s">
        <v>24</v>
      </c>
      <c r="L506">
        <v>65</v>
      </c>
      <c r="M506">
        <v>9.08</v>
      </c>
      <c r="N506">
        <v>2.98</v>
      </c>
      <c r="O506" t="s">
        <v>15</v>
      </c>
      <c r="P506">
        <v>68</v>
      </c>
      <c r="Q506">
        <v>178</v>
      </c>
      <c r="R506">
        <v>82</v>
      </c>
      <c r="S506">
        <v>50</v>
      </c>
      <c r="T506" t="s">
        <v>50</v>
      </c>
      <c r="U506">
        <f>IF(Cardiac_Table[[#This Row],[Patient Status at Discharge]]="Died", 1,0)</f>
        <v>0</v>
      </c>
      <c r="V506">
        <f>Cardiac_Table[[#This Row],[Risk of Death % (Model 1)]]/100</f>
        <v>9.0800000000000006E-2</v>
      </c>
      <c r="W506">
        <f>Cardiac_Table[[#This Row],[Risk of Death % (Model 2)]]/100</f>
        <v>2.98E-2</v>
      </c>
      <c r="X506" s="18">
        <f>Cardiac_Table[[#This Row],[Procedure Start Date and Time]]-Cardiac_Table[[#This Row],[Hospital Admit Date ]]</f>
        <v>2.7479166666671517</v>
      </c>
    </row>
    <row r="507" spans="1:24" x14ac:dyDescent="0.35">
      <c r="A507">
        <v>514</v>
      </c>
      <c r="B507" s="9">
        <v>44012.291666666664</v>
      </c>
      <c r="C507" s="10">
        <f>INT(Cardiac_Table[[#This Row],[Hospital Admit Date ]])</f>
        <v>44012</v>
      </c>
      <c r="D507" s="11" t="str">
        <f t="shared" si="7"/>
        <v>07:00</v>
      </c>
      <c r="E507" s="9">
        <v>44012.411805555559</v>
      </c>
      <c r="F507" s="10">
        <f>INT(Cardiac_Table[[#This Row],[Procedure Start Date and Time]])</f>
        <v>44012</v>
      </c>
      <c r="G507" s="12">
        <f>MOD(Cardiac_Table[[#This Row],[Procedure Start Date and Time]],1)</f>
        <v>0.41180555555911269</v>
      </c>
      <c r="H507">
        <v>3</v>
      </c>
      <c r="I507" t="s">
        <v>4</v>
      </c>
      <c r="J507" t="s">
        <v>3</v>
      </c>
      <c r="K507" t="s">
        <v>28</v>
      </c>
      <c r="L507">
        <v>67</v>
      </c>
      <c r="M507">
        <v>3.5</v>
      </c>
      <c r="N507">
        <v>1.32</v>
      </c>
      <c r="O507" t="s">
        <v>15</v>
      </c>
      <c r="P507">
        <v>74</v>
      </c>
      <c r="Q507">
        <v>156</v>
      </c>
      <c r="R507">
        <v>81</v>
      </c>
      <c r="S507">
        <v>65</v>
      </c>
      <c r="T507" t="s">
        <v>48</v>
      </c>
      <c r="U507">
        <f>IF(Cardiac_Table[[#This Row],[Patient Status at Discharge]]="Died", 1,0)</f>
        <v>0</v>
      </c>
      <c r="V507">
        <f>Cardiac_Table[[#This Row],[Risk of Death % (Model 1)]]/100</f>
        <v>3.5000000000000003E-2</v>
      </c>
      <c r="W507">
        <f>Cardiac_Table[[#This Row],[Risk of Death % (Model 2)]]/100</f>
        <v>1.32E-2</v>
      </c>
      <c r="X507" s="18">
        <f>Cardiac_Table[[#This Row],[Procedure Start Date and Time]]-Cardiac_Table[[#This Row],[Hospital Admit Date ]]</f>
        <v>0.12013888889487134</v>
      </c>
    </row>
    <row r="508" spans="1:24" x14ac:dyDescent="0.35">
      <c r="A508">
        <v>515</v>
      </c>
      <c r="B508" s="9">
        <v>44012.25</v>
      </c>
      <c r="C508" s="10">
        <f>INT(Cardiac_Table[[#This Row],[Hospital Admit Date ]])</f>
        <v>44012</v>
      </c>
      <c r="D508" s="11" t="str">
        <f t="shared" si="7"/>
        <v>06:00</v>
      </c>
      <c r="E508" s="9">
        <v>44012.557638888888</v>
      </c>
      <c r="F508" s="10">
        <f>INT(Cardiac_Table[[#This Row],[Procedure Start Date and Time]])</f>
        <v>44012</v>
      </c>
      <c r="G508" s="12">
        <f>MOD(Cardiac_Table[[#This Row],[Procedure Start Date and Time]],1)</f>
        <v>0.55763888888759539</v>
      </c>
      <c r="H508">
        <v>4</v>
      </c>
      <c r="I508" t="s">
        <v>4</v>
      </c>
      <c r="J508" t="s">
        <v>3</v>
      </c>
      <c r="K508" t="s">
        <v>35</v>
      </c>
      <c r="L508">
        <v>76</v>
      </c>
      <c r="M508">
        <v>4.53</v>
      </c>
      <c r="N508">
        <v>0.79</v>
      </c>
      <c r="O508" t="s">
        <v>15</v>
      </c>
      <c r="P508">
        <v>78</v>
      </c>
      <c r="Q508">
        <v>156</v>
      </c>
      <c r="R508">
        <v>66</v>
      </c>
      <c r="S508">
        <v>52</v>
      </c>
      <c r="T508" t="s">
        <v>48</v>
      </c>
      <c r="U508">
        <f>IF(Cardiac_Table[[#This Row],[Patient Status at Discharge]]="Died", 1,0)</f>
        <v>0</v>
      </c>
      <c r="V508">
        <f>Cardiac_Table[[#This Row],[Risk of Death % (Model 1)]]/100</f>
        <v>4.53E-2</v>
      </c>
      <c r="W508">
        <f>Cardiac_Table[[#This Row],[Risk of Death % (Model 2)]]/100</f>
        <v>7.9000000000000008E-3</v>
      </c>
      <c r="X508" s="18">
        <f>Cardiac_Table[[#This Row],[Procedure Start Date and Time]]-Cardiac_Table[[#This Row],[Hospital Admit Date ]]</f>
        <v>0.30763888888759539</v>
      </c>
    </row>
    <row r="509" spans="1:24" x14ac:dyDescent="0.35">
      <c r="A509">
        <v>516</v>
      </c>
      <c r="B509" s="9">
        <v>44012.291666666664</v>
      </c>
      <c r="C509" s="10">
        <f>INT(Cardiac_Table[[#This Row],[Hospital Admit Date ]])</f>
        <v>44012</v>
      </c>
      <c r="D509" s="11" t="str">
        <f t="shared" si="7"/>
        <v>07:00</v>
      </c>
      <c r="E509" s="9">
        <v>44012.631249999999</v>
      </c>
      <c r="F509" s="10">
        <f>INT(Cardiac_Table[[#This Row],[Procedure Start Date and Time]])</f>
        <v>44012</v>
      </c>
      <c r="G509" s="12">
        <f>MOD(Cardiac_Table[[#This Row],[Procedure Start Date and Time]],1)</f>
        <v>0.63124999999854481</v>
      </c>
      <c r="H509">
        <v>5</v>
      </c>
      <c r="I509" t="s">
        <v>4</v>
      </c>
      <c r="J509" t="s">
        <v>3</v>
      </c>
      <c r="K509" t="s">
        <v>24</v>
      </c>
      <c r="L509">
        <v>64</v>
      </c>
      <c r="M509">
        <v>2.09</v>
      </c>
      <c r="N509">
        <v>1.96</v>
      </c>
      <c r="O509" t="s">
        <v>15</v>
      </c>
      <c r="P509">
        <v>112</v>
      </c>
      <c r="Q509">
        <v>177</v>
      </c>
      <c r="R509">
        <v>63</v>
      </c>
      <c r="S509">
        <v>49</v>
      </c>
      <c r="T509" t="s">
        <v>50</v>
      </c>
      <c r="U509">
        <f>IF(Cardiac_Table[[#This Row],[Patient Status at Discharge]]="Died", 1,0)</f>
        <v>0</v>
      </c>
      <c r="V509">
        <f>Cardiac_Table[[#This Row],[Risk of Death % (Model 1)]]/100</f>
        <v>2.0899999999999998E-2</v>
      </c>
      <c r="W509">
        <f>Cardiac_Table[[#This Row],[Risk of Death % (Model 2)]]/100</f>
        <v>1.9599999999999999E-2</v>
      </c>
      <c r="X509" s="18">
        <f>Cardiac_Table[[#This Row],[Procedure Start Date and Time]]-Cardiac_Table[[#This Row],[Hospital Admit Date ]]</f>
        <v>0.33958333333430346</v>
      </c>
    </row>
    <row r="510" spans="1:24" x14ac:dyDescent="0.35">
      <c r="A510">
        <v>517</v>
      </c>
      <c r="B510" s="9">
        <v>44011.458333333336</v>
      </c>
      <c r="C510" s="10">
        <f>INT(Cardiac_Table[[#This Row],[Hospital Admit Date ]])</f>
        <v>44011</v>
      </c>
      <c r="D510" s="11" t="str">
        <f t="shared" si="7"/>
        <v>11:00</v>
      </c>
      <c r="E510" s="9">
        <v>44013.336805555555</v>
      </c>
      <c r="F510" s="10">
        <f>INT(Cardiac_Table[[#This Row],[Procedure Start Date and Time]])</f>
        <v>44013</v>
      </c>
      <c r="G510" s="12">
        <f>MOD(Cardiac_Table[[#This Row],[Procedure Start Date and Time]],1)</f>
        <v>0.33680555555474712</v>
      </c>
      <c r="H510">
        <v>4</v>
      </c>
      <c r="I510" t="s">
        <v>6</v>
      </c>
      <c r="J510" t="s">
        <v>10</v>
      </c>
      <c r="K510" t="s">
        <v>27</v>
      </c>
      <c r="L510">
        <v>59</v>
      </c>
      <c r="M510">
        <v>2.2799999999999998</v>
      </c>
      <c r="N510">
        <v>1.0900000000000001</v>
      </c>
      <c r="O510" t="s">
        <v>15</v>
      </c>
      <c r="P510">
        <v>85</v>
      </c>
      <c r="Q510">
        <v>180</v>
      </c>
      <c r="R510">
        <v>106</v>
      </c>
      <c r="S510">
        <v>20</v>
      </c>
      <c r="T510" t="s">
        <v>51</v>
      </c>
      <c r="U510">
        <f>IF(Cardiac_Table[[#This Row],[Patient Status at Discharge]]="Died", 1,0)</f>
        <v>0</v>
      </c>
      <c r="V510">
        <f>Cardiac_Table[[#This Row],[Risk of Death % (Model 1)]]/100</f>
        <v>2.2799999999999997E-2</v>
      </c>
      <c r="W510">
        <f>Cardiac_Table[[#This Row],[Risk of Death % (Model 2)]]/100</f>
        <v>1.09E-2</v>
      </c>
      <c r="X510" s="18">
        <f>Cardiac_Table[[#This Row],[Procedure Start Date and Time]]-Cardiac_Table[[#This Row],[Hospital Admit Date ]]</f>
        <v>1.8784722222189885</v>
      </c>
    </row>
    <row r="511" spans="1:24" x14ac:dyDescent="0.35">
      <c r="A511">
        <v>518</v>
      </c>
      <c r="B511" s="9">
        <v>44011.291666666664</v>
      </c>
      <c r="C511" s="10">
        <f>INT(Cardiac_Table[[#This Row],[Hospital Admit Date ]])</f>
        <v>44011</v>
      </c>
      <c r="D511" s="11" t="str">
        <f t="shared" si="7"/>
        <v>07:00</v>
      </c>
      <c r="E511" s="9">
        <v>44013.34375</v>
      </c>
      <c r="F511" s="10">
        <f>INT(Cardiac_Table[[#This Row],[Procedure Start Date and Time]])</f>
        <v>44013</v>
      </c>
      <c r="G511" s="12">
        <f>MOD(Cardiac_Table[[#This Row],[Procedure Start Date and Time]],1)</f>
        <v>0.34375</v>
      </c>
      <c r="H511">
        <v>3</v>
      </c>
      <c r="I511" t="s">
        <v>4</v>
      </c>
      <c r="J511" t="s">
        <v>10</v>
      </c>
      <c r="K511" t="s">
        <v>33</v>
      </c>
      <c r="L511">
        <v>74</v>
      </c>
      <c r="M511">
        <v>5.22</v>
      </c>
      <c r="N511">
        <v>2.02</v>
      </c>
      <c r="O511" t="s">
        <v>15</v>
      </c>
      <c r="P511">
        <v>103</v>
      </c>
      <c r="Q511">
        <v>180</v>
      </c>
      <c r="R511">
        <v>96</v>
      </c>
      <c r="S511">
        <v>60</v>
      </c>
      <c r="T511" t="s">
        <v>48</v>
      </c>
      <c r="U511">
        <f>IF(Cardiac_Table[[#This Row],[Patient Status at Discharge]]="Died", 1,0)</f>
        <v>0</v>
      </c>
      <c r="V511">
        <f>Cardiac_Table[[#This Row],[Risk of Death % (Model 1)]]/100</f>
        <v>5.2199999999999996E-2</v>
      </c>
      <c r="W511">
        <f>Cardiac_Table[[#This Row],[Risk of Death % (Model 2)]]/100</f>
        <v>2.0199999999999999E-2</v>
      </c>
      <c r="X511" s="18">
        <f>Cardiac_Table[[#This Row],[Procedure Start Date and Time]]-Cardiac_Table[[#This Row],[Hospital Admit Date ]]</f>
        <v>2.0520833333357587</v>
      </c>
    </row>
    <row r="512" spans="1:24" x14ac:dyDescent="0.35">
      <c r="A512">
        <v>519</v>
      </c>
      <c r="B512" s="9">
        <v>44012.541666666664</v>
      </c>
      <c r="C512" s="10">
        <f>INT(Cardiac_Table[[#This Row],[Hospital Admit Date ]])</f>
        <v>44012</v>
      </c>
      <c r="D512" s="11" t="str">
        <f t="shared" si="7"/>
        <v>13:00</v>
      </c>
      <c r="E512" s="9">
        <v>44013.54583333333</v>
      </c>
      <c r="F512" s="10">
        <f>INT(Cardiac_Table[[#This Row],[Procedure Start Date and Time]])</f>
        <v>44013</v>
      </c>
      <c r="G512" s="12">
        <f>MOD(Cardiac_Table[[#This Row],[Procedure Start Date and Time]],1)</f>
        <v>0.54583333332993789</v>
      </c>
      <c r="H512">
        <v>3</v>
      </c>
      <c r="I512" t="s">
        <v>4</v>
      </c>
      <c r="J512" t="s">
        <v>11</v>
      </c>
      <c r="K512" t="s">
        <v>28</v>
      </c>
      <c r="L512">
        <v>79</v>
      </c>
      <c r="M512">
        <v>5.48</v>
      </c>
      <c r="N512">
        <v>2.65</v>
      </c>
      <c r="O512" t="s">
        <v>15</v>
      </c>
      <c r="P512">
        <v>95</v>
      </c>
      <c r="Q512">
        <v>154</v>
      </c>
      <c r="R512">
        <v>64</v>
      </c>
      <c r="S512">
        <v>55</v>
      </c>
      <c r="T512" t="s">
        <v>48</v>
      </c>
      <c r="U512">
        <f>IF(Cardiac_Table[[#This Row],[Patient Status at Discharge]]="Died", 1,0)</f>
        <v>0</v>
      </c>
      <c r="V512">
        <f>Cardiac_Table[[#This Row],[Risk of Death % (Model 1)]]/100</f>
        <v>5.4800000000000001E-2</v>
      </c>
      <c r="W512">
        <f>Cardiac_Table[[#This Row],[Risk of Death % (Model 2)]]/100</f>
        <v>2.6499999999999999E-2</v>
      </c>
      <c r="X512" s="18">
        <f>Cardiac_Table[[#This Row],[Procedure Start Date and Time]]-Cardiac_Table[[#This Row],[Hospital Admit Date ]]</f>
        <v>1.0041666666656965</v>
      </c>
    </row>
    <row r="513" spans="1:24" x14ac:dyDescent="0.35">
      <c r="A513">
        <v>520</v>
      </c>
      <c r="B513" s="9">
        <v>44013.304861111108</v>
      </c>
      <c r="C513" s="10">
        <f>INT(Cardiac_Table[[#This Row],[Hospital Admit Date ]])</f>
        <v>44013</v>
      </c>
      <c r="D513" s="11" t="str">
        <f t="shared" si="7"/>
        <v>07:19</v>
      </c>
      <c r="E513" s="9">
        <v>44013.625</v>
      </c>
      <c r="F513" s="10">
        <f>INT(Cardiac_Table[[#This Row],[Procedure Start Date and Time]])</f>
        <v>44013</v>
      </c>
      <c r="G513" s="12">
        <f>MOD(Cardiac_Table[[#This Row],[Procedure Start Date and Time]],1)</f>
        <v>0.625</v>
      </c>
      <c r="H513">
        <v>4</v>
      </c>
      <c r="I513" t="s">
        <v>4</v>
      </c>
      <c r="J513" t="s">
        <v>3</v>
      </c>
      <c r="K513" t="s">
        <v>27</v>
      </c>
      <c r="L513">
        <v>70</v>
      </c>
      <c r="M513">
        <v>4.6100000000000003</v>
      </c>
      <c r="N513">
        <v>1.94</v>
      </c>
      <c r="O513" t="s">
        <v>15</v>
      </c>
      <c r="P513">
        <v>110</v>
      </c>
      <c r="Q513">
        <v>175</v>
      </c>
      <c r="R513">
        <v>70</v>
      </c>
      <c r="S513">
        <v>42</v>
      </c>
      <c r="T513" t="s">
        <v>50</v>
      </c>
      <c r="U513">
        <f>IF(Cardiac_Table[[#This Row],[Patient Status at Discharge]]="Died", 1,0)</f>
        <v>0</v>
      </c>
      <c r="V513">
        <f>Cardiac_Table[[#This Row],[Risk of Death % (Model 1)]]/100</f>
        <v>4.6100000000000002E-2</v>
      </c>
      <c r="W513">
        <f>Cardiac_Table[[#This Row],[Risk of Death % (Model 2)]]/100</f>
        <v>1.9400000000000001E-2</v>
      </c>
      <c r="X513" s="18">
        <f>Cardiac_Table[[#This Row],[Procedure Start Date and Time]]-Cardiac_Table[[#This Row],[Hospital Admit Date ]]</f>
        <v>0.32013888889196096</v>
      </c>
    </row>
    <row r="514" spans="1:24" x14ac:dyDescent="0.35">
      <c r="A514">
        <v>521</v>
      </c>
      <c r="B514" s="9">
        <v>44013.47152777778</v>
      </c>
      <c r="C514" s="10">
        <f>INT(Cardiac_Table[[#This Row],[Hospital Admit Date ]])</f>
        <v>44013</v>
      </c>
      <c r="D514" s="11" t="str">
        <f t="shared" ref="D514:D577" si="8">TEXT(B514,"HH:MM")</f>
        <v>11:19</v>
      </c>
      <c r="E514" s="9">
        <v>44014.341666666667</v>
      </c>
      <c r="F514" s="10">
        <f>INT(Cardiac_Table[[#This Row],[Procedure Start Date and Time]])</f>
        <v>44014</v>
      </c>
      <c r="G514" s="12">
        <f>MOD(Cardiac_Table[[#This Row],[Procedure Start Date and Time]],1)</f>
        <v>0.34166666666715173</v>
      </c>
      <c r="H514">
        <v>5</v>
      </c>
      <c r="I514" t="s">
        <v>4</v>
      </c>
      <c r="J514" t="s">
        <v>10</v>
      </c>
      <c r="K514" t="s">
        <v>32</v>
      </c>
      <c r="L514">
        <v>78</v>
      </c>
      <c r="M514">
        <v>3.06</v>
      </c>
      <c r="N514">
        <v>0.93</v>
      </c>
      <c r="O514" t="s">
        <v>15</v>
      </c>
      <c r="P514">
        <v>73</v>
      </c>
      <c r="Q514">
        <v>140</v>
      </c>
      <c r="R514">
        <v>61</v>
      </c>
      <c r="S514">
        <v>60</v>
      </c>
      <c r="T514" t="s">
        <v>48</v>
      </c>
      <c r="U514">
        <f>IF(Cardiac_Table[[#This Row],[Patient Status at Discharge]]="Died", 1,0)</f>
        <v>0</v>
      </c>
      <c r="V514">
        <f>Cardiac_Table[[#This Row],[Risk of Death % (Model 1)]]/100</f>
        <v>3.0600000000000002E-2</v>
      </c>
      <c r="W514">
        <f>Cardiac_Table[[#This Row],[Risk of Death % (Model 2)]]/100</f>
        <v>9.300000000000001E-3</v>
      </c>
      <c r="X514" s="18">
        <f>Cardiac_Table[[#This Row],[Procedure Start Date and Time]]-Cardiac_Table[[#This Row],[Hospital Admit Date ]]</f>
        <v>0.87013888888759539</v>
      </c>
    </row>
    <row r="515" spans="1:24" x14ac:dyDescent="0.35">
      <c r="A515">
        <v>522</v>
      </c>
      <c r="B515" s="9">
        <v>44008.499305555553</v>
      </c>
      <c r="C515" s="10">
        <f>INT(Cardiac_Table[[#This Row],[Hospital Admit Date ]])</f>
        <v>44008</v>
      </c>
      <c r="D515" s="11" t="str">
        <f t="shared" si="8"/>
        <v>11:59</v>
      </c>
      <c r="E515" s="9">
        <v>44014.347222222219</v>
      </c>
      <c r="F515" s="10">
        <f>INT(Cardiac_Table[[#This Row],[Procedure Start Date and Time]])</f>
        <v>44014</v>
      </c>
      <c r="G515" s="12">
        <f>MOD(Cardiac_Table[[#This Row],[Procedure Start Date and Time]],1)</f>
        <v>0.34722222221898846</v>
      </c>
      <c r="H515">
        <v>4</v>
      </c>
      <c r="I515" t="s">
        <v>6</v>
      </c>
      <c r="J515" t="s">
        <v>10</v>
      </c>
      <c r="K515" t="s">
        <v>23</v>
      </c>
      <c r="L515">
        <v>74</v>
      </c>
      <c r="M515">
        <v>12.62</v>
      </c>
      <c r="N515">
        <v>3.58</v>
      </c>
      <c r="O515" t="s">
        <v>15</v>
      </c>
      <c r="P515">
        <v>143</v>
      </c>
      <c r="Q515">
        <v>170</v>
      </c>
      <c r="R515">
        <v>73</v>
      </c>
      <c r="S515">
        <v>60</v>
      </c>
      <c r="T515" t="s">
        <v>48</v>
      </c>
      <c r="U515">
        <f>IF(Cardiac_Table[[#This Row],[Patient Status at Discharge]]="Died", 1,0)</f>
        <v>0</v>
      </c>
      <c r="V515">
        <f>Cardiac_Table[[#This Row],[Risk of Death % (Model 1)]]/100</f>
        <v>0.12619999999999998</v>
      </c>
      <c r="W515">
        <f>Cardiac_Table[[#This Row],[Risk of Death % (Model 2)]]/100</f>
        <v>3.5799999999999998E-2</v>
      </c>
      <c r="X515" s="18">
        <f>Cardiac_Table[[#This Row],[Procedure Start Date and Time]]-Cardiac_Table[[#This Row],[Hospital Admit Date ]]</f>
        <v>5.8479166666656965</v>
      </c>
    </row>
    <row r="516" spans="1:24" x14ac:dyDescent="0.35">
      <c r="A516">
        <v>523</v>
      </c>
      <c r="B516" s="9">
        <v>44014.291666666664</v>
      </c>
      <c r="C516" s="10">
        <f>INT(Cardiac_Table[[#This Row],[Hospital Admit Date ]])</f>
        <v>44014</v>
      </c>
      <c r="D516" s="11" t="str">
        <f t="shared" si="8"/>
        <v>07:00</v>
      </c>
      <c r="E516" s="9">
        <v>44014.357638888891</v>
      </c>
      <c r="F516" s="10">
        <f>INT(Cardiac_Table[[#This Row],[Procedure Start Date and Time]])</f>
        <v>44014</v>
      </c>
      <c r="G516" s="12">
        <f>MOD(Cardiac_Table[[#This Row],[Procedure Start Date and Time]],1)</f>
        <v>0.35763888889050577</v>
      </c>
      <c r="H516">
        <v>3</v>
      </c>
      <c r="I516" t="s">
        <v>4</v>
      </c>
      <c r="J516" t="s">
        <v>3</v>
      </c>
      <c r="K516" t="s">
        <v>33</v>
      </c>
      <c r="L516">
        <v>77</v>
      </c>
      <c r="M516">
        <v>7.16</v>
      </c>
      <c r="N516">
        <v>3.18</v>
      </c>
      <c r="O516" t="s">
        <v>15</v>
      </c>
      <c r="P516">
        <v>76</v>
      </c>
      <c r="Q516">
        <v>178</v>
      </c>
      <c r="R516">
        <v>97</v>
      </c>
      <c r="S516">
        <v>60</v>
      </c>
      <c r="T516" t="s">
        <v>48</v>
      </c>
      <c r="U516">
        <f>IF(Cardiac_Table[[#This Row],[Patient Status at Discharge]]="Died", 1,0)</f>
        <v>0</v>
      </c>
      <c r="V516">
        <f>Cardiac_Table[[#This Row],[Risk of Death % (Model 1)]]/100</f>
        <v>7.1599999999999997E-2</v>
      </c>
      <c r="W516">
        <f>Cardiac_Table[[#This Row],[Risk of Death % (Model 2)]]/100</f>
        <v>3.1800000000000002E-2</v>
      </c>
      <c r="X516" s="18">
        <f>Cardiac_Table[[#This Row],[Procedure Start Date and Time]]-Cardiac_Table[[#This Row],[Hospital Admit Date ]]</f>
        <v>6.5972222226264421E-2</v>
      </c>
    </row>
    <row r="517" spans="1:24" x14ac:dyDescent="0.35">
      <c r="A517">
        <v>524</v>
      </c>
      <c r="B517" s="9">
        <v>44014.291666666664</v>
      </c>
      <c r="C517" s="10">
        <f>INT(Cardiac_Table[[#This Row],[Hospital Admit Date ]])</f>
        <v>44014</v>
      </c>
      <c r="D517" s="11" t="str">
        <f t="shared" si="8"/>
        <v>07:00</v>
      </c>
      <c r="E517" s="9">
        <v>44014.555555555555</v>
      </c>
      <c r="F517" s="10">
        <f>INT(Cardiac_Table[[#This Row],[Procedure Start Date and Time]])</f>
        <v>44014</v>
      </c>
      <c r="G517" s="12">
        <f>MOD(Cardiac_Table[[#This Row],[Procedure Start Date and Time]],1)</f>
        <v>0.55555555555474712</v>
      </c>
      <c r="H517">
        <v>3</v>
      </c>
      <c r="I517" t="s">
        <v>4</v>
      </c>
      <c r="J517" t="s">
        <v>11</v>
      </c>
      <c r="K517" t="s">
        <v>33</v>
      </c>
      <c r="L517">
        <v>64</v>
      </c>
      <c r="M517">
        <v>2.09</v>
      </c>
      <c r="N517">
        <v>1.29</v>
      </c>
      <c r="O517" t="s">
        <v>15</v>
      </c>
      <c r="P517">
        <v>72</v>
      </c>
      <c r="Q517">
        <v>180</v>
      </c>
      <c r="R517">
        <v>67</v>
      </c>
      <c r="S517">
        <v>44</v>
      </c>
      <c r="T517" t="s">
        <v>50</v>
      </c>
      <c r="U517">
        <f>IF(Cardiac_Table[[#This Row],[Patient Status at Discharge]]="Died", 1,0)</f>
        <v>0</v>
      </c>
      <c r="V517">
        <f>Cardiac_Table[[#This Row],[Risk of Death % (Model 1)]]/100</f>
        <v>2.0899999999999998E-2</v>
      </c>
      <c r="W517">
        <f>Cardiac_Table[[#This Row],[Risk of Death % (Model 2)]]/100</f>
        <v>1.29E-2</v>
      </c>
      <c r="X517" s="18">
        <f>Cardiac_Table[[#This Row],[Procedure Start Date and Time]]-Cardiac_Table[[#This Row],[Hospital Admit Date ]]</f>
        <v>0.26388888889050577</v>
      </c>
    </row>
    <row r="518" spans="1:24" x14ac:dyDescent="0.35">
      <c r="A518">
        <v>525</v>
      </c>
      <c r="B518" s="9">
        <v>44014.291666666664</v>
      </c>
      <c r="C518" s="10">
        <f>INT(Cardiac_Table[[#This Row],[Hospital Admit Date ]])</f>
        <v>44014</v>
      </c>
      <c r="D518" s="11" t="str">
        <f t="shared" si="8"/>
        <v>07:00</v>
      </c>
      <c r="E518" s="9">
        <v>44014.583333333336</v>
      </c>
      <c r="F518" s="10">
        <f>INT(Cardiac_Table[[#This Row],[Procedure Start Date and Time]])</f>
        <v>44014</v>
      </c>
      <c r="G518" s="12">
        <f>MOD(Cardiac_Table[[#This Row],[Procedure Start Date and Time]],1)</f>
        <v>0.58333333333575865</v>
      </c>
      <c r="H518">
        <v>4</v>
      </c>
      <c r="I518" t="s">
        <v>4</v>
      </c>
      <c r="J518" t="s">
        <v>10</v>
      </c>
      <c r="K518" t="s">
        <v>23</v>
      </c>
      <c r="L518">
        <v>64</v>
      </c>
      <c r="M518">
        <v>1.85</v>
      </c>
      <c r="N518">
        <v>0.85</v>
      </c>
      <c r="O518" t="s">
        <v>15</v>
      </c>
      <c r="P518">
        <v>66</v>
      </c>
      <c r="Q518">
        <v>187</v>
      </c>
      <c r="R518">
        <v>157</v>
      </c>
      <c r="S518">
        <v>65</v>
      </c>
      <c r="T518" t="s">
        <v>48</v>
      </c>
      <c r="U518">
        <f>IF(Cardiac_Table[[#This Row],[Patient Status at Discharge]]="Died", 1,0)</f>
        <v>0</v>
      </c>
      <c r="V518">
        <f>Cardiac_Table[[#This Row],[Risk of Death % (Model 1)]]/100</f>
        <v>1.8500000000000003E-2</v>
      </c>
      <c r="W518">
        <f>Cardiac_Table[[#This Row],[Risk of Death % (Model 2)]]/100</f>
        <v>8.5000000000000006E-3</v>
      </c>
      <c r="X518" s="18">
        <f>Cardiac_Table[[#This Row],[Procedure Start Date and Time]]-Cardiac_Table[[#This Row],[Hospital Admit Date ]]</f>
        <v>0.29166666667151731</v>
      </c>
    </row>
    <row r="519" spans="1:24" x14ac:dyDescent="0.35">
      <c r="A519">
        <v>526</v>
      </c>
      <c r="B519" s="9">
        <v>44015.306250000001</v>
      </c>
      <c r="C519" s="10">
        <f>INT(Cardiac_Table[[#This Row],[Hospital Admit Date ]])</f>
        <v>44015</v>
      </c>
      <c r="D519" s="11" t="str">
        <f t="shared" si="8"/>
        <v>07:21</v>
      </c>
      <c r="E519" s="9">
        <v>44015.34097222222</v>
      </c>
      <c r="F519" s="10">
        <f>INT(Cardiac_Table[[#This Row],[Procedure Start Date and Time]])</f>
        <v>44015</v>
      </c>
      <c r="G519" s="12">
        <f>MOD(Cardiac_Table[[#This Row],[Procedure Start Date and Time]],1)</f>
        <v>0.34097222222044365</v>
      </c>
      <c r="H519">
        <v>4</v>
      </c>
      <c r="I519" t="s">
        <v>4</v>
      </c>
      <c r="J519" t="s">
        <v>3</v>
      </c>
      <c r="K519" t="s">
        <v>21</v>
      </c>
      <c r="L519">
        <v>65</v>
      </c>
      <c r="M519">
        <v>2.23</v>
      </c>
      <c r="N519">
        <v>0.57999999999999996</v>
      </c>
      <c r="O519" t="s">
        <v>15</v>
      </c>
      <c r="P519">
        <v>66</v>
      </c>
      <c r="Q519">
        <v>169</v>
      </c>
      <c r="R519">
        <v>63</v>
      </c>
      <c r="S519">
        <v>56</v>
      </c>
      <c r="T519" t="s">
        <v>48</v>
      </c>
      <c r="U519">
        <f>IF(Cardiac_Table[[#This Row],[Patient Status at Discharge]]="Died", 1,0)</f>
        <v>0</v>
      </c>
      <c r="V519">
        <f>Cardiac_Table[[#This Row],[Risk of Death % (Model 1)]]/100</f>
        <v>2.23E-2</v>
      </c>
      <c r="W519">
        <f>Cardiac_Table[[#This Row],[Risk of Death % (Model 2)]]/100</f>
        <v>5.7999999999999996E-3</v>
      </c>
      <c r="X519" s="18">
        <f>Cardiac_Table[[#This Row],[Procedure Start Date and Time]]-Cardiac_Table[[#This Row],[Hospital Admit Date ]]</f>
        <v>3.4722222218988463E-2</v>
      </c>
    </row>
    <row r="520" spans="1:24" x14ac:dyDescent="0.35">
      <c r="A520">
        <v>527</v>
      </c>
      <c r="B520" s="9">
        <v>44005.458333333336</v>
      </c>
      <c r="C520" s="10">
        <f>INT(Cardiac_Table[[#This Row],[Hospital Admit Date ]])</f>
        <v>44005</v>
      </c>
      <c r="D520" s="11" t="str">
        <f t="shared" si="8"/>
        <v>11:00</v>
      </c>
      <c r="E520" s="9">
        <v>44015.354166666664</v>
      </c>
      <c r="F520" s="10">
        <f>INT(Cardiac_Table[[#This Row],[Procedure Start Date and Time]])</f>
        <v>44015</v>
      </c>
      <c r="G520" s="12">
        <f>MOD(Cardiac_Table[[#This Row],[Procedure Start Date and Time]],1)</f>
        <v>0.35416666666424135</v>
      </c>
      <c r="H520">
        <v>3</v>
      </c>
      <c r="I520" t="s">
        <v>6</v>
      </c>
      <c r="J520" t="s">
        <v>1</v>
      </c>
      <c r="K520" t="s">
        <v>31</v>
      </c>
      <c r="L520">
        <v>73</v>
      </c>
      <c r="M520">
        <v>34</v>
      </c>
      <c r="N520">
        <v>11.19</v>
      </c>
      <c r="O520" t="s">
        <v>15</v>
      </c>
      <c r="P520">
        <v>83</v>
      </c>
      <c r="Q520">
        <v>161</v>
      </c>
      <c r="R520">
        <v>72</v>
      </c>
      <c r="S520">
        <v>55</v>
      </c>
      <c r="T520" t="s">
        <v>48</v>
      </c>
      <c r="U520">
        <f>IF(Cardiac_Table[[#This Row],[Patient Status at Discharge]]="Died", 1,0)</f>
        <v>0</v>
      </c>
      <c r="V520">
        <f>Cardiac_Table[[#This Row],[Risk of Death % (Model 1)]]/100</f>
        <v>0.34</v>
      </c>
      <c r="W520">
        <f>Cardiac_Table[[#This Row],[Risk of Death % (Model 2)]]/100</f>
        <v>0.1119</v>
      </c>
      <c r="X520" s="18">
        <f>Cardiac_Table[[#This Row],[Procedure Start Date and Time]]-Cardiac_Table[[#This Row],[Hospital Admit Date ]]</f>
        <v>9.8958333333284827</v>
      </c>
    </row>
    <row r="521" spans="1:24" x14ac:dyDescent="0.35">
      <c r="A521">
        <v>528</v>
      </c>
      <c r="B521" s="9">
        <v>44015.306944444441</v>
      </c>
      <c r="C521" s="10">
        <f>INT(Cardiac_Table[[#This Row],[Hospital Admit Date ]])</f>
        <v>44015</v>
      </c>
      <c r="D521" s="11" t="str">
        <f t="shared" si="8"/>
        <v>07:22</v>
      </c>
      <c r="E521" s="9">
        <v>44015.561805555553</v>
      </c>
      <c r="F521" s="10">
        <f>INT(Cardiac_Table[[#This Row],[Procedure Start Date and Time]])</f>
        <v>44015</v>
      </c>
      <c r="G521" s="12">
        <f>MOD(Cardiac_Table[[#This Row],[Procedure Start Date and Time]],1)</f>
        <v>0.56180555555329192</v>
      </c>
      <c r="H521">
        <v>4</v>
      </c>
      <c r="I521" t="s">
        <v>4</v>
      </c>
      <c r="J521" t="s">
        <v>3</v>
      </c>
      <c r="K521" t="s">
        <v>21</v>
      </c>
      <c r="L521">
        <v>82</v>
      </c>
      <c r="M521">
        <v>8.9700000000000006</v>
      </c>
      <c r="N521">
        <v>1.1599999999999999</v>
      </c>
      <c r="O521" t="s">
        <v>15</v>
      </c>
      <c r="P521">
        <v>63</v>
      </c>
      <c r="Q521">
        <v>173</v>
      </c>
      <c r="R521">
        <v>130</v>
      </c>
      <c r="S521">
        <v>50</v>
      </c>
      <c r="T521" t="s">
        <v>50</v>
      </c>
      <c r="U521">
        <f>IF(Cardiac_Table[[#This Row],[Patient Status at Discharge]]="Died", 1,0)</f>
        <v>0</v>
      </c>
      <c r="V521">
        <f>Cardiac_Table[[#This Row],[Risk of Death % (Model 1)]]/100</f>
        <v>8.9700000000000002E-2</v>
      </c>
      <c r="W521">
        <f>Cardiac_Table[[#This Row],[Risk of Death % (Model 2)]]/100</f>
        <v>1.1599999999999999E-2</v>
      </c>
      <c r="X521" s="18">
        <f>Cardiac_Table[[#This Row],[Procedure Start Date and Time]]-Cardiac_Table[[#This Row],[Hospital Admit Date ]]</f>
        <v>0.25486111111240461</v>
      </c>
    </row>
    <row r="522" spans="1:24" x14ac:dyDescent="0.35">
      <c r="A522">
        <v>529</v>
      </c>
      <c r="B522" s="9">
        <v>44015.305555555555</v>
      </c>
      <c r="C522" s="10">
        <f>INT(Cardiac_Table[[#This Row],[Hospital Admit Date ]])</f>
        <v>44015</v>
      </c>
      <c r="D522" s="11" t="str">
        <f t="shared" si="8"/>
        <v>07:20</v>
      </c>
      <c r="E522" s="9">
        <v>44015.614583333336</v>
      </c>
      <c r="F522" s="10">
        <f>INT(Cardiac_Table[[#This Row],[Procedure Start Date and Time]])</f>
        <v>44015</v>
      </c>
      <c r="G522" s="12">
        <f>MOD(Cardiac_Table[[#This Row],[Procedure Start Date and Time]],1)</f>
        <v>0.61458333333575865</v>
      </c>
      <c r="H522">
        <v>3</v>
      </c>
      <c r="I522" t="s">
        <v>4</v>
      </c>
      <c r="J522" t="s">
        <v>3</v>
      </c>
      <c r="K522" t="s">
        <v>31</v>
      </c>
      <c r="L522">
        <v>66</v>
      </c>
      <c r="M522">
        <v>3.28</v>
      </c>
      <c r="N522">
        <v>1.17</v>
      </c>
      <c r="O522" t="s">
        <v>13</v>
      </c>
      <c r="P522">
        <v>138</v>
      </c>
      <c r="Q522">
        <v>183</v>
      </c>
      <c r="R522">
        <v>87</v>
      </c>
      <c r="S522">
        <v>26</v>
      </c>
      <c r="T522" t="s">
        <v>49</v>
      </c>
      <c r="U522">
        <f>IF(Cardiac_Table[[#This Row],[Patient Status at Discharge]]="Died", 1,0)</f>
        <v>1</v>
      </c>
      <c r="V522">
        <f>Cardiac_Table[[#This Row],[Risk of Death % (Model 1)]]/100</f>
        <v>3.2799999999999996E-2</v>
      </c>
      <c r="W522">
        <f>Cardiac_Table[[#This Row],[Risk of Death % (Model 2)]]/100</f>
        <v>1.1699999999999999E-2</v>
      </c>
      <c r="X522" s="18">
        <f>Cardiac_Table[[#This Row],[Procedure Start Date and Time]]-Cardiac_Table[[#This Row],[Hospital Admit Date ]]</f>
        <v>0.30902777778101154</v>
      </c>
    </row>
    <row r="523" spans="1:24" x14ac:dyDescent="0.35">
      <c r="A523">
        <v>530</v>
      </c>
      <c r="B523" s="9">
        <v>44015.665277777778</v>
      </c>
      <c r="C523" s="10">
        <f>INT(Cardiac_Table[[#This Row],[Hospital Admit Date ]])</f>
        <v>44015</v>
      </c>
      <c r="D523" s="11" t="str">
        <f t="shared" si="8"/>
        <v>15:58</v>
      </c>
      <c r="E523" s="9">
        <v>44016.336805555555</v>
      </c>
      <c r="F523" s="10">
        <f>INT(Cardiac_Table[[#This Row],[Procedure Start Date and Time]])</f>
        <v>44016</v>
      </c>
      <c r="G523" s="12">
        <f>MOD(Cardiac_Table[[#This Row],[Procedure Start Date and Time]],1)</f>
        <v>0.33680555555474712</v>
      </c>
      <c r="H523">
        <v>4</v>
      </c>
      <c r="I523" t="s">
        <v>4</v>
      </c>
      <c r="J523" t="s">
        <v>11</v>
      </c>
      <c r="K523" t="s">
        <v>24</v>
      </c>
      <c r="L523">
        <v>74</v>
      </c>
      <c r="M523">
        <v>7.41</v>
      </c>
      <c r="N523">
        <v>12.25</v>
      </c>
      <c r="O523" t="s">
        <v>15</v>
      </c>
      <c r="P523">
        <v>83</v>
      </c>
      <c r="Q523">
        <v>165</v>
      </c>
      <c r="R523">
        <v>60</v>
      </c>
      <c r="S523">
        <v>55</v>
      </c>
      <c r="T523" t="s">
        <v>48</v>
      </c>
      <c r="U523">
        <f>IF(Cardiac_Table[[#This Row],[Patient Status at Discharge]]="Died", 1,0)</f>
        <v>0</v>
      </c>
      <c r="V523">
        <f>Cardiac_Table[[#This Row],[Risk of Death % (Model 1)]]/100</f>
        <v>7.4099999999999999E-2</v>
      </c>
      <c r="W523">
        <f>Cardiac_Table[[#This Row],[Risk of Death % (Model 2)]]/100</f>
        <v>0.1225</v>
      </c>
      <c r="X523" s="18">
        <f>Cardiac_Table[[#This Row],[Procedure Start Date and Time]]-Cardiac_Table[[#This Row],[Hospital Admit Date ]]</f>
        <v>0.67152777777664596</v>
      </c>
    </row>
    <row r="524" spans="1:24" x14ac:dyDescent="0.35">
      <c r="A524">
        <v>531</v>
      </c>
      <c r="B524" s="9">
        <v>44016.644444444442</v>
      </c>
      <c r="C524" s="10">
        <f>INT(Cardiac_Table[[#This Row],[Hospital Admit Date ]])</f>
        <v>44016</v>
      </c>
      <c r="D524" s="11" t="str">
        <f t="shared" si="8"/>
        <v>15:28</v>
      </c>
      <c r="E524" s="9">
        <v>44017.441666666666</v>
      </c>
      <c r="F524" s="10">
        <f>INT(Cardiac_Table[[#This Row],[Procedure Start Date and Time]])</f>
        <v>44017</v>
      </c>
      <c r="G524" s="12">
        <f>MOD(Cardiac_Table[[#This Row],[Procedure Start Date and Time]],1)</f>
        <v>0.44166666666569654</v>
      </c>
      <c r="H524">
        <v>5</v>
      </c>
      <c r="I524" t="s">
        <v>2</v>
      </c>
      <c r="J524" t="s">
        <v>1</v>
      </c>
      <c r="K524" t="s">
        <v>23</v>
      </c>
      <c r="L524">
        <v>54</v>
      </c>
      <c r="M524">
        <v>66.7</v>
      </c>
      <c r="N524">
        <v>50.46</v>
      </c>
      <c r="O524" t="s">
        <v>15</v>
      </c>
      <c r="P524">
        <v>119</v>
      </c>
      <c r="Q524">
        <v>150</v>
      </c>
      <c r="R524">
        <v>70</v>
      </c>
      <c r="S524">
        <v>27</v>
      </c>
      <c r="T524" t="s">
        <v>49</v>
      </c>
      <c r="U524">
        <f>IF(Cardiac_Table[[#This Row],[Patient Status at Discharge]]="Died", 1,0)</f>
        <v>0</v>
      </c>
      <c r="V524">
        <f>Cardiac_Table[[#This Row],[Risk of Death % (Model 1)]]/100</f>
        <v>0.66700000000000004</v>
      </c>
      <c r="W524">
        <f>Cardiac_Table[[#This Row],[Risk of Death % (Model 2)]]/100</f>
        <v>0.50460000000000005</v>
      </c>
      <c r="X524" s="18">
        <f>Cardiac_Table[[#This Row],[Procedure Start Date and Time]]-Cardiac_Table[[#This Row],[Hospital Admit Date ]]</f>
        <v>0.79722222222335404</v>
      </c>
    </row>
    <row r="525" spans="1:24" x14ac:dyDescent="0.35">
      <c r="A525">
        <v>532</v>
      </c>
      <c r="B525" s="9">
        <v>44014.291666666664</v>
      </c>
      <c r="C525" s="10">
        <f>INT(Cardiac_Table[[#This Row],[Hospital Admit Date ]])</f>
        <v>44014</v>
      </c>
      <c r="D525" s="11" t="str">
        <f t="shared" si="8"/>
        <v>07:00</v>
      </c>
      <c r="E525" s="9">
        <v>44018.340277777781</v>
      </c>
      <c r="F525" s="10">
        <f>INT(Cardiac_Table[[#This Row],[Procedure Start Date and Time]])</f>
        <v>44018</v>
      </c>
      <c r="G525" s="12">
        <f>MOD(Cardiac_Table[[#This Row],[Procedure Start Date and Time]],1)</f>
        <v>0.34027777778101154</v>
      </c>
      <c r="H525">
        <v>3</v>
      </c>
      <c r="I525" t="s">
        <v>4</v>
      </c>
      <c r="J525" t="s">
        <v>3</v>
      </c>
      <c r="K525" t="s">
        <v>32</v>
      </c>
      <c r="L525">
        <v>70</v>
      </c>
      <c r="M525">
        <v>7.86</v>
      </c>
      <c r="N525">
        <v>2.11</v>
      </c>
      <c r="O525" t="s">
        <v>15</v>
      </c>
      <c r="P525">
        <v>94</v>
      </c>
      <c r="Q525">
        <v>168</v>
      </c>
      <c r="R525">
        <v>78</v>
      </c>
      <c r="S525">
        <v>55</v>
      </c>
      <c r="T525" t="s">
        <v>48</v>
      </c>
      <c r="U525">
        <f>IF(Cardiac_Table[[#This Row],[Patient Status at Discharge]]="Died", 1,0)</f>
        <v>0</v>
      </c>
      <c r="V525">
        <f>Cardiac_Table[[#This Row],[Risk of Death % (Model 1)]]/100</f>
        <v>7.8600000000000003E-2</v>
      </c>
      <c r="W525">
        <f>Cardiac_Table[[#This Row],[Risk of Death % (Model 2)]]/100</f>
        <v>2.1099999999999997E-2</v>
      </c>
      <c r="X525" s="18">
        <f>Cardiac_Table[[#This Row],[Procedure Start Date and Time]]-Cardiac_Table[[#This Row],[Hospital Admit Date ]]</f>
        <v>4.0486111111167702</v>
      </c>
    </row>
    <row r="526" spans="1:24" x14ac:dyDescent="0.35">
      <c r="A526">
        <v>533</v>
      </c>
      <c r="B526" s="9">
        <v>44017.652777777781</v>
      </c>
      <c r="C526" s="10">
        <f>INT(Cardiac_Table[[#This Row],[Hospital Admit Date ]])</f>
        <v>44017</v>
      </c>
      <c r="D526" s="11" t="str">
        <f t="shared" si="8"/>
        <v>15:40</v>
      </c>
      <c r="E526" s="9">
        <v>44018.35</v>
      </c>
      <c r="F526" s="10">
        <f>INT(Cardiac_Table[[#This Row],[Procedure Start Date and Time]])</f>
        <v>44018</v>
      </c>
      <c r="G526" s="12">
        <f>MOD(Cardiac_Table[[#This Row],[Procedure Start Date and Time]],1)</f>
        <v>0.34999999999854481</v>
      </c>
      <c r="H526">
        <v>4</v>
      </c>
      <c r="I526" t="s">
        <v>4</v>
      </c>
      <c r="J526" t="s">
        <v>1</v>
      </c>
      <c r="K526" t="s">
        <v>23</v>
      </c>
      <c r="L526">
        <v>69</v>
      </c>
      <c r="M526">
        <v>43.59</v>
      </c>
      <c r="N526">
        <v>8.74</v>
      </c>
      <c r="O526" t="s">
        <v>15</v>
      </c>
      <c r="P526">
        <v>119</v>
      </c>
      <c r="Q526">
        <v>175</v>
      </c>
      <c r="R526">
        <v>90</v>
      </c>
      <c r="S526">
        <v>43</v>
      </c>
      <c r="T526" t="s">
        <v>50</v>
      </c>
      <c r="U526">
        <f>IF(Cardiac_Table[[#This Row],[Patient Status at Discharge]]="Died", 1,0)</f>
        <v>0</v>
      </c>
      <c r="V526">
        <f>Cardiac_Table[[#This Row],[Risk of Death % (Model 1)]]/100</f>
        <v>0.43590000000000001</v>
      </c>
      <c r="W526">
        <f>Cardiac_Table[[#This Row],[Risk of Death % (Model 2)]]/100</f>
        <v>8.7400000000000005E-2</v>
      </c>
      <c r="X526" s="18">
        <f>Cardiac_Table[[#This Row],[Procedure Start Date and Time]]-Cardiac_Table[[#This Row],[Hospital Admit Date ]]</f>
        <v>0.69722222221753327</v>
      </c>
    </row>
    <row r="527" spans="1:24" x14ac:dyDescent="0.35">
      <c r="A527">
        <v>534</v>
      </c>
      <c r="B527" s="9">
        <v>44015.458333333336</v>
      </c>
      <c r="C527" s="10">
        <f>INT(Cardiac_Table[[#This Row],[Hospital Admit Date ]])</f>
        <v>44015</v>
      </c>
      <c r="D527" s="11" t="str">
        <f t="shared" si="8"/>
        <v>11:00</v>
      </c>
      <c r="E527" s="9">
        <v>44018.351388888892</v>
      </c>
      <c r="F527" s="10">
        <f>INT(Cardiac_Table[[#This Row],[Procedure Start Date and Time]])</f>
        <v>44018</v>
      </c>
      <c r="G527" s="12">
        <f>MOD(Cardiac_Table[[#This Row],[Procedure Start Date and Time]],1)</f>
        <v>0.35138888889196096</v>
      </c>
      <c r="H527">
        <v>6</v>
      </c>
      <c r="I527" t="s">
        <v>6</v>
      </c>
      <c r="J527" t="s">
        <v>3</v>
      </c>
      <c r="K527" t="s">
        <v>26</v>
      </c>
      <c r="L527">
        <v>32</v>
      </c>
      <c r="M527">
        <v>6.75</v>
      </c>
      <c r="N527">
        <v>7.64</v>
      </c>
      <c r="O527" t="s">
        <v>15</v>
      </c>
      <c r="P527">
        <v>93</v>
      </c>
      <c r="Q527">
        <v>187</v>
      </c>
      <c r="R527">
        <v>100</v>
      </c>
      <c r="S527">
        <v>66</v>
      </c>
      <c r="T527" t="s">
        <v>48</v>
      </c>
      <c r="U527">
        <f>IF(Cardiac_Table[[#This Row],[Patient Status at Discharge]]="Died", 1,0)</f>
        <v>0</v>
      </c>
      <c r="V527">
        <f>Cardiac_Table[[#This Row],[Risk of Death % (Model 1)]]/100</f>
        <v>6.7500000000000004E-2</v>
      </c>
      <c r="W527">
        <f>Cardiac_Table[[#This Row],[Risk of Death % (Model 2)]]/100</f>
        <v>7.6399999999999996E-2</v>
      </c>
      <c r="X527" s="18">
        <f>Cardiac_Table[[#This Row],[Procedure Start Date and Time]]-Cardiac_Table[[#This Row],[Hospital Admit Date ]]</f>
        <v>2.8930555555562023</v>
      </c>
    </row>
    <row r="528" spans="1:24" x14ac:dyDescent="0.35">
      <c r="A528">
        <v>535</v>
      </c>
      <c r="B528" s="9">
        <v>44018.291666666664</v>
      </c>
      <c r="C528" s="10">
        <f>INT(Cardiac_Table[[#This Row],[Hospital Admit Date ]])</f>
        <v>44018</v>
      </c>
      <c r="D528" s="11" t="str">
        <f t="shared" si="8"/>
        <v>07:00</v>
      </c>
      <c r="E528" s="9">
        <v>44018.503472222219</v>
      </c>
      <c r="F528" s="10">
        <f>INT(Cardiac_Table[[#This Row],[Procedure Start Date and Time]])</f>
        <v>44018</v>
      </c>
      <c r="G528" s="12">
        <f>MOD(Cardiac_Table[[#This Row],[Procedure Start Date and Time]],1)</f>
        <v>0.50347222221898846</v>
      </c>
      <c r="H528">
        <v>3</v>
      </c>
      <c r="I528" t="s">
        <v>4</v>
      </c>
      <c r="J528" t="s">
        <v>11</v>
      </c>
      <c r="K528" t="s">
        <v>32</v>
      </c>
      <c r="L528">
        <v>84</v>
      </c>
      <c r="M528">
        <v>20.329999999999998</v>
      </c>
      <c r="N528">
        <v>5.0999999999999996</v>
      </c>
      <c r="O528" t="s">
        <v>15</v>
      </c>
      <c r="P528">
        <v>168</v>
      </c>
      <c r="Q528">
        <v>177</v>
      </c>
      <c r="R528">
        <v>86</v>
      </c>
      <c r="S528">
        <v>40</v>
      </c>
      <c r="T528" t="s">
        <v>50</v>
      </c>
      <c r="U528">
        <f>IF(Cardiac_Table[[#This Row],[Patient Status at Discharge]]="Died", 1,0)</f>
        <v>0</v>
      </c>
      <c r="V528">
        <f>Cardiac_Table[[#This Row],[Risk of Death % (Model 1)]]/100</f>
        <v>0.20329999999999998</v>
      </c>
      <c r="W528">
        <f>Cardiac_Table[[#This Row],[Risk of Death % (Model 2)]]/100</f>
        <v>5.0999999999999997E-2</v>
      </c>
      <c r="X528" s="18">
        <f>Cardiac_Table[[#This Row],[Procedure Start Date and Time]]-Cardiac_Table[[#This Row],[Hospital Admit Date ]]</f>
        <v>0.21180555555474712</v>
      </c>
    </row>
    <row r="529" spans="1:24" x14ac:dyDescent="0.35">
      <c r="A529">
        <v>536</v>
      </c>
      <c r="B529" s="9">
        <v>44018.291666666664</v>
      </c>
      <c r="C529" s="10">
        <f>INT(Cardiac_Table[[#This Row],[Hospital Admit Date ]])</f>
        <v>44018</v>
      </c>
      <c r="D529" s="11" t="str">
        <f t="shared" si="8"/>
        <v>07:00</v>
      </c>
      <c r="E529" s="9">
        <v>44018.592361111114</v>
      </c>
      <c r="F529" s="10">
        <f>INT(Cardiac_Table[[#This Row],[Procedure Start Date and Time]])</f>
        <v>44018</v>
      </c>
      <c r="G529" s="12">
        <f>MOD(Cardiac_Table[[#This Row],[Procedure Start Date and Time]],1)</f>
        <v>0.59236111111385981</v>
      </c>
      <c r="H529">
        <v>4</v>
      </c>
      <c r="I529" t="s">
        <v>4</v>
      </c>
      <c r="J529" t="s">
        <v>10</v>
      </c>
      <c r="K529" t="s">
        <v>23</v>
      </c>
      <c r="L529">
        <v>63</v>
      </c>
      <c r="M529">
        <v>1.1499999999999999</v>
      </c>
      <c r="N529">
        <v>0.61</v>
      </c>
      <c r="O529" t="s">
        <v>15</v>
      </c>
      <c r="P529">
        <v>103</v>
      </c>
      <c r="Q529">
        <v>166</v>
      </c>
      <c r="R529">
        <v>68</v>
      </c>
      <c r="S529">
        <v>55</v>
      </c>
      <c r="T529" t="s">
        <v>48</v>
      </c>
      <c r="U529">
        <f>IF(Cardiac_Table[[#This Row],[Patient Status at Discharge]]="Died", 1,0)</f>
        <v>0</v>
      </c>
      <c r="V529">
        <f>Cardiac_Table[[#This Row],[Risk of Death % (Model 1)]]/100</f>
        <v>1.15E-2</v>
      </c>
      <c r="W529">
        <f>Cardiac_Table[[#This Row],[Risk of Death % (Model 2)]]/100</f>
        <v>6.0999999999999995E-3</v>
      </c>
      <c r="X529" s="18">
        <f>Cardiac_Table[[#This Row],[Procedure Start Date and Time]]-Cardiac_Table[[#This Row],[Hospital Admit Date ]]</f>
        <v>0.30069444444961846</v>
      </c>
    </row>
    <row r="530" spans="1:24" x14ac:dyDescent="0.35">
      <c r="A530">
        <v>537</v>
      </c>
      <c r="B530" s="9">
        <v>44018.675694444442</v>
      </c>
      <c r="C530" s="10">
        <f>INT(Cardiac_Table[[#This Row],[Hospital Admit Date ]])</f>
        <v>44018</v>
      </c>
      <c r="D530" s="11" t="str">
        <f t="shared" si="8"/>
        <v>16:13</v>
      </c>
      <c r="E530" s="9">
        <v>44019.341666666667</v>
      </c>
      <c r="F530" s="10">
        <f>INT(Cardiac_Table[[#This Row],[Procedure Start Date and Time]])</f>
        <v>44019</v>
      </c>
      <c r="G530" s="12">
        <f>MOD(Cardiac_Table[[#This Row],[Procedure Start Date and Time]],1)</f>
        <v>0.34166666666715173</v>
      </c>
      <c r="H530">
        <v>3</v>
      </c>
      <c r="I530" t="s">
        <v>4</v>
      </c>
      <c r="J530" t="s">
        <v>10</v>
      </c>
      <c r="K530" t="s">
        <v>26</v>
      </c>
      <c r="L530">
        <v>65</v>
      </c>
      <c r="M530">
        <v>1.31</v>
      </c>
      <c r="N530">
        <v>0.57999999999999996</v>
      </c>
      <c r="O530" t="s">
        <v>15</v>
      </c>
      <c r="P530">
        <v>82</v>
      </c>
      <c r="Q530">
        <v>189</v>
      </c>
      <c r="R530">
        <v>91</v>
      </c>
      <c r="S530">
        <v>60</v>
      </c>
      <c r="T530" t="s">
        <v>48</v>
      </c>
      <c r="U530">
        <f>IF(Cardiac_Table[[#This Row],[Patient Status at Discharge]]="Died", 1,0)</f>
        <v>0</v>
      </c>
      <c r="V530">
        <f>Cardiac_Table[[#This Row],[Risk of Death % (Model 1)]]/100</f>
        <v>1.3100000000000001E-2</v>
      </c>
      <c r="W530">
        <f>Cardiac_Table[[#This Row],[Risk of Death % (Model 2)]]/100</f>
        <v>5.7999999999999996E-3</v>
      </c>
      <c r="X530" s="18">
        <f>Cardiac_Table[[#This Row],[Procedure Start Date and Time]]-Cardiac_Table[[#This Row],[Hospital Admit Date ]]</f>
        <v>0.66597222222480923</v>
      </c>
    </row>
    <row r="531" spans="1:24" x14ac:dyDescent="0.35">
      <c r="A531">
        <v>538</v>
      </c>
      <c r="B531" s="9">
        <v>44014.583333333336</v>
      </c>
      <c r="C531" s="10">
        <f>INT(Cardiac_Table[[#This Row],[Hospital Admit Date ]])</f>
        <v>44014</v>
      </c>
      <c r="D531" s="11" t="str">
        <f t="shared" si="8"/>
        <v>14:00</v>
      </c>
      <c r="E531" s="9">
        <v>44019.34375</v>
      </c>
      <c r="F531" s="10">
        <f>INT(Cardiac_Table[[#This Row],[Procedure Start Date and Time]])</f>
        <v>44019</v>
      </c>
      <c r="G531" s="12">
        <f>MOD(Cardiac_Table[[#This Row],[Procedure Start Date and Time]],1)</f>
        <v>0.34375</v>
      </c>
      <c r="H531">
        <v>4</v>
      </c>
      <c r="I531" t="s">
        <v>6</v>
      </c>
      <c r="J531" t="s">
        <v>10</v>
      </c>
      <c r="K531" t="s">
        <v>24</v>
      </c>
      <c r="L531">
        <v>85</v>
      </c>
      <c r="M531">
        <v>10.77</v>
      </c>
      <c r="N531">
        <v>3.33</v>
      </c>
      <c r="O531" t="s">
        <v>13</v>
      </c>
      <c r="P531">
        <v>63</v>
      </c>
      <c r="Q531">
        <v>156</v>
      </c>
      <c r="R531">
        <v>76</v>
      </c>
      <c r="S531">
        <v>60</v>
      </c>
      <c r="T531" t="s">
        <v>48</v>
      </c>
      <c r="U531">
        <f>IF(Cardiac_Table[[#This Row],[Patient Status at Discharge]]="Died", 1,0)</f>
        <v>1</v>
      </c>
      <c r="V531">
        <f>Cardiac_Table[[#This Row],[Risk of Death % (Model 1)]]/100</f>
        <v>0.10769999999999999</v>
      </c>
      <c r="W531">
        <f>Cardiac_Table[[#This Row],[Risk of Death % (Model 2)]]/100</f>
        <v>3.3300000000000003E-2</v>
      </c>
      <c r="X531" s="18">
        <f>Cardiac_Table[[#This Row],[Procedure Start Date and Time]]-Cardiac_Table[[#This Row],[Hospital Admit Date ]]</f>
        <v>4.7604166666642413</v>
      </c>
    </row>
    <row r="532" spans="1:24" x14ac:dyDescent="0.35">
      <c r="A532">
        <v>539</v>
      </c>
      <c r="B532" s="9">
        <v>44018.666666666664</v>
      </c>
      <c r="C532" s="10">
        <f>INT(Cardiac_Table[[#This Row],[Hospital Admit Date ]])</f>
        <v>44018</v>
      </c>
      <c r="D532" s="11" t="str">
        <f t="shared" si="8"/>
        <v>16:00</v>
      </c>
      <c r="E532" s="9">
        <v>44019.34652777778</v>
      </c>
      <c r="F532" s="10">
        <f>INT(Cardiac_Table[[#This Row],[Procedure Start Date and Time]])</f>
        <v>44019</v>
      </c>
      <c r="G532" s="12">
        <f>MOD(Cardiac_Table[[#This Row],[Procedure Start Date and Time]],1)</f>
        <v>0.34652777777955635</v>
      </c>
      <c r="H532">
        <v>5</v>
      </c>
      <c r="I532" t="s">
        <v>4</v>
      </c>
      <c r="J532" t="s">
        <v>10</v>
      </c>
      <c r="K532" t="s">
        <v>21</v>
      </c>
      <c r="L532">
        <v>77</v>
      </c>
      <c r="M532">
        <v>4.29</v>
      </c>
      <c r="N532">
        <v>1.66</v>
      </c>
      <c r="O532" t="s">
        <v>15</v>
      </c>
      <c r="P532">
        <v>74</v>
      </c>
      <c r="Q532">
        <v>190</v>
      </c>
      <c r="R532">
        <v>95</v>
      </c>
      <c r="S532">
        <v>56</v>
      </c>
      <c r="T532" t="s">
        <v>48</v>
      </c>
      <c r="U532">
        <f>IF(Cardiac_Table[[#This Row],[Patient Status at Discharge]]="Died", 1,0)</f>
        <v>0</v>
      </c>
      <c r="V532">
        <f>Cardiac_Table[[#This Row],[Risk of Death % (Model 1)]]/100</f>
        <v>4.2900000000000001E-2</v>
      </c>
      <c r="W532">
        <f>Cardiac_Table[[#This Row],[Risk of Death % (Model 2)]]/100</f>
        <v>1.66E-2</v>
      </c>
      <c r="X532" s="18">
        <f>Cardiac_Table[[#This Row],[Procedure Start Date and Time]]-Cardiac_Table[[#This Row],[Hospital Admit Date ]]</f>
        <v>0.679861111115315</v>
      </c>
    </row>
    <row r="533" spans="1:24" x14ac:dyDescent="0.35">
      <c r="A533">
        <v>540</v>
      </c>
      <c r="B533" s="9">
        <v>44019.324305555558</v>
      </c>
      <c r="C533" s="10">
        <f>INT(Cardiac_Table[[#This Row],[Hospital Admit Date ]])</f>
        <v>44019</v>
      </c>
      <c r="D533" s="11" t="str">
        <f t="shared" si="8"/>
        <v>07:47</v>
      </c>
      <c r="E533" s="9">
        <v>44019.548611111109</v>
      </c>
      <c r="F533" s="10">
        <f>INT(Cardiac_Table[[#This Row],[Procedure Start Date and Time]])</f>
        <v>44019</v>
      </c>
      <c r="G533" s="12">
        <f>MOD(Cardiac_Table[[#This Row],[Procedure Start Date and Time]],1)</f>
        <v>0.54861111110949423</v>
      </c>
      <c r="H533">
        <v>5</v>
      </c>
      <c r="I533" t="s">
        <v>4</v>
      </c>
      <c r="J533" t="s">
        <v>10</v>
      </c>
      <c r="K533" t="s">
        <v>21</v>
      </c>
      <c r="L533">
        <v>67</v>
      </c>
      <c r="M533">
        <v>2.84</v>
      </c>
      <c r="N533">
        <v>1.1599999999999999</v>
      </c>
      <c r="O533" t="s">
        <v>15</v>
      </c>
      <c r="P533">
        <v>85</v>
      </c>
      <c r="Q533">
        <v>180</v>
      </c>
      <c r="R533">
        <v>90</v>
      </c>
      <c r="S533">
        <v>56</v>
      </c>
      <c r="T533" t="s">
        <v>48</v>
      </c>
      <c r="U533">
        <f>IF(Cardiac_Table[[#This Row],[Patient Status at Discharge]]="Died", 1,0)</f>
        <v>0</v>
      </c>
      <c r="V533">
        <f>Cardiac_Table[[#This Row],[Risk of Death % (Model 1)]]/100</f>
        <v>2.8399999999999998E-2</v>
      </c>
      <c r="W533">
        <f>Cardiac_Table[[#This Row],[Risk of Death % (Model 2)]]/100</f>
        <v>1.1599999999999999E-2</v>
      </c>
      <c r="X533" s="18">
        <f>Cardiac_Table[[#This Row],[Procedure Start Date and Time]]-Cardiac_Table[[#This Row],[Hospital Admit Date ]]</f>
        <v>0.22430555555183673</v>
      </c>
    </row>
    <row r="534" spans="1:24" x14ac:dyDescent="0.35">
      <c r="A534">
        <v>541</v>
      </c>
      <c r="B534" s="9">
        <v>44019.314583333333</v>
      </c>
      <c r="C534" s="10">
        <f>INT(Cardiac_Table[[#This Row],[Hospital Admit Date ]])</f>
        <v>44019</v>
      </c>
      <c r="D534" s="11" t="str">
        <f t="shared" si="8"/>
        <v>07:33</v>
      </c>
      <c r="E534" s="9">
        <v>44019.583333333336</v>
      </c>
      <c r="F534" s="10">
        <f>INT(Cardiac_Table[[#This Row],[Procedure Start Date and Time]])</f>
        <v>44019</v>
      </c>
      <c r="G534" s="12">
        <f>MOD(Cardiac_Table[[#This Row],[Procedure Start Date and Time]],1)</f>
        <v>0.58333333333575865</v>
      </c>
      <c r="H534">
        <v>3</v>
      </c>
      <c r="I534" t="s">
        <v>4</v>
      </c>
      <c r="J534" t="s">
        <v>11</v>
      </c>
      <c r="K534" t="s">
        <v>26</v>
      </c>
      <c r="L534">
        <v>59</v>
      </c>
      <c r="M534">
        <v>1.51</v>
      </c>
      <c r="N534">
        <v>0.96</v>
      </c>
      <c r="O534" t="s">
        <v>15</v>
      </c>
      <c r="P534">
        <v>88</v>
      </c>
      <c r="Q534">
        <v>171</v>
      </c>
      <c r="R534">
        <v>115</v>
      </c>
      <c r="S534">
        <v>55</v>
      </c>
      <c r="T534" t="s">
        <v>48</v>
      </c>
      <c r="U534">
        <f>IF(Cardiac_Table[[#This Row],[Patient Status at Discharge]]="Died", 1,0)</f>
        <v>0</v>
      </c>
      <c r="V534">
        <f>Cardiac_Table[[#This Row],[Risk of Death % (Model 1)]]/100</f>
        <v>1.5100000000000001E-2</v>
      </c>
      <c r="W534">
        <f>Cardiac_Table[[#This Row],[Risk of Death % (Model 2)]]/100</f>
        <v>9.5999999999999992E-3</v>
      </c>
      <c r="X534" s="18">
        <f>Cardiac_Table[[#This Row],[Procedure Start Date and Time]]-Cardiac_Table[[#This Row],[Hospital Admit Date ]]</f>
        <v>0.26875000000291038</v>
      </c>
    </row>
    <row r="535" spans="1:24" x14ac:dyDescent="0.35">
      <c r="A535">
        <v>542</v>
      </c>
      <c r="B535" s="9">
        <v>44018.675694444442</v>
      </c>
      <c r="C535" s="10">
        <f>INT(Cardiac_Table[[#This Row],[Hospital Admit Date ]])</f>
        <v>44018</v>
      </c>
      <c r="D535" s="11" t="str">
        <f t="shared" si="8"/>
        <v>16:13</v>
      </c>
      <c r="E535" s="9">
        <v>44019.660416666666</v>
      </c>
      <c r="F535" s="10">
        <f>INT(Cardiac_Table[[#This Row],[Procedure Start Date and Time]])</f>
        <v>44019</v>
      </c>
      <c r="G535" s="12">
        <f>MOD(Cardiac_Table[[#This Row],[Procedure Start Date and Time]],1)</f>
        <v>0.66041666666569654</v>
      </c>
      <c r="H535">
        <v>4</v>
      </c>
      <c r="I535" t="s">
        <v>4</v>
      </c>
      <c r="J535" t="s">
        <v>3</v>
      </c>
      <c r="K535" t="s">
        <v>24</v>
      </c>
      <c r="L535">
        <v>61</v>
      </c>
      <c r="M535">
        <v>2.37</v>
      </c>
      <c r="N535">
        <v>0.86</v>
      </c>
      <c r="O535" t="s">
        <v>15</v>
      </c>
      <c r="P535">
        <v>174</v>
      </c>
      <c r="Q535">
        <v>180</v>
      </c>
      <c r="R535">
        <v>93</v>
      </c>
      <c r="S535">
        <v>68</v>
      </c>
      <c r="T535" t="s">
        <v>48</v>
      </c>
      <c r="U535">
        <f>IF(Cardiac_Table[[#This Row],[Patient Status at Discharge]]="Died", 1,0)</f>
        <v>0</v>
      </c>
      <c r="V535">
        <f>Cardiac_Table[[#This Row],[Risk of Death % (Model 1)]]/100</f>
        <v>2.3700000000000002E-2</v>
      </c>
      <c r="W535">
        <f>Cardiac_Table[[#This Row],[Risk of Death % (Model 2)]]/100</f>
        <v>8.6E-3</v>
      </c>
      <c r="X535" s="18">
        <f>Cardiac_Table[[#This Row],[Procedure Start Date and Time]]-Cardiac_Table[[#This Row],[Hospital Admit Date ]]</f>
        <v>0.98472222222335404</v>
      </c>
    </row>
    <row r="536" spans="1:24" x14ac:dyDescent="0.35">
      <c r="A536">
        <v>543</v>
      </c>
      <c r="B536" s="9">
        <v>44017.427777777775</v>
      </c>
      <c r="C536" s="10">
        <f>INT(Cardiac_Table[[#This Row],[Hospital Admit Date ]])</f>
        <v>44017</v>
      </c>
      <c r="D536" s="11" t="str">
        <f t="shared" si="8"/>
        <v>10:16</v>
      </c>
      <c r="E536" s="9">
        <v>44020.342361111114</v>
      </c>
      <c r="F536" s="10">
        <f>INT(Cardiac_Table[[#This Row],[Procedure Start Date and Time]])</f>
        <v>44020</v>
      </c>
      <c r="G536" s="12">
        <f>MOD(Cardiac_Table[[#This Row],[Procedure Start Date and Time]],1)</f>
        <v>0.34236111111385981</v>
      </c>
      <c r="H536">
        <v>6</v>
      </c>
      <c r="I536" t="s">
        <v>4</v>
      </c>
      <c r="J536" t="s">
        <v>3</v>
      </c>
      <c r="K536" t="s">
        <v>30</v>
      </c>
      <c r="L536">
        <v>58</v>
      </c>
      <c r="M536">
        <v>2.44</v>
      </c>
      <c r="N536">
        <v>0.81</v>
      </c>
      <c r="O536" t="s">
        <v>15</v>
      </c>
      <c r="P536">
        <v>69</v>
      </c>
      <c r="Q536">
        <v>169</v>
      </c>
      <c r="R536">
        <v>106</v>
      </c>
      <c r="S536">
        <v>42</v>
      </c>
      <c r="T536" t="s">
        <v>50</v>
      </c>
      <c r="U536">
        <f>IF(Cardiac_Table[[#This Row],[Patient Status at Discharge]]="Died", 1,0)</f>
        <v>0</v>
      </c>
      <c r="V536">
        <f>Cardiac_Table[[#This Row],[Risk of Death % (Model 1)]]/100</f>
        <v>2.4399999999999998E-2</v>
      </c>
      <c r="W536">
        <f>Cardiac_Table[[#This Row],[Risk of Death % (Model 2)]]/100</f>
        <v>8.1000000000000013E-3</v>
      </c>
      <c r="X536" s="18">
        <f>Cardiac_Table[[#This Row],[Procedure Start Date and Time]]-Cardiac_Table[[#This Row],[Hospital Admit Date ]]</f>
        <v>2.914583333338669</v>
      </c>
    </row>
    <row r="537" spans="1:24" x14ac:dyDescent="0.35">
      <c r="A537">
        <v>544</v>
      </c>
      <c r="B537" s="9">
        <v>44019.597222222219</v>
      </c>
      <c r="C537" s="10">
        <f>INT(Cardiac_Table[[#This Row],[Hospital Admit Date ]])</f>
        <v>44019</v>
      </c>
      <c r="D537" s="11" t="str">
        <f t="shared" si="8"/>
        <v>14:20</v>
      </c>
      <c r="E537" s="9">
        <v>44020.345138888886</v>
      </c>
      <c r="F537" s="10">
        <f>INT(Cardiac_Table[[#This Row],[Procedure Start Date and Time]])</f>
        <v>44020</v>
      </c>
      <c r="G537" s="12">
        <f>MOD(Cardiac_Table[[#This Row],[Procedure Start Date and Time]],1)</f>
        <v>0.34513888888614019</v>
      </c>
      <c r="H537">
        <v>3</v>
      </c>
      <c r="I537" t="s">
        <v>4</v>
      </c>
      <c r="J537" t="s">
        <v>3</v>
      </c>
      <c r="K537" t="s">
        <v>28</v>
      </c>
      <c r="L537">
        <v>22</v>
      </c>
      <c r="M537">
        <v>3.13</v>
      </c>
      <c r="N537">
        <v>2.21</v>
      </c>
      <c r="O537" t="s">
        <v>15</v>
      </c>
      <c r="P537">
        <v>99</v>
      </c>
      <c r="Q537">
        <v>183</v>
      </c>
      <c r="R537">
        <v>106</v>
      </c>
      <c r="S537">
        <v>65</v>
      </c>
      <c r="T537" t="s">
        <v>48</v>
      </c>
      <c r="U537">
        <f>IF(Cardiac_Table[[#This Row],[Patient Status at Discharge]]="Died", 1,0)</f>
        <v>0</v>
      </c>
      <c r="V537">
        <f>Cardiac_Table[[#This Row],[Risk of Death % (Model 1)]]/100</f>
        <v>3.1300000000000001E-2</v>
      </c>
      <c r="W537">
        <f>Cardiac_Table[[#This Row],[Risk of Death % (Model 2)]]/100</f>
        <v>2.2099999999999998E-2</v>
      </c>
      <c r="X537" s="18">
        <f>Cardiac_Table[[#This Row],[Procedure Start Date and Time]]-Cardiac_Table[[#This Row],[Hospital Admit Date ]]</f>
        <v>0.74791666666715173</v>
      </c>
    </row>
    <row r="538" spans="1:24" x14ac:dyDescent="0.35">
      <c r="A538">
        <v>545</v>
      </c>
      <c r="B538" s="9">
        <v>44018.899305555555</v>
      </c>
      <c r="C538" s="10">
        <f>INT(Cardiac_Table[[#This Row],[Hospital Admit Date ]])</f>
        <v>44018</v>
      </c>
      <c r="D538" s="11" t="str">
        <f t="shared" si="8"/>
        <v>21:35</v>
      </c>
      <c r="E538" s="9">
        <v>44020.347222222219</v>
      </c>
      <c r="F538" s="10">
        <f>INT(Cardiac_Table[[#This Row],[Procedure Start Date and Time]])</f>
        <v>44020</v>
      </c>
      <c r="G538" s="12">
        <f>MOD(Cardiac_Table[[#This Row],[Procedure Start Date and Time]],1)</f>
        <v>0.34722222221898846</v>
      </c>
      <c r="H538">
        <v>4</v>
      </c>
      <c r="I538" t="s">
        <v>6</v>
      </c>
      <c r="J538" t="s">
        <v>3</v>
      </c>
      <c r="K538" t="s">
        <v>35</v>
      </c>
      <c r="L538">
        <v>48</v>
      </c>
      <c r="M538">
        <v>5.03</v>
      </c>
      <c r="N538">
        <v>2.67</v>
      </c>
      <c r="O538" t="s">
        <v>15</v>
      </c>
      <c r="P538">
        <v>138</v>
      </c>
      <c r="Q538">
        <v>172</v>
      </c>
      <c r="R538">
        <v>88</v>
      </c>
      <c r="S538">
        <v>63</v>
      </c>
      <c r="T538" t="s">
        <v>48</v>
      </c>
      <c r="U538">
        <f>IF(Cardiac_Table[[#This Row],[Patient Status at Discharge]]="Died", 1,0)</f>
        <v>0</v>
      </c>
      <c r="V538">
        <f>Cardiac_Table[[#This Row],[Risk of Death % (Model 1)]]/100</f>
        <v>5.0300000000000004E-2</v>
      </c>
      <c r="W538">
        <f>Cardiac_Table[[#This Row],[Risk of Death % (Model 2)]]/100</f>
        <v>2.6699999999999998E-2</v>
      </c>
      <c r="X538" s="18">
        <f>Cardiac_Table[[#This Row],[Procedure Start Date and Time]]-Cardiac_Table[[#This Row],[Hospital Admit Date ]]</f>
        <v>1.4479166666642413</v>
      </c>
    </row>
    <row r="539" spans="1:24" x14ac:dyDescent="0.35">
      <c r="A539">
        <v>546</v>
      </c>
      <c r="B539" s="9">
        <v>44020.298611111109</v>
      </c>
      <c r="C539" s="10">
        <f>INT(Cardiac_Table[[#This Row],[Hospital Admit Date ]])</f>
        <v>44020</v>
      </c>
      <c r="D539" s="11" t="str">
        <f t="shared" si="8"/>
        <v>07:10</v>
      </c>
      <c r="E539" s="9">
        <v>44020.578472222223</v>
      </c>
      <c r="F539" s="10">
        <f>INT(Cardiac_Table[[#This Row],[Procedure Start Date and Time]])</f>
        <v>44020</v>
      </c>
      <c r="G539" s="12">
        <f>MOD(Cardiac_Table[[#This Row],[Procedure Start Date and Time]],1)</f>
        <v>0.57847222222335404</v>
      </c>
      <c r="H539">
        <v>6</v>
      </c>
      <c r="I539" t="s">
        <v>4</v>
      </c>
      <c r="J539" t="s">
        <v>3</v>
      </c>
      <c r="K539" t="s">
        <v>30</v>
      </c>
      <c r="L539">
        <v>70</v>
      </c>
      <c r="M539">
        <v>10.09</v>
      </c>
      <c r="N539">
        <v>2.88</v>
      </c>
      <c r="O539" t="s">
        <v>15</v>
      </c>
      <c r="P539">
        <v>83</v>
      </c>
      <c r="Q539">
        <v>168</v>
      </c>
      <c r="R539">
        <v>116</v>
      </c>
      <c r="S539">
        <v>60</v>
      </c>
      <c r="T539" t="s">
        <v>48</v>
      </c>
      <c r="U539">
        <f>IF(Cardiac_Table[[#This Row],[Patient Status at Discharge]]="Died", 1,0)</f>
        <v>0</v>
      </c>
      <c r="V539">
        <f>Cardiac_Table[[#This Row],[Risk of Death % (Model 1)]]/100</f>
        <v>0.1009</v>
      </c>
      <c r="W539">
        <f>Cardiac_Table[[#This Row],[Risk of Death % (Model 2)]]/100</f>
        <v>2.8799999999999999E-2</v>
      </c>
      <c r="X539" s="18">
        <f>Cardiac_Table[[#This Row],[Procedure Start Date and Time]]-Cardiac_Table[[#This Row],[Hospital Admit Date ]]</f>
        <v>0.27986111111385981</v>
      </c>
    </row>
    <row r="540" spans="1:24" x14ac:dyDescent="0.35">
      <c r="A540">
        <v>547</v>
      </c>
      <c r="B540" s="9">
        <v>44020.291666666664</v>
      </c>
      <c r="C540" s="10">
        <f>INT(Cardiac_Table[[#This Row],[Hospital Admit Date ]])</f>
        <v>44020</v>
      </c>
      <c r="D540" s="11" t="str">
        <f t="shared" si="8"/>
        <v>07:00</v>
      </c>
      <c r="E540" s="9">
        <v>44020.588194444441</v>
      </c>
      <c r="F540" s="10">
        <f>INT(Cardiac_Table[[#This Row],[Procedure Start Date and Time]])</f>
        <v>44020</v>
      </c>
      <c r="G540" s="12">
        <f>MOD(Cardiac_Table[[#This Row],[Procedure Start Date and Time]],1)</f>
        <v>0.58819444444088731</v>
      </c>
      <c r="H540">
        <v>3</v>
      </c>
      <c r="I540" t="s">
        <v>4</v>
      </c>
      <c r="J540" t="s">
        <v>3</v>
      </c>
      <c r="K540" t="s">
        <v>28</v>
      </c>
      <c r="L540">
        <v>57</v>
      </c>
      <c r="M540">
        <v>1.51</v>
      </c>
      <c r="N540">
        <v>1.31</v>
      </c>
      <c r="O540" t="s">
        <v>15</v>
      </c>
      <c r="P540">
        <v>85</v>
      </c>
      <c r="Q540">
        <v>151</v>
      </c>
      <c r="R540">
        <v>64</v>
      </c>
      <c r="S540">
        <v>56</v>
      </c>
      <c r="T540" t="s">
        <v>48</v>
      </c>
      <c r="U540">
        <f>IF(Cardiac_Table[[#This Row],[Patient Status at Discharge]]="Died", 1,0)</f>
        <v>0</v>
      </c>
      <c r="V540">
        <f>Cardiac_Table[[#This Row],[Risk of Death % (Model 1)]]/100</f>
        <v>1.5100000000000001E-2</v>
      </c>
      <c r="W540">
        <f>Cardiac_Table[[#This Row],[Risk of Death % (Model 2)]]/100</f>
        <v>1.3100000000000001E-2</v>
      </c>
      <c r="X540" s="18">
        <f>Cardiac_Table[[#This Row],[Procedure Start Date and Time]]-Cardiac_Table[[#This Row],[Hospital Admit Date ]]</f>
        <v>0.29652777777664596</v>
      </c>
    </row>
    <row r="541" spans="1:24" x14ac:dyDescent="0.35">
      <c r="A541">
        <v>548</v>
      </c>
      <c r="B541" s="9">
        <v>44020.28125</v>
      </c>
      <c r="C541" s="10">
        <f>INT(Cardiac_Table[[#This Row],[Hospital Admit Date ]])</f>
        <v>44020</v>
      </c>
      <c r="D541" s="11" t="str">
        <f t="shared" si="8"/>
        <v>06:45</v>
      </c>
      <c r="E541" s="9">
        <v>44020.628472222219</v>
      </c>
      <c r="F541" s="10">
        <f>INT(Cardiac_Table[[#This Row],[Procedure Start Date and Time]])</f>
        <v>44020</v>
      </c>
      <c r="G541" s="12">
        <f>MOD(Cardiac_Table[[#This Row],[Procedure Start Date and Time]],1)</f>
        <v>0.62847222221898846</v>
      </c>
      <c r="H541">
        <v>4</v>
      </c>
      <c r="I541" t="s">
        <v>4</v>
      </c>
      <c r="J541" t="s">
        <v>3</v>
      </c>
      <c r="K541" t="s">
        <v>35</v>
      </c>
      <c r="L541">
        <v>59</v>
      </c>
      <c r="M541">
        <v>1.51</v>
      </c>
      <c r="N541">
        <v>0.5</v>
      </c>
      <c r="O541" t="s">
        <v>15</v>
      </c>
      <c r="P541">
        <v>74</v>
      </c>
      <c r="Q541">
        <v>174</v>
      </c>
      <c r="R541">
        <v>56</v>
      </c>
      <c r="S541">
        <v>40</v>
      </c>
      <c r="T541" t="s">
        <v>50</v>
      </c>
      <c r="U541">
        <f>IF(Cardiac_Table[[#This Row],[Patient Status at Discharge]]="Died", 1,0)</f>
        <v>0</v>
      </c>
      <c r="V541">
        <f>Cardiac_Table[[#This Row],[Risk of Death % (Model 1)]]/100</f>
        <v>1.5100000000000001E-2</v>
      </c>
      <c r="W541">
        <f>Cardiac_Table[[#This Row],[Risk of Death % (Model 2)]]/100</f>
        <v>5.0000000000000001E-3</v>
      </c>
      <c r="X541" s="18">
        <f>Cardiac_Table[[#This Row],[Procedure Start Date and Time]]-Cardiac_Table[[#This Row],[Hospital Admit Date ]]</f>
        <v>0.34722222221898846</v>
      </c>
    </row>
    <row r="542" spans="1:24" x14ac:dyDescent="0.35">
      <c r="A542">
        <v>549</v>
      </c>
      <c r="B542" s="9">
        <v>44021.107638888891</v>
      </c>
      <c r="C542" s="10">
        <f>INT(Cardiac_Table[[#This Row],[Hospital Admit Date ]])</f>
        <v>44021</v>
      </c>
      <c r="D542" s="11" t="str">
        <f t="shared" si="8"/>
        <v>02:35</v>
      </c>
      <c r="E542" s="9">
        <v>44021.135416666664</v>
      </c>
      <c r="F542" s="10">
        <f>INT(Cardiac_Table[[#This Row],[Procedure Start Date and Time]])</f>
        <v>44021</v>
      </c>
      <c r="G542" s="12">
        <f>MOD(Cardiac_Table[[#This Row],[Procedure Start Date and Time]],1)</f>
        <v>0.13541666666424135</v>
      </c>
      <c r="H542">
        <v>1</v>
      </c>
      <c r="I542" t="s">
        <v>2</v>
      </c>
      <c r="J542" t="s">
        <v>1</v>
      </c>
      <c r="K542" t="s">
        <v>30</v>
      </c>
      <c r="L542">
        <v>51</v>
      </c>
      <c r="M542">
        <v>5.04</v>
      </c>
      <c r="N542">
        <v>2.3199999999999998</v>
      </c>
      <c r="O542" t="s">
        <v>15</v>
      </c>
      <c r="P542">
        <v>128</v>
      </c>
      <c r="Q542">
        <v>170</v>
      </c>
      <c r="R542">
        <v>63</v>
      </c>
      <c r="S542">
        <v>55</v>
      </c>
      <c r="T542" t="s">
        <v>48</v>
      </c>
      <c r="U542">
        <f>IF(Cardiac_Table[[#This Row],[Patient Status at Discharge]]="Died", 1,0)</f>
        <v>0</v>
      </c>
      <c r="V542">
        <f>Cardiac_Table[[#This Row],[Risk of Death % (Model 1)]]/100</f>
        <v>5.04E-2</v>
      </c>
      <c r="W542">
        <f>Cardiac_Table[[#This Row],[Risk of Death % (Model 2)]]/100</f>
        <v>2.3199999999999998E-2</v>
      </c>
      <c r="X542" s="18">
        <f>Cardiac_Table[[#This Row],[Procedure Start Date and Time]]-Cardiac_Table[[#This Row],[Hospital Admit Date ]]</f>
        <v>2.7777777773735579E-2</v>
      </c>
    </row>
    <row r="543" spans="1:24" x14ac:dyDescent="0.35">
      <c r="A543">
        <v>550</v>
      </c>
      <c r="B543" s="9">
        <v>44020.649305555555</v>
      </c>
      <c r="C543" s="10">
        <f>INT(Cardiac_Table[[#This Row],[Hospital Admit Date ]])</f>
        <v>44020</v>
      </c>
      <c r="D543" s="11" t="str">
        <f t="shared" si="8"/>
        <v>15:35</v>
      </c>
      <c r="E543" s="9">
        <v>44021.326388888891</v>
      </c>
      <c r="F543" s="10">
        <f>INT(Cardiac_Table[[#This Row],[Procedure Start Date and Time]])</f>
        <v>44021</v>
      </c>
      <c r="G543" s="12">
        <f>MOD(Cardiac_Table[[#This Row],[Procedure Start Date and Time]],1)</f>
        <v>0.32638888889050577</v>
      </c>
      <c r="H543">
        <v>5</v>
      </c>
      <c r="I543" t="s">
        <v>4</v>
      </c>
      <c r="J543" t="s">
        <v>10</v>
      </c>
      <c r="K543" t="s">
        <v>32</v>
      </c>
      <c r="L543">
        <v>76</v>
      </c>
      <c r="M543">
        <v>4.03</v>
      </c>
      <c r="N543">
        <v>2.5099999999999998</v>
      </c>
      <c r="O543" t="s">
        <v>15</v>
      </c>
      <c r="P543">
        <v>86</v>
      </c>
      <c r="Q543">
        <v>160</v>
      </c>
      <c r="R543">
        <v>93</v>
      </c>
      <c r="S543">
        <v>37</v>
      </c>
      <c r="T543" t="s">
        <v>50</v>
      </c>
      <c r="U543">
        <f>IF(Cardiac_Table[[#This Row],[Patient Status at Discharge]]="Died", 1,0)</f>
        <v>0</v>
      </c>
      <c r="V543">
        <f>Cardiac_Table[[#This Row],[Risk of Death % (Model 1)]]/100</f>
        <v>4.0300000000000002E-2</v>
      </c>
      <c r="W543">
        <f>Cardiac_Table[[#This Row],[Risk of Death % (Model 2)]]/100</f>
        <v>2.5099999999999997E-2</v>
      </c>
      <c r="X543" s="18">
        <f>Cardiac_Table[[#This Row],[Procedure Start Date and Time]]-Cardiac_Table[[#This Row],[Hospital Admit Date ]]</f>
        <v>0.67708333333575865</v>
      </c>
    </row>
    <row r="544" spans="1:24" x14ac:dyDescent="0.35">
      <c r="A544">
        <v>551</v>
      </c>
      <c r="B544" s="9">
        <v>44017.349305555559</v>
      </c>
      <c r="C544" s="10">
        <f>INT(Cardiac_Table[[#This Row],[Hospital Admit Date ]])</f>
        <v>44017</v>
      </c>
      <c r="D544" s="11" t="str">
        <f t="shared" si="8"/>
        <v>08:23</v>
      </c>
      <c r="E544" s="9">
        <v>44021.347916666666</v>
      </c>
      <c r="F544" s="10">
        <f>INT(Cardiac_Table[[#This Row],[Procedure Start Date and Time]])</f>
        <v>44021</v>
      </c>
      <c r="G544" s="12">
        <f>MOD(Cardiac_Table[[#This Row],[Procedure Start Date and Time]],1)</f>
        <v>0.34791666666569654</v>
      </c>
      <c r="H544">
        <v>4</v>
      </c>
      <c r="I544" t="s">
        <v>6</v>
      </c>
      <c r="J544" t="s">
        <v>10</v>
      </c>
      <c r="K544" t="s">
        <v>31</v>
      </c>
      <c r="L544">
        <v>63</v>
      </c>
      <c r="M544">
        <v>20.71</v>
      </c>
      <c r="N544">
        <v>12.67</v>
      </c>
      <c r="O544" t="s">
        <v>15</v>
      </c>
      <c r="P544">
        <v>64</v>
      </c>
      <c r="Q544">
        <v>160</v>
      </c>
      <c r="R544">
        <v>75</v>
      </c>
      <c r="S544">
        <v>55</v>
      </c>
      <c r="T544" t="s">
        <v>48</v>
      </c>
      <c r="U544">
        <f>IF(Cardiac_Table[[#This Row],[Patient Status at Discharge]]="Died", 1,0)</f>
        <v>0</v>
      </c>
      <c r="V544">
        <f>Cardiac_Table[[#This Row],[Risk of Death % (Model 1)]]/100</f>
        <v>0.20710000000000001</v>
      </c>
      <c r="W544">
        <f>Cardiac_Table[[#This Row],[Risk of Death % (Model 2)]]/100</f>
        <v>0.12670000000000001</v>
      </c>
      <c r="X544" s="18">
        <f>Cardiac_Table[[#This Row],[Procedure Start Date and Time]]-Cardiac_Table[[#This Row],[Hospital Admit Date ]]</f>
        <v>3.9986111111065838</v>
      </c>
    </row>
    <row r="545" spans="1:24" x14ac:dyDescent="0.35">
      <c r="A545">
        <v>552</v>
      </c>
      <c r="B545" s="9">
        <v>44020.656944444447</v>
      </c>
      <c r="C545" s="10">
        <f>INT(Cardiac_Table[[#This Row],[Hospital Admit Date ]])</f>
        <v>44020</v>
      </c>
      <c r="D545" s="11" t="str">
        <f t="shared" si="8"/>
        <v>15:46</v>
      </c>
      <c r="E545" s="9">
        <v>44021.404861111114</v>
      </c>
      <c r="F545" s="10">
        <f>INT(Cardiac_Table[[#This Row],[Procedure Start Date and Time]])</f>
        <v>44021</v>
      </c>
      <c r="G545" s="12">
        <f>MOD(Cardiac_Table[[#This Row],[Procedure Start Date and Time]],1)</f>
        <v>0.40486111111385981</v>
      </c>
      <c r="H545">
        <v>3</v>
      </c>
      <c r="I545" t="s">
        <v>4</v>
      </c>
      <c r="J545" t="s">
        <v>11</v>
      </c>
      <c r="K545" t="s">
        <v>27</v>
      </c>
      <c r="L545">
        <v>83</v>
      </c>
      <c r="M545">
        <v>10.32</v>
      </c>
      <c r="N545">
        <v>2.4900000000000002</v>
      </c>
      <c r="O545" t="s">
        <v>15</v>
      </c>
      <c r="P545">
        <v>81</v>
      </c>
      <c r="Q545">
        <v>173</v>
      </c>
      <c r="R545">
        <v>108</v>
      </c>
      <c r="S545">
        <v>55</v>
      </c>
      <c r="T545" t="s">
        <v>48</v>
      </c>
      <c r="U545">
        <f>IF(Cardiac_Table[[#This Row],[Patient Status at Discharge]]="Died", 1,0)</f>
        <v>0</v>
      </c>
      <c r="V545">
        <f>Cardiac_Table[[#This Row],[Risk of Death % (Model 1)]]/100</f>
        <v>0.1032</v>
      </c>
      <c r="W545">
        <f>Cardiac_Table[[#This Row],[Risk of Death % (Model 2)]]/100</f>
        <v>2.4900000000000002E-2</v>
      </c>
      <c r="X545" s="18">
        <f>Cardiac_Table[[#This Row],[Procedure Start Date and Time]]-Cardiac_Table[[#This Row],[Hospital Admit Date ]]</f>
        <v>0.74791666666715173</v>
      </c>
    </row>
    <row r="546" spans="1:24" x14ac:dyDescent="0.35">
      <c r="A546">
        <v>553</v>
      </c>
      <c r="B546" s="9">
        <v>44021.298611111109</v>
      </c>
      <c r="C546" s="10">
        <f>INT(Cardiac_Table[[#This Row],[Hospital Admit Date ]])</f>
        <v>44021</v>
      </c>
      <c r="D546" s="11" t="str">
        <f t="shared" si="8"/>
        <v>07:10</v>
      </c>
      <c r="E546" s="9">
        <v>44021.504166666666</v>
      </c>
      <c r="F546" s="10">
        <f>INT(Cardiac_Table[[#This Row],[Procedure Start Date and Time]])</f>
        <v>44021</v>
      </c>
      <c r="G546" s="12">
        <f>MOD(Cardiac_Table[[#This Row],[Procedure Start Date and Time]],1)</f>
        <v>0.50416666666569654</v>
      </c>
      <c r="H546">
        <v>6</v>
      </c>
      <c r="I546" t="s">
        <v>4</v>
      </c>
      <c r="J546" t="s">
        <v>3</v>
      </c>
      <c r="K546" t="s">
        <v>31</v>
      </c>
      <c r="L546">
        <v>60</v>
      </c>
      <c r="M546">
        <v>1.61</v>
      </c>
      <c r="N546">
        <v>0.56000000000000005</v>
      </c>
      <c r="O546" t="s">
        <v>15</v>
      </c>
      <c r="P546">
        <v>67</v>
      </c>
      <c r="Q546">
        <v>178</v>
      </c>
      <c r="R546">
        <v>101</v>
      </c>
      <c r="S546">
        <v>45</v>
      </c>
      <c r="T546" t="s">
        <v>50</v>
      </c>
      <c r="U546">
        <f>IF(Cardiac_Table[[#This Row],[Patient Status at Discharge]]="Died", 1,0)</f>
        <v>0</v>
      </c>
      <c r="V546">
        <f>Cardiac_Table[[#This Row],[Risk of Death % (Model 1)]]/100</f>
        <v>1.61E-2</v>
      </c>
      <c r="W546">
        <f>Cardiac_Table[[#This Row],[Risk of Death % (Model 2)]]/100</f>
        <v>5.6000000000000008E-3</v>
      </c>
      <c r="X546" s="18">
        <f>Cardiac_Table[[#This Row],[Procedure Start Date and Time]]-Cardiac_Table[[#This Row],[Hospital Admit Date ]]</f>
        <v>0.20555555555620231</v>
      </c>
    </row>
    <row r="547" spans="1:24" x14ac:dyDescent="0.35">
      <c r="A547">
        <v>554</v>
      </c>
      <c r="B547" s="9">
        <v>44019.463888888888</v>
      </c>
      <c r="C547" s="10">
        <f>INT(Cardiac_Table[[#This Row],[Hospital Admit Date ]])</f>
        <v>44019</v>
      </c>
      <c r="D547" s="11" t="str">
        <f t="shared" si="8"/>
        <v>11:08</v>
      </c>
      <c r="E547" s="9">
        <v>44021.615972222222</v>
      </c>
      <c r="F547" s="10">
        <f>INT(Cardiac_Table[[#This Row],[Procedure Start Date and Time]])</f>
        <v>44021</v>
      </c>
      <c r="G547" s="12">
        <f>MOD(Cardiac_Table[[#This Row],[Procedure Start Date and Time]],1)</f>
        <v>0.61597222222189885</v>
      </c>
      <c r="H547">
        <v>3</v>
      </c>
      <c r="I547" t="s">
        <v>6</v>
      </c>
      <c r="J547" t="s">
        <v>10</v>
      </c>
      <c r="K547" t="s">
        <v>27</v>
      </c>
      <c r="L547">
        <v>64</v>
      </c>
      <c r="M547">
        <v>6.01</v>
      </c>
      <c r="N547">
        <v>2.21</v>
      </c>
      <c r="O547" t="s">
        <v>15</v>
      </c>
      <c r="P547">
        <v>106</v>
      </c>
      <c r="Q547">
        <v>170</v>
      </c>
      <c r="R547">
        <v>89</v>
      </c>
      <c r="S547">
        <v>55</v>
      </c>
      <c r="T547" t="s">
        <v>48</v>
      </c>
      <c r="U547">
        <f>IF(Cardiac_Table[[#This Row],[Patient Status at Discharge]]="Died", 1,0)</f>
        <v>0</v>
      </c>
      <c r="V547">
        <f>Cardiac_Table[[#This Row],[Risk of Death % (Model 1)]]/100</f>
        <v>6.0100000000000001E-2</v>
      </c>
      <c r="W547">
        <f>Cardiac_Table[[#This Row],[Risk of Death % (Model 2)]]/100</f>
        <v>2.2099999999999998E-2</v>
      </c>
      <c r="X547" s="18">
        <f>Cardiac_Table[[#This Row],[Procedure Start Date and Time]]-Cardiac_Table[[#This Row],[Hospital Admit Date ]]</f>
        <v>2.1520833333343035</v>
      </c>
    </row>
    <row r="548" spans="1:24" x14ac:dyDescent="0.35">
      <c r="A548">
        <v>555</v>
      </c>
      <c r="B548" s="9">
        <v>44021.291666666664</v>
      </c>
      <c r="C548" s="10">
        <f>INT(Cardiac_Table[[#This Row],[Hospital Admit Date ]])</f>
        <v>44021</v>
      </c>
      <c r="D548" s="11" t="str">
        <f t="shared" si="8"/>
        <v>07:00</v>
      </c>
      <c r="E548" s="9">
        <v>44021.674305555556</v>
      </c>
      <c r="F548" s="10">
        <f>INT(Cardiac_Table[[#This Row],[Procedure Start Date and Time]])</f>
        <v>44021</v>
      </c>
      <c r="G548" s="12">
        <f>MOD(Cardiac_Table[[#This Row],[Procedure Start Date and Time]],1)</f>
        <v>0.67430555555620231</v>
      </c>
      <c r="H548">
        <v>5</v>
      </c>
      <c r="I548" t="s">
        <v>4</v>
      </c>
      <c r="J548" t="s">
        <v>3</v>
      </c>
      <c r="K548" t="s">
        <v>32</v>
      </c>
      <c r="L548">
        <v>82</v>
      </c>
      <c r="M548">
        <v>6.61</v>
      </c>
      <c r="N548">
        <v>1.69</v>
      </c>
      <c r="O548" t="s">
        <v>15</v>
      </c>
      <c r="P548">
        <v>92</v>
      </c>
      <c r="Q548">
        <v>163</v>
      </c>
      <c r="R548">
        <v>62</v>
      </c>
      <c r="S548">
        <v>65</v>
      </c>
      <c r="T548" t="s">
        <v>48</v>
      </c>
      <c r="U548">
        <f>IF(Cardiac_Table[[#This Row],[Patient Status at Discharge]]="Died", 1,0)</f>
        <v>0</v>
      </c>
      <c r="V548">
        <f>Cardiac_Table[[#This Row],[Risk of Death % (Model 1)]]/100</f>
        <v>6.6100000000000006E-2</v>
      </c>
      <c r="W548">
        <f>Cardiac_Table[[#This Row],[Risk of Death % (Model 2)]]/100</f>
        <v>1.6899999999999998E-2</v>
      </c>
      <c r="X548" s="18">
        <f>Cardiac_Table[[#This Row],[Procedure Start Date and Time]]-Cardiac_Table[[#This Row],[Hospital Admit Date ]]</f>
        <v>0.38263888889196096</v>
      </c>
    </row>
    <row r="549" spans="1:24" x14ac:dyDescent="0.35">
      <c r="A549">
        <v>556</v>
      </c>
      <c r="B549" s="9">
        <v>44021.663888888892</v>
      </c>
      <c r="C549" s="10">
        <f>INT(Cardiac_Table[[#This Row],[Hospital Admit Date ]])</f>
        <v>44021</v>
      </c>
      <c r="D549" s="11" t="str">
        <f t="shared" si="8"/>
        <v>15:56</v>
      </c>
      <c r="E549" s="9">
        <v>44022.329861111109</v>
      </c>
      <c r="F549" s="10">
        <f>INT(Cardiac_Table[[#This Row],[Procedure Start Date and Time]])</f>
        <v>44022</v>
      </c>
      <c r="G549" s="12">
        <f>MOD(Cardiac_Table[[#This Row],[Procedure Start Date and Time]],1)</f>
        <v>0.32986111110949423</v>
      </c>
      <c r="H549">
        <v>4</v>
      </c>
      <c r="I549" t="s">
        <v>4</v>
      </c>
      <c r="J549" t="s">
        <v>3</v>
      </c>
      <c r="K549" t="s">
        <v>35</v>
      </c>
      <c r="L549">
        <v>87</v>
      </c>
      <c r="M549">
        <v>12.08</v>
      </c>
      <c r="N549">
        <v>7.44</v>
      </c>
      <c r="O549" t="s">
        <v>15</v>
      </c>
      <c r="P549">
        <v>75</v>
      </c>
      <c r="Q549">
        <v>180</v>
      </c>
      <c r="R549">
        <v>75</v>
      </c>
      <c r="S549">
        <v>25</v>
      </c>
      <c r="T549" t="s">
        <v>49</v>
      </c>
      <c r="U549">
        <f>IF(Cardiac_Table[[#This Row],[Patient Status at Discharge]]="Died", 1,0)</f>
        <v>0</v>
      </c>
      <c r="V549">
        <f>Cardiac_Table[[#This Row],[Risk of Death % (Model 1)]]/100</f>
        <v>0.1208</v>
      </c>
      <c r="W549">
        <f>Cardiac_Table[[#This Row],[Risk of Death % (Model 2)]]/100</f>
        <v>7.4400000000000008E-2</v>
      </c>
      <c r="X549" s="18">
        <f>Cardiac_Table[[#This Row],[Procedure Start Date and Time]]-Cardiac_Table[[#This Row],[Hospital Admit Date ]]</f>
        <v>0.66597222221753327</v>
      </c>
    </row>
    <row r="550" spans="1:24" x14ac:dyDescent="0.35">
      <c r="A550">
        <v>557</v>
      </c>
      <c r="B550" s="9">
        <v>44010.607638888891</v>
      </c>
      <c r="C550" s="10">
        <f>INT(Cardiac_Table[[#This Row],[Hospital Admit Date ]])</f>
        <v>44010</v>
      </c>
      <c r="D550" s="11" t="str">
        <f t="shared" si="8"/>
        <v>14:35</v>
      </c>
      <c r="E550" s="9">
        <v>44022.345833333333</v>
      </c>
      <c r="F550" s="10">
        <f>INT(Cardiac_Table[[#This Row],[Procedure Start Date and Time]])</f>
        <v>44022</v>
      </c>
      <c r="G550" s="12">
        <f>MOD(Cardiac_Table[[#This Row],[Procedure Start Date and Time]],1)</f>
        <v>0.34583333333284827</v>
      </c>
      <c r="H550">
        <v>5</v>
      </c>
      <c r="I550" t="s">
        <v>4</v>
      </c>
      <c r="J550" t="s">
        <v>11</v>
      </c>
      <c r="K550" t="s">
        <v>21</v>
      </c>
      <c r="L550">
        <v>60</v>
      </c>
      <c r="M550">
        <v>2.42</v>
      </c>
      <c r="N550">
        <v>2.13</v>
      </c>
      <c r="O550" t="s">
        <v>15</v>
      </c>
      <c r="P550">
        <v>87</v>
      </c>
      <c r="Q550">
        <v>170</v>
      </c>
      <c r="R550">
        <v>124</v>
      </c>
      <c r="S550">
        <v>60</v>
      </c>
      <c r="T550" t="s">
        <v>48</v>
      </c>
      <c r="U550">
        <f>IF(Cardiac_Table[[#This Row],[Patient Status at Discharge]]="Died", 1,0)</f>
        <v>0</v>
      </c>
      <c r="V550">
        <f>Cardiac_Table[[#This Row],[Risk of Death % (Model 1)]]/100</f>
        <v>2.4199999999999999E-2</v>
      </c>
      <c r="W550">
        <f>Cardiac_Table[[#This Row],[Risk of Death % (Model 2)]]/100</f>
        <v>2.1299999999999999E-2</v>
      </c>
      <c r="X550" s="18">
        <f>Cardiac_Table[[#This Row],[Procedure Start Date and Time]]-Cardiac_Table[[#This Row],[Hospital Admit Date ]]</f>
        <v>11.738194444442343</v>
      </c>
    </row>
    <row r="551" spans="1:24" x14ac:dyDescent="0.35">
      <c r="A551">
        <v>558</v>
      </c>
      <c r="B551" s="9">
        <v>44020.433333333334</v>
      </c>
      <c r="C551" s="10">
        <f>INT(Cardiac_Table[[#This Row],[Hospital Admit Date ]])</f>
        <v>44020</v>
      </c>
      <c r="D551" s="11" t="str">
        <f t="shared" si="8"/>
        <v>10:24</v>
      </c>
      <c r="E551" s="9">
        <v>44022.349305555559</v>
      </c>
      <c r="F551" s="10">
        <f>INT(Cardiac_Table[[#This Row],[Procedure Start Date and Time]])</f>
        <v>44022</v>
      </c>
      <c r="G551" s="12">
        <f>MOD(Cardiac_Table[[#This Row],[Procedure Start Date and Time]],1)</f>
        <v>0.34930555555911269</v>
      </c>
      <c r="H551">
        <v>3</v>
      </c>
      <c r="I551" t="s">
        <v>6</v>
      </c>
      <c r="J551" t="s">
        <v>11</v>
      </c>
      <c r="K551" t="s">
        <v>30</v>
      </c>
      <c r="L551">
        <v>72</v>
      </c>
      <c r="M551">
        <v>2.0699999999999998</v>
      </c>
      <c r="N551">
        <v>1.44</v>
      </c>
      <c r="O551" t="s">
        <v>15</v>
      </c>
      <c r="P551">
        <v>70</v>
      </c>
      <c r="Q551">
        <v>158</v>
      </c>
      <c r="R551">
        <v>86</v>
      </c>
      <c r="S551">
        <v>65</v>
      </c>
      <c r="T551" t="s">
        <v>48</v>
      </c>
      <c r="U551">
        <f>IF(Cardiac_Table[[#This Row],[Patient Status at Discharge]]="Died", 1,0)</f>
        <v>0</v>
      </c>
      <c r="V551">
        <f>Cardiac_Table[[#This Row],[Risk of Death % (Model 1)]]/100</f>
        <v>2.07E-2</v>
      </c>
      <c r="W551">
        <f>Cardiac_Table[[#This Row],[Risk of Death % (Model 2)]]/100</f>
        <v>1.44E-2</v>
      </c>
      <c r="X551" s="18">
        <f>Cardiac_Table[[#This Row],[Procedure Start Date and Time]]-Cardiac_Table[[#This Row],[Hospital Admit Date ]]</f>
        <v>1.9159722222248092</v>
      </c>
    </row>
    <row r="552" spans="1:24" x14ac:dyDescent="0.35">
      <c r="A552">
        <v>559</v>
      </c>
      <c r="B552" s="9">
        <v>44022.292361111111</v>
      </c>
      <c r="C552" s="10">
        <f>INT(Cardiac_Table[[#This Row],[Hospital Admit Date ]])</f>
        <v>44022</v>
      </c>
      <c r="D552" s="11" t="str">
        <f t="shared" si="8"/>
        <v>07:01</v>
      </c>
      <c r="E552" s="9">
        <v>44022.574305555558</v>
      </c>
      <c r="F552" s="10">
        <f>INT(Cardiac_Table[[#This Row],[Procedure Start Date and Time]])</f>
        <v>44022</v>
      </c>
      <c r="G552" s="12">
        <f>MOD(Cardiac_Table[[#This Row],[Procedure Start Date and Time]],1)</f>
        <v>0.5743055555576575</v>
      </c>
      <c r="H552">
        <v>3</v>
      </c>
      <c r="I552" t="s">
        <v>4</v>
      </c>
      <c r="J552" t="s">
        <v>3</v>
      </c>
      <c r="K552" t="s">
        <v>30</v>
      </c>
      <c r="L552">
        <v>62</v>
      </c>
      <c r="M552">
        <v>2.5299999999999998</v>
      </c>
      <c r="N552">
        <v>0.89</v>
      </c>
      <c r="O552" t="s">
        <v>15</v>
      </c>
      <c r="P552">
        <v>82</v>
      </c>
      <c r="Q552">
        <v>167</v>
      </c>
      <c r="R552">
        <v>106</v>
      </c>
      <c r="S552">
        <v>35</v>
      </c>
      <c r="T552" t="s">
        <v>50</v>
      </c>
      <c r="U552">
        <f>IF(Cardiac_Table[[#This Row],[Patient Status at Discharge]]="Died", 1,0)</f>
        <v>0</v>
      </c>
      <c r="V552">
        <f>Cardiac_Table[[#This Row],[Risk of Death % (Model 1)]]/100</f>
        <v>2.53E-2</v>
      </c>
      <c r="W552">
        <f>Cardiac_Table[[#This Row],[Risk of Death % (Model 2)]]/100</f>
        <v>8.8999999999999999E-3</v>
      </c>
      <c r="X552" s="18">
        <f>Cardiac_Table[[#This Row],[Procedure Start Date and Time]]-Cardiac_Table[[#This Row],[Hospital Admit Date ]]</f>
        <v>0.28194444444670808</v>
      </c>
    </row>
    <row r="553" spans="1:24" x14ac:dyDescent="0.35">
      <c r="A553">
        <v>560</v>
      </c>
      <c r="B553" s="9">
        <v>44022.289583333331</v>
      </c>
      <c r="C553" s="10">
        <f>INT(Cardiac_Table[[#This Row],[Hospital Admit Date ]])</f>
        <v>44022</v>
      </c>
      <c r="D553" s="11" t="str">
        <f t="shared" si="8"/>
        <v>06:57</v>
      </c>
      <c r="E553" s="9">
        <v>44022.609027777777</v>
      </c>
      <c r="F553" s="10">
        <f>INT(Cardiac_Table[[#This Row],[Procedure Start Date and Time]])</f>
        <v>44022</v>
      </c>
      <c r="G553" s="12">
        <f>MOD(Cardiac_Table[[#This Row],[Procedure Start Date and Time]],1)</f>
        <v>0.60902777777664596</v>
      </c>
      <c r="H553">
        <v>1</v>
      </c>
      <c r="I553" t="s">
        <v>4</v>
      </c>
      <c r="J553" t="s">
        <v>10</v>
      </c>
      <c r="K553" t="s">
        <v>21</v>
      </c>
      <c r="L553">
        <v>57</v>
      </c>
      <c r="M553">
        <v>0.88</v>
      </c>
      <c r="N553">
        <v>0.5</v>
      </c>
      <c r="O553" t="s">
        <v>15</v>
      </c>
      <c r="P553">
        <v>94</v>
      </c>
      <c r="Q553">
        <v>193</v>
      </c>
      <c r="R553">
        <v>90</v>
      </c>
      <c r="S553">
        <v>52</v>
      </c>
      <c r="T553" t="s">
        <v>48</v>
      </c>
      <c r="U553">
        <f>IF(Cardiac_Table[[#This Row],[Patient Status at Discharge]]="Died", 1,0)</f>
        <v>0</v>
      </c>
      <c r="V553">
        <f>Cardiac_Table[[#This Row],[Risk of Death % (Model 1)]]/100</f>
        <v>8.8000000000000005E-3</v>
      </c>
      <c r="W553">
        <f>Cardiac_Table[[#This Row],[Risk of Death % (Model 2)]]/100</f>
        <v>5.0000000000000001E-3</v>
      </c>
      <c r="X553" s="18">
        <f>Cardiac_Table[[#This Row],[Procedure Start Date and Time]]-Cardiac_Table[[#This Row],[Hospital Admit Date ]]</f>
        <v>0.31944444444525288</v>
      </c>
    </row>
    <row r="554" spans="1:24" x14ac:dyDescent="0.35">
      <c r="A554">
        <v>561</v>
      </c>
      <c r="B554" s="9">
        <v>44014.409722222219</v>
      </c>
      <c r="C554" s="10">
        <f>INT(Cardiac_Table[[#This Row],[Hospital Admit Date ]])</f>
        <v>44014</v>
      </c>
      <c r="D554" s="11" t="str">
        <f t="shared" si="8"/>
        <v>09:50</v>
      </c>
      <c r="E554" s="9">
        <v>44023.340277777781</v>
      </c>
      <c r="F554" s="10">
        <f>INT(Cardiac_Table[[#This Row],[Procedure Start Date and Time]])</f>
        <v>44023</v>
      </c>
      <c r="G554" s="12">
        <f>MOD(Cardiac_Table[[#This Row],[Procedure Start Date and Time]],1)</f>
        <v>0.34027777778101154</v>
      </c>
      <c r="H554">
        <v>4</v>
      </c>
      <c r="I554" t="s">
        <v>6</v>
      </c>
      <c r="J554" t="s">
        <v>10</v>
      </c>
      <c r="K554" t="s">
        <v>27</v>
      </c>
      <c r="L554">
        <v>73</v>
      </c>
      <c r="M554">
        <v>6</v>
      </c>
      <c r="N554">
        <v>2.5099999999999998</v>
      </c>
      <c r="O554" t="s">
        <v>15</v>
      </c>
      <c r="P554">
        <v>143</v>
      </c>
      <c r="Q554">
        <v>175</v>
      </c>
      <c r="R554">
        <v>100</v>
      </c>
      <c r="S554">
        <v>65</v>
      </c>
      <c r="T554" t="s">
        <v>48</v>
      </c>
      <c r="U554">
        <f>IF(Cardiac_Table[[#This Row],[Patient Status at Discharge]]="Died", 1,0)</f>
        <v>0</v>
      </c>
      <c r="V554">
        <f>Cardiac_Table[[#This Row],[Risk of Death % (Model 1)]]/100</f>
        <v>0.06</v>
      </c>
      <c r="W554">
        <f>Cardiac_Table[[#This Row],[Risk of Death % (Model 2)]]/100</f>
        <v>2.5099999999999997E-2</v>
      </c>
      <c r="X554" s="18">
        <f>Cardiac_Table[[#This Row],[Procedure Start Date and Time]]-Cardiac_Table[[#This Row],[Hospital Admit Date ]]</f>
        <v>8.9305555555620231</v>
      </c>
    </row>
    <row r="555" spans="1:24" x14ac:dyDescent="0.35">
      <c r="A555">
        <v>562</v>
      </c>
      <c r="B555" s="9">
        <v>44022.59375</v>
      </c>
      <c r="C555" s="10">
        <f>INT(Cardiac_Table[[#This Row],[Hospital Admit Date ]])</f>
        <v>44022</v>
      </c>
      <c r="D555" s="11" t="str">
        <f t="shared" si="8"/>
        <v>14:15</v>
      </c>
      <c r="E555" s="9">
        <v>44023.349305555559</v>
      </c>
      <c r="F555" s="10">
        <f>INT(Cardiac_Table[[#This Row],[Procedure Start Date and Time]])</f>
        <v>44023</v>
      </c>
      <c r="G555" s="12">
        <f>MOD(Cardiac_Table[[#This Row],[Procedure Start Date and Time]],1)</f>
        <v>0.34930555555911269</v>
      </c>
      <c r="H555">
        <v>5</v>
      </c>
      <c r="I555" t="s">
        <v>4</v>
      </c>
      <c r="J555" t="s">
        <v>3</v>
      </c>
      <c r="K555" t="s">
        <v>36</v>
      </c>
      <c r="L555">
        <v>77</v>
      </c>
      <c r="M555">
        <v>16.13</v>
      </c>
      <c r="N555">
        <v>23.74</v>
      </c>
      <c r="O555" t="s">
        <v>13</v>
      </c>
      <c r="P555">
        <v>82</v>
      </c>
      <c r="Q555">
        <v>150</v>
      </c>
      <c r="R555">
        <v>50</v>
      </c>
      <c r="S555">
        <v>41</v>
      </c>
      <c r="T555" t="s">
        <v>50</v>
      </c>
      <c r="U555">
        <f>IF(Cardiac_Table[[#This Row],[Patient Status at Discharge]]="Died", 1,0)</f>
        <v>1</v>
      </c>
      <c r="V555">
        <f>Cardiac_Table[[#This Row],[Risk of Death % (Model 1)]]/100</f>
        <v>0.1613</v>
      </c>
      <c r="W555">
        <f>Cardiac_Table[[#This Row],[Risk of Death % (Model 2)]]/100</f>
        <v>0.23739999999999997</v>
      </c>
      <c r="X555" s="18">
        <f>Cardiac_Table[[#This Row],[Procedure Start Date and Time]]-Cardiac_Table[[#This Row],[Hospital Admit Date ]]</f>
        <v>0.75555555555911269</v>
      </c>
    </row>
    <row r="556" spans="1:24" x14ac:dyDescent="0.35">
      <c r="A556">
        <v>563</v>
      </c>
      <c r="B556" s="9">
        <v>44023.291666666664</v>
      </c>
      <c r="C556" s="10">
        <f>INT(Cardiac_Table[[#This Row],[Hospital Admit Date ]])</f>
        <v>44023</v>
      </c>
      <c r="D556" s="11" t="str">
        <f t="shared" si="8"/>
        <v>07:00</v>
      </c>
      <c r="E556" s="9">
        <v>44023.604166666664</v>
      </c>
      <c r="F556" s="10">
        <f>INT(Cardiac_Table[[#This Row],[Procedure Start Date and Time]])</f>
        <v>44023</v>
      </c>
      <c r="G556" s="12">
        <f>MOD(Cardiac_Table[[#This Row],[Procedure Start Date and Time]],1)</f>
        <v>0.60416666666424135</v>
      </c>
      <c r="H556">
        <v>4</v>
      </c>
      <c r="I556" t="s">
        <v>4</v>
      </c>
      <c r="J556" t="s">
        <v>3</v>
      </c>
      <c r="K556" t="s">
        <v>27</v>
      </c>
      <c r="L556">
        <v>68</v>
      </c>
      <c r="M556">
        <v>2.71</v>
      </c>
      <c r="N556">
        <v>0.7</v>
      </c>
      <c r="O556" t="s">
        <v>15</v>
      </c>
      <c r="P556">
        <v>79</v>
      </c>
      <c r="Q556">
        <v>175</v>
      </c>
      <c r="R556">
        <v>93</v>
      </c>
      <c r="S556">
        <v>36</v>
      </c>
      <c r="T556" t="s">
        <v>50</v>
      </c>
      <c r="U556">
        <f>IF(Cardiac_Table[[#This Row],[Patient Status at Discharge]]="Died", 1,0)</f>
        <v>0</v>
      </c>
      <c r="V556">
        <f>Cardiac_Table[[#This Row],[Risk of Death % (Model 1)]]/100</f>
        <v>2.7099999999999999E-2</v>
      </c>
      <c r="W556">
        <f>Cardiac_Table[[#This Row],[Risk of Death % (Model 2)]]/100</f>
        <v>6.9999999999999993E-3</v>
      </c>
      <c r="X556" s="18">
        <f>Cardiac_Table[[#This Row],[Procedure Start Date and Time]]-Cardiac_Table[[#This Row],[Hospital Admit Date ]]</f>
        <v>0.3125</v>
      </c>
    </row>
    <row r="557" spans="1:24" x14ac:dyDescent="0.35">
      <c r="A557">
        <v>564</v>
      </c>
      <c r="B557" s="9">
        <v>44024.576388888891</v>
      </c>
      <c r="C557" s="10">
        <f>INT(Cardiac_Table[[#This Row],[Hospital Admit Date ]])</f>
        <v>44024</v>
      </c>
      <c r="D557" s="11" t="str">
        <f t="shared" si="8"/>
        <v>13:50</v>
      </c>
      <c r="E557" s="9">
        <v>44025.338888888888</v>
      </c>
      <c r="F557" s="10">
        <f>INT(Cardiac_Table[[#This Row],[Procedure Start Date and Time]])</f>
        <v>44025</v>
      </c>
      <c r="G557" s="12">
        <f>MOD(Cardiac_Table[[#This Row],[Procedure Start Date and Time]],1)</f>
        <v>0.33888888888759539</v>
      </c>
      <c r="H557">
        <v>3</v>
      </c>
      <c r="I557" t="s">
        <v>4</v>
      </c>
      <c r="J557" t="s">
        <v>3</v>
      </c>
      <c r="K557" t="s">
        <v>29</v>
      </c>
      <c r="L557">
        <v>72</v>
      </c>
      <c r="M557">
        <v>14.6</v>
      </c>
      <c r="N557">
        <v>7.61</v>
      </c>
      <c r="O557" t="s">
        <v>15</v>
      </c>
      <c r="P557">
        <v>77</v>
      </c>
      <c r="Q557">
        <v>170</v>
      </c>
      <c r="R557">
        <v>69</v>
      </c>
      <c r="S557">
        <v>55</v>
      </c>
      <c r="T557" t="s">
        <v>48</v>
      </c>
      <c r="U557">
        <f>IF(Cardiac_Table[[#This Row],[Patient Status at Discharge]]="Died", 1,0)</f>
        <v>0</v>
      </c>
      <c r="V557">
        <f>Cardiac_Table[[#This Row],[Risk of Death % (Model 1)]]/100</f>
        <v>0.14599999999999999</v>
      </c>
      <c r="W557">
        <f>Cardiac_Table[[#This Row],[Risk of Death % (Model 2)]]/100</f>
        <v>7.6100000000000001E-2</v>
      </c>
      <c r="X557" s="18">
        <f>Cardiac_Table[[#This Row],[Procedure Start Date and Time]]-Cardiac_Table[[#This Row],[Hospital Admit Date ]]</f>
        <v>0.76249999999708962</v>
      </c>
    </row>
    <row r="558" spans="1:24" x14ac:dyDescent="0.35">
      <c r="A558">
        <v>565</v>
      </c>
      <c r="B558" s="9">
        <v>44024.583333333336</v>
      </c>
      <c r="C558" s="10">
        <f>INT(Cardiac_Table[[#This Row],[Hospital Admit Date ]])</f>
        <v>44024</v>
      </c>
      <c r="D558" s="11" t="str">
        <f t="shared" si="8"/>
        <v>14:00</v>
      </c>
      <c r="E558" s="9">
        <v>44025.345833333333</v>
      </c>
      <c r="F558" s="10">
        <f>INT(Cardiac_Table[[#This Row],[Procedure Start Date and Time]])</f>
        <v>44025</v>
      </c>
      <c r="G558" s="12">
        <f>MOD(Cardiac_Table[[#This Row],[Procedure Start Date and Time]],1)</f>
        <v>0.34583333333284827</v>
      </c>
      <c r="H558">
        <v>4</v>
      </c>
      <c r="I558" t="s">
        <v>4</v>
      </c>
      <c r="J558" t="s">
        <v>11</v>
      </c>
      <c r="K558" t="s">
        <v>23</v>
      </c>
      <c r="L558">
        <v>82</v>
      </c>
      <c r="M558">
        <v>8.9700000000000006</v>
      </c>
      <c r="N558">
        <v>2.68</v>
      </c>
      <c r="O558" t="s">
        <v>15</v>
      </c>
      <c r="P558">
        <v>119</v>
      </c>
      <c r="Q558">
        <v>184</v>
      </c>
      <c r="R558">
        <v>93</v>
      </c>
      <c r="S558">
        <v>45</v>
      </c>
      <c r="T558" t="s">
        <v>50</v>
      </c>
      <c r="U558">
        <f>IF(Cardiac_Table[[#This Row],[Patient Status at Discharge]]="Died", 1,0)</f>
        <v>0</v>
      </c>
      <c r="V558">
        <f>Cardiac_Table[[#This Row],[Risk of Death % (Model 1)]]/100</f>
        <v>8.9700000000000002E-2</v>
      </c>
      <c r="W558">
        <f>Cardiac_Table[[#This Row],[Risk of Death % (Model 2)]]/100</f>
        <v>2.6800000000000001E-2</v>
      </c>
      <c r="X558" s="18">
        <f>Cardiac_Table[[#This Row],[Procedure Start Date and Time]]-Cardiac_Table[[#This Row],[Hospital Admit Date ]]</f>
        <v>0.76249999999708962</v>
      </c>
    </row>
    <row r="559" spans="1:24" x14ac:dyDescent="0.35">
      <c r="A559">
        <v>566</v>
      </c>
      <c r="B559" s="9">
        <v>44022.441666666666</v>
      </c>
      <c r="C559" s="10">
        <f>INT(Cardiac_Table[[#This Row],[Hospital Admit Date ]])</f>
        <v>44022</v>
      </c>
      <c r="D559" s="11" t="str">
        <f t="shared" si="8"/>
        <v>10:36</v>
      </c>
      <c r="E559" s="9">
        <v>44025.349305555559</v>
      </c>
      <c r="F559" s="10">
        <f>INT(Cardiac_Table[[#This Row],[Procedure Start Date and Time]])</f>
        <v>44025</v>
      </c>
      <c r="G559" s="12">
        <f>MOD(Cardiac_Table[[#This Row],[Procedure Start Date and Time]],1)</f>
        <v>0.34930555555911269</v>
      </c>
      <c r="H559">
        <v>6</v>
      </c>
      <c r="I559" t="s">
        <v>4</v>
      </c>
      <c r="J559" t="s">
        <v>11</v>
      </c>
      <c r="K559" t="s">
        <v>32</v>
      </c>
      <c r="L559">
        <v>73</v>
      </c>
      <c r="M559">
        <v>8.5399999999999991</v>
      </c>
      <c r="N559">
        <v>2.69</v>
      </c>
      <c r="O559" t="s">
        <v>15</v>
      </c>
      <c r="P559">
        <v>111</v>
      </c>
      <c r="Q559">
        <v>175</v>
      </c>
      <c r="R559">
        <v>75</v>
      </c>
      <c r="S559">
        <v>40</v>
      </c>
      <c r="T559" t="s">
        <v>50</v>
      </c>
      <c r="U559">
        <f>IF(Cardiac_Table[[#This Row],[Patient Status at Discharge]]="Died", 1,0)</f>
        <v>0</v>
      </c>
      <c r="V559">
        <f>Cardiac_Table[[#This Row],[Risk of Death % (Model 1)]]/100</f>
        <v>8.539999999999999E-2</v>
      </c>
      <c r="W559">
        <f>Cardiac_Table[[#This Row],[Risk of Death % (Model 2)]]/100</f>
        <v>2.69E-2</v>
      </c>
      <c r="X559" s="18">
        <f>Cardiac_Table[[#This Row],[Procedure Start Date and Time]]-Cardiac_Table[[#This Row],[Hospital Admit Date ]]</f>
        <v>2.9076388888934162</v>
      </c>
    </row>
    <row r="560" spans="1:24" x14ac:dyDescent="0.35">
      <c r="A560">
        <v>567</v>
      </c>
      <c r="B560" s="9">
        <v>44025.291666666664</v>
      </c>
      <c r="C560" s="10">
        <f>INT(Cardiac_Table[[#This Row],[Hospital Admit Date ]])</f>
        <v>44025</v>
      </c>
      <c r="D560" s="11" t="str">
        <f t="shared" si="8"/>
        <v>07:00</v>
      </c>
      <c r="E560" s="9">
        <v>44025.575694444444</v>
      </c>
      <c r="F560" s="10">
        <f>INT(Cardiac_Table[[#This Row],[Procedure Start Date and Time]])</f>
        <v>44025</v>
      </c>
      <c r="G560" s="12">
        <f>MOD(Cardiac_Table[[#This Row],[Procedure Start Date and Time]],1)</f>
        <v>0.57569444444379769</v>
      </c>
      <c r="H560">
        <v>4</v>
      </c>
      <c r="I560" t="s">
        <v>4</v>
      </c>
      <c r="J560" t="s">
        <v>1</v>
      </c>
      <c r="K560" t="s">
        <v>23</v>
      </c>
      <c r="L560">
        <v>58</v>
      </c>
      <c r="M560">
        <v>6.9</v>
      </c>
      <c r="N560">
        <v>1.31</v>
      </c>
      <c r="O560" t="s">
        <v>15</v>
      </c>
      <c r="P560">
        <v>80</v>
      </c>
      <c r="Q560">
        <v>168</v>
      </c>
      <c r="R560">
        <v>120</v>
      </c>
      <c r="S560">
        <v>22</v>
      </c>
      <c r="T560" t="s">
        <v>49</v>
      </c>
      <c r="U560">
        <f>IF(Cardiac_Table[[#This Row],[Patient Status at Discharge]]="Died", 1,0)</f>
        <v>0</v>
      </c>
      <c r="V560">
        <f>Cardiac_Table[[#This Row],[Risk of Death % (Model 1)]]/100</f>
        <v>6.9000000000000006E-2</v>
      </c>
      <c r="W560">
        <f>Cardiac_Table[[#This Row],[Risk of Death % (Model 2)]]/100</f>
        <v>1.3100000000000001E-2</v>
      </c>
      <c r="X560" s="18">
        <f>Cardiac_Table[[#This Row],[Procedure Start Date and Time]]-Cardiac_Table[[#This Row],[Hospital Admit Date ]]</f>
        <v>0.28402777777955635</v>
      </c>
    </row>
    <row r="561" spans="1:24" x14ac:dyDescent="0.35">
      <c r="A561">
        <v>568</v>
      </c>
      <c r="B561" s="9">
        <v>44024.458333333336</v>
      </c>
      <c r="C561" s="10">
        <f>INT(Cardiac_Table[[#This Row],[Hospital Admit Date ]])</f>
        <v>44024</v>
      </c>
      <c r="D561" s="11" t="str">
        <f t="shared" si="8"/>
        <v>11:00</v>
      </c>
      <c r="E561" s="9">
        <v>44025.579861111109</v>
      </c>
      <c r="F561" s="10">
        <f>INT(Cardiac_Table[[#This Row],[Procedure Start Date and Time]])</f>
        <v>44025</v>
      </c>
      <c r="G561" s="12">
        <f>MOD(Cardiac_Table[[#This Row],[Procedure Start Date and Time]],1)</f>
        <v>0.57986111110949423</v>
      </c>
      <c r="H561">
        <v>6</v>
      </c>
      <c r="I561" t="s">
        <v>4</v>
      </c>
      <c r="J561" t="s">
        <v>3</v>
      </c>
      <c r="K561" t="s">
        <v>32</v>
      </c>
      <c r="L561">
        <v>57</v>
      </c>
      <c r="M561">
        <v>3.94</v>
      </c>
      <c r="N561">
        <v>1.8</v>
      </c>
      <c r="O561" t="s">
        <v>15</v>
      </c>
      <c r="P561">
        <v>64</v>
      </c>
      <c r="Q561">
        <v>178</v>
      </c>
      <c r="R561">
        <v>89</v>
      </c>
      <c r="S561">
        <v>45</v>
      </c>
      <c r="T561" t="s">
        <v>50</v>
      </c>
      <c r="U561">
        <f>IF(Cardiac_Table[[#This Row],[Patient Status at Discharge]]="Died", 1,0)</f>
        <v>0</v>
      </c>
      <c r="V561">
        <f>Cardiac_Table[[#This Row],[Risk of Death % (Model 1)]]/100</f>
        <v>3.9399999999999998E-2</v>
      </c>
      <c r="W561">
        <f>Cardiac_Table[[#This Row],[Risk of Death % (Model 2)]]/100</f>
        <v>1.8000000000000002E-2</v>
      </c>
      <c r="X561" s="18">
        <f>Cardiac_Table[[#This Row],[Procedure Start Date and Time]]-Cardiac_Table[[#This Row],[Hospital Admit Date ]]</f>
        <v>1.1215277777737356</v>
      </c>
    </row>
    <row r="562" spans="1:24" x14ac:dyDescent="0.35">
      <c r="A562">
        <v>569</v>
      </c>
      <c r="B562" s="9">
        <v>44016.066666666666</v>
      </c>
      <c r="C562" s="10">
        <f>INT(Cardiac_Table[[#This Row],[Hospital Admit Date ]])</f>
        <v>44016</v>
      </c>
      <c r="D562" s="11" t="str">
        <f t="shared" si="8"/>
        <v>01:36</v>
      </c>
      <c r="E562" s="9">
        <v>44026.340277777781</v>
      </c>
      <c r="F562" s="10">
        <f>INT(Cardiac_Table[[#This Row],[Procedure Start Date and Time]])</f>
        <v>44026</v>
      </c>
      <c r="G562" s="12">
        <f>MOD(Cardiac_Table[[#This Row],[Procedure Start Date and Time]],1)</f>
        <v>0.34027777778101154</v>
      </c>
      <c r="H562">
        <v>4</v>
      </c>
      <c r="I562" t="s">
        <v>6</v>
      </c>
      <c r="J562" t="s">
        <v>10</v>
      </c>
      <c r="K562" t="s">
        <v>21</v>
      </c>
      <c r="L562">
        <v>72</v>
      </c>
      <c r="M562">
        <v>11.99</v>
      </c>
      <c r="N562">
        <v>4.8499999999999996</v>
      </c>
      <c r="O562" t="s">
        <v>15</v>
      </c>
      <c r="P562">
        <v>68</v>
      </c>
      <c r="Q562">
        <v>170</v>
      </c>
      <c r="R562">
        <v>130</v>
      </c>
      <c r="S562">
        <v>65</v>
      </c>
      <c r="T562" t="s">
        <v>48</v>
      </c>
      <c r="U562">
        <f>IF(Cardiac_Table[[#This Row],[Patient Status at Discharge]]="Died", 1,0)</f>
        <v>0</v>
      </c>
      <c r="V562">
        <f>Cardiac_Table[[#This Row],[Risk of Death % (Model 1)]]/100</f>
        <v>0.11990000000000001</v>
      </c>
      <c r="W562">
        <f>Cardiac_Table[[#This Row],[Risk of Death % (Model 2)]]/100</f>
        <v>4.8499999999999995E-2</v>
      </c>
      <c r="X562" s="18">
        <f>Cardiac_Table[[#This Row],[Procedure Start Date and Time]]-Cardiac_Table[[#This Row],[Hospital Admit Date ]]</f>
        <v>10.273611111115315</v>
      </c>
    </row>
    <row r="563" spans="1:24" x14ac:dyDescent="0.35">
      <c r="A563">
        <v>570</v>
      </c>
      <c r="B563" s="9">
        <v>44025.664583333331</v>
      </c>
      <c r="C563" s="10">
        <f>INT(Cardiac_Table[[#This Row],[Hospital Admit Date ]])</f>
        <v>44025</v>
      </c>
      <c r="D563" s="11" t="str">
        <f t="shared" si="8"/>
        <v>15:57</v>
      </c>
      <c r="E563" s="9">
        <v>44026.347222222219</v>
      </c>
      <c r="F563" s="10">
        <f>INT(Cardiac_Table[[#This Row],[Procedure Start Date and Time]])</f>
        <v>44026</v>
      </c>
      <c r="G563" s="12">
        <f>MOD(Cardiac_Table[[#This Row],[Procedure Start Date and Time]],1)</f>
        <v>0.34722222221898846</v>
      </c>
      <c r="H563">
        <v>5</v>
      </c>
      <c r="I563" t="s">
        <v>4</v>
      </c>
      <c r="J563" t="s">
        <v>11</v>
      </c>
      <c r="K563" t="s">
        <v>28</v>
      </c>
      <c r="L563">
        <v>71</v>
      </c>
      <c r="M563">
        <v>3.29</v>
      </c>
      <c r="N563">
        <v>1.78</v>
      </c>
      <c r="O563" t="s">
        <v>15</v>
      </c>
      <c r="P563">
        <v>66</v>
      </c>
      <c r="Q563">
        <v>152</v>
      </c>
      <c r="R563">
        <v>51</v>
      </c>
      <c r="S563">
        <v>53</v>
      </c>
      <c r="T563" t="s">
        <v>48</v>
      </c>
      <c r="U563">
        <f>IF(Cardiac_Table[[#This Row],[Patient Status at Discharge]]="Died", 1,0)</f>
        <v>0</v>
      </c>
      <c r="V563">
        <f>Cardiac_Table[[#This Row],[Risk of Death % (Model 1)]]/100</f>
        <v>3.2899999999999999E-2</v>
      </c>
      <c r="W563">
        <f>Cardiac_Table[[#This Row],[Risk of Death % (Model 2)]]/100</f>
        <v>1.78E-2</v>
      </c>
      <c r="X563" s="18">
        <f>Cardiac_Table[[#This Row],[Procedure Start Date and Time]]-Cardiac_Table[[#This Row],[Hospital Admit Date ]]</f>
        <v>0.68263888888759539</v>
      </c>
    </row>
    <row r="564" spans="1:24" x14ac:dyDescent="0.35">
      <c r="A564">
        <v>571</v>
      </c>
      <c r="B564" s="9">
        <v>44025.634027777778</v>
      </c>
      <c r="C564" s="10">
        <f>INT(Cardiac_Table[[#This Row],[Hospital Admit Date ]])</f>
        <v>44025</v>
      </c>
      <c r="D564" s="11" t="str">
        <f t="shared" si="8"/>
        <v>15:13</v>
      </c>
      <c r="E564" s="9">
        <v>44026.368055555555</v>
      </c>
      <c r="F564" s="10">
        <f>INT(Cardiac_Table[[#This Row],[Procedure Start Date and Time]])</f>
        <v>44026</v>
      </c>
      <c r="G564" s="12">
        <f>MOD(Cardiac_Table[[#This Row],[Procedure Start Date and Time]],1)</f>
        <v>0.36805555555474712</v>
      </c>
      <c r="H564">
        <v>2</v>
      </c>
      <c r="I564" t="s">
        <v>6</v>
      </c>
      <c r="J564" t="s">
        <v>10</v>
      </c>
      <c r="K564" t="s">
        <v>33</v>
      </c>
      <c r="L564">
        <v>73</v>
      </c>
      <c r="M564">
        <v>8.98</v>
      </c>
      <c r="N564">
        <v>5.14</v>
      </c>
      <c r="O564" t="s">
        <v>15</v>
      </c>
      <c r="P564">
        <v>96</v>
      </c>
      <c r="Q564">
        <v>172</v>
      </c>
      <c r="R564">
        <v>99</v>
      </c>
      <c r="S564">
        <v>22</v>
      </c>
      <c r="T564" t="s">
        <v>49</v>
      </c>
      <c r="U564">
        <f>IF(Cardiac_Table[[#This Row],[Patient Status at Discharge]]="Died", 1,0)</f>
        <v>0</v>
      </c>
      <c r="V564">
        <f>Cardiac_Table[[#This Row],[Risk of Death % (Model 1)]]/100</f>
        <v>8.9800000000000005E-2</v>
      </c>
      <c r="W564">
        <f>Cardiac_Table[[#This Row],[Risk of Death % (Model 2)]]/100</f>
        <v>5.1399999999999994E-2</v>
      </c>
      <c r="X564" s="18">
        <f>Cardiac_Table[[#This Row],[Procedure Start Date and Time]]-Cardiac_Table[[#This Row],[Hospital Admit Date ]]</f>
        <v>0.73402777777664596</v>
      </c>
    </row>
    <row r="565" spans="1:24" x14ac:dyDescent="0.35">
      <c r="A565">
        <v>572</v>
      </c>
      <c r="B565" s="9">
        <v>44026.291666666664</v>
      </c>
      <c r="C565" s="10">
        <f>INT(Cardiac_Table[[#This Row],[Hospital Admit Date ]])</f>
        <v>44026</v>
      </c>
      <c r="D565" s="11" t="str">
        <f t="shared" si="8"/>
        <v>07:00</v>
      </c>
      <c r="E565" s="9">
        <v>44026.541666666664</v>
      </c>
      <c r="F565" s="10">
        <f>INT(Cardiac_Table[[#This Row],[Procedure Start Date and Time]])</f>
        <v>44026</v>
      </c>
      <c r="G565" s="12">
        <f>MOD(Cardiac_Table[[#This Row],[Procedure Start Date and Time]],1)</f>
        <v>0.54166666666424135</v>
      </c>
      <c r="H565">
        <v>4</v>
      </c>
      <c r="I565" t="s">
        <v>4</v>
      </c>
      <c r="J565" t="s">
        <v>3</v>
      </c>
      <c r="K565" t="s">
        <v>21</v>
      </c>
      <c r="L565">
        <v>55</v>
      </c>
      <c r="M565">
        <v>1.51</v>
      </c>
      <c r="N565">
        <v>0.5</v>
      </c>
      <c r="O565" t="s">
        <v>15</v>
      </c>
      <c r="P565">
        <v>64</v>
      </c>
      <c r="Q565">
        <v>183</v>
      </c>
      <c r="R565">
        <v>123</v>
      </c>
      <c r="S565">
        <v>52</v>
      </c>
      <c r="T565" t="s">
        <v>48</v>
      </c>
      <c r="U565">
        <f>IF(Cardiac_Table[[#This Row],[Patient Status at Discharge]]="Died", 1,0)</f>
        <v>0</v>
      </c>
      <c r="V565">
        <f>Cardiac_Table[[#This Row],[Risk of Death % (Model 1)]]/100</f>
        <v>1.5100000000000001E-2</v>
      </c>
      <c r="W565">
        <f>Cardiac_Table[[#This Row],[Risk of Death % (Model 2)]]/100</f>
        <v>5.0000000000000001E-3</v>
      </c>
      <c r="X565" s="18">
        <f>Cardiac_Table[[#This Row],[Procedure Start Date and Time]]-Cardiac_Table[[#This Row],[Hospital Admit Date ]]</f>
        <v>0.25</v>
      </c>
    </row>
    <row r="566" spans="1:24" x14ac:dyDescent="0.35">
      <c r="A566">
        <v>573</v>
      </c>
      <c r="B566" s="9">
        <v>44026.328472222223</v>
      </c>
      <c r="C566" s="10">
        <f>INT(Cardiac_Table[[#This Row],[Hospital Admit Date ]])</f>
        <v>44026</v>
      </c>
      <c r="D566" s="11" t="str">
        <f t="shared" si="8"/>
        <v>07:53</v>
      </c>
      <c r="E566" s="9">
        <v>44026.565972222219</v>
      </c>
      <c r="F566" s="10">
        <f>INT(Cardiac_Table[[#This Row],[Procedure Start Date and Time]])</f>
        <v>44026</v>
      </c>
      <c r="G566" s="12">
        <f>MOD(Cardiac_Table[[#This Row],[Procedure Start Date and Time]],1)</f>
        <v>0.56597222221898846</v>
      </c>
      <c r="H566">
        <v>5</v>
      </c>
      <c r="I566" t="s">
        <v>4</v>
      </c>
      <c r="J566" t="s">
        <v>3</v>
      </c>
      <c r="K566" t="s">
        <v>28</v>
      </c>
      <c r="L566">
        <v>67</v>
      </c>
      <c r="M566">
        <v>3.81</v>
      </c>
      <c r="N566">
        <v>2.17</v>
      </c>
      <c r="O566" t="s">
        <v>15</v>
      </c>
      <c r="P566">
        <v>94</v>
      </c>
      <c r="Q566">
        <v>165</v>
      </c>
      <c r="R566">
        <v>95</v>
      </c>
      <c r="S566">
        <v>56</v>
      </c>
      <c r="T566" t="s">
        <v>48</v>
      </c>
      <c r="U566">
        <f>IF(Cardiac_Table[[#This Row],[Patient Status at Discharge]]="Died", 1,0)</f>
        <v>0</v>
      </c>
      <c r="V566">
        <f>Cardiac_Table[[#This Row],[Risk of Death % (Model 1)]]/100</f>
        <v>3.8100000000000002E-2</v>
      </c>
      <c r="W566">
        <f>Cardiac_Table[[#This Row],[Risk of Death % (Model 2)]]/100</f>
        <v>2.1700000000000001E-2</v>
      </c>
      <c r="X566" s="18">
        <f>Cardiac_Table[[#This Row],[Procedure Start Date and Time]]-Cardiac_Table[[#This Row],[Hospital Admit Date ]]</f>
        <v>0.23749999999563443</v>
      </c>
    </row>
    <row r="567" spans="1:24" x14ac:dyDescent="0.35">
      <c r="A567">
        <v>574</v>
      </c>
      <c r="B567" s="9">
        <v>44026.291666666664</v>
      </c>
      <c r="C567" s="10">
        <f>INT(Cardiac_Table[[#This Row],[Hospital Admit Date ]])</f>
        <v>44026</v>
      </c>
      <c r="D567" s="11" t="str">
        <f t="shared" si="8"/>
        <v>07:00</v>
      </c>
      <c r="E567" s="9">
        <v>44026.565972222219</v>
      </c>
      <c r="F567" s="10">
        <f>INT(Cardiac_Table[[#This Row],[Procedure Start Date and Time]])</f>
        <v>44026</v>
      </c>
      <c r="G567" s="12">
        <f>MOD(Cardiac_Table[[#This Row],[Procedure Start Date and Time]],1)</f>
        <v>0.56597222221898846</v>
      </c>
      <c r="H567">
        <v>3</v>
      </c>
      <c r="I567" t="s">
        <v>4</v>
      </c>
      <c r="J567" t="s">
        <v>10</v>
      </c>
      <c r="K567" t="s">
        <v>33</v>
      </c>
      <c r="L567">
        <v>64</v>
      </c>
      <c r="M567">
        <v>1.23</v>
      </c>
      <c r="N567">
        <v>0.63</v>
      </c>
      <c r="O567" t="s">
        <v>15</v>
      </c>
      <c r="P567">
        <v>77</v>
      </c>
      <c r="Q567">
        <v>170</v>
      </c>
      <c r="R567">
        <v>90</v>
      </c>
      <c r="S567">
        <v>32</v>
      </c>
      <c r="T567" t="s">
        <v>50</v>
      </c>
      <c r="U567">
        <f>IF(Cardiac_Table[[#This Row],[Patient Status at Discharge]]="Died", 1,0)</f>
        <v>0</v>
      </c>
      <c r="V567">
        <f>Cardiac_Table[[#This Row],[Risk of Death % (Model 1)]]/100</f>
        <v>1.23E-2</v>
      </c>
      <c r="W567">
        <f>Cardiac_Table[[#This Row],[Risk of Death % (Model 2)]]/100</f>
        <v>6.3E-3</v>
      </c>
      <c r="X567" s="18">
        <f>Cardiac_Table[[#This Row],[Procedure Start Date and Time]]-Cardiac_Table[[#This Row],[Hospital Admit Date ]]</f>
        <v>0.27430555555474712</v>
      </c>
    </row>
    <row r="568" spans="1:24" x14ac:dyDescent="0.35">
      <c r="A568">
        <v>575</v>
      </c>
      <c r="B568" s="9">
        <v>44025.486111111109</v>
      </c>
      <c r="C568" s="10">
        <f>INT(Cardiac_Table[[#This Row],[Hospital Admit Date ]])</f>
        <v>44025</v>
      </c>
      <c r="D568" s="11" t="str">
        <f t="shared" si="8"/>
        <v>11:40</v>
      </c>
      <c r="E568" s="9">
        <v>44027.349305555559</v>
      </c>
      <c r="F568" s="10">
        <f>INT(Cardiac_Table[[#This Row],[Procedure Start Date and Time]])</f>
        <v>44027</v>
      </c>
      <c r="G568" s="12">
        <f>MOD(Cardiac_Table[[#This Row],[Procedure Start Date and Time]],1)</f>
        <v>0.34930555555911269</v>
      </c>
      <c r="H568">
        <v>6</v>
      </c>
      <c r="I568" t="s">
        <v>6</v>
      </c>
      <c r="J568" t="s">
        <v>3</v>
      </c>
      <c r="K568" t="s">
        <v>28</v>
      </c>
      <c r="L568">
        <v>84</v>
      </c>
      <c r="M568">
        <v>10.95</v>
      </c>
      <c r="N568">
        <v>4.71</v>
      </c>
      <c r="O568" t="s">
        <v>15</v>
      </c>
      <c r="P568">
        <v>89</v>
      </c>
      <c r="Q568">
        <v>170</v>
      </c>
      <c r="R568">
        <v>78</v>
      </c>
      <c r="S568">
        <v>63</v>
      </c>
      <c r="T568" t="s">
        <v>48</v>
      </c>
      <c r="U568">
        <f>IF(Cardiac_Table[[#This Row],[Patient Status at Discharge]]="Died", 1,0)</f>
        <v>0</v>
      </c>
      <c r="V568">
        <f>Cardiac_Table[[#This Row],[Risk of Death % (Model 1)]]/100</f>
        <v>0.10949999999999999</v>
      </c>
      <c r="W568">
        <f>Cardiac_Table[[#This Row],[Risk of Death % (Model 2)]]/100</f>
        <v>4.7100000000000003E-2</v>
      </c>
      <c r="X568" s="18">
        <f>Cardiac_Table[[#This Row],[Procedure Start Date and Time]]-Cardiac_Table[[#This Row],[Hospital Admit Date ]]</f>
        <v>1.8631944444496185</v>
      </c>
    </row>
    <row r="569" spans="1:24" x14ac:dyDescent="0.35">
      <c r="A569">
        <v>576</v>
      </c>
      <c r="B569" s="9">
        <v>44026.666666666664</v>
      </c>
      <c r="C569" s="10">
        <f>INT(Cardiac_Table[[#This Row],[Hospital Admit Date ]])</f>
        <v>44026</v>
      </c>
      <c r="D569" s="11" t="str">
        <f t="shared" si="8"/>
        <v>16:00</v>
      </c>
      <c r="E569" s="9">
        <v>44027.375</v>
      </c>
      <c r="F569" s="10">
        <f>INT(Cardiac_Table[[#This Row],[Procedure Start Date and Time]])</f>
        <v>44027</v>
      </c>
      <c r="G569" s="12">
        <f>MOD(Cardiac_Table[[#This Row],[Procedure Start Date and Time]],1)</f>
        <v>0.375</v>
      </c>
      <c r="H569">
        <v>4</v>
      </c>
      <c r="I569" t="s">
        <v>4</v>
      </c>
      <c r="J569" t="s">
        <v>11</v>
      </c>
      <c r="K569" t="s">
        <v>35</v>
      </c>
      <c r="L569">
        <v>75</v>
      </c>
      <c r="M569">
        <v>10.79</v>
      </c>
      <c r="N569">
        <v>5.8</v>
      </c>
      <c r="O569" t="s">
        <v>15</v>
      </c>
      <c r="P569">
        <v>69</v>
      </c>
      <c r="Q569">
        <v>183</v>
      </c>
      <c r="R569">
        <v>90</v>
      </c>
      <c r="S569">
        <v>57</v>
      </c>
      <c r="T569" t="s">
        <v>48</v>
      </c>
      <c r="U569">
        <f>IF(Cardiac_Table[[#This Row],[Patient Status at Discharge]]="Died", 1,0)</f>
        <v>0</v>
      </c>
      <c r="V569">
        <f>Cardiac_Table[[#This Row],[Risk of Death % (Model 1)]]/100</f>
        <v>0.1079</v>
      </c>
      <c r="W569">
        <f>Cardiac_Table[[#This Row],[Risk of Death % (Model 2)]]/100</f>
        <v>5.7999999999999996E-2</v>
      </c>
      <c r="X569" s="18">
        <f>Cardiac_Table[[#This Row],[Procedure Start Date and Time]]-Cardiac_Table[[#This Row],[Hospital Admit Date ]]</f>
        <v>0.70833333333575865</v>
      </c>
    </row>
    <row r="570" spans="1:24" x14ac:dyDescent="0.35">
      <c r="A570">
        <v>577</v>
      </c>
      <c r="B570" s="9">
        <v>44027.298611111109</v>
      </c>
      <c r="C570" s="10">
        <f>INT(Cardiac_Table[[#This Row],[Hospital Admit Date ]])</f>
        <v>44027</v>
      </c>
      <c r="D570" s="11" t="str">
        <f t="shared" si="8"/>
        <v>07:10</v>
      </c>
      <c r="E570" s="9">
        <v>44027.632638888892</v>
      </c>
      <c r="F570" s="10">
        <f>INT(Cardiac_Table[[#This Row],[Procedure Start Date and Time]])</f>
        <v>44027</v>
      </c>
      <c r="G570" s="12">
        <f>MOD(Cardiac_Table[[#This Row],[Procedure Start Date and Time]],1)</f>
        <v>0.63263888889196096</v>
      </c>
      <c r="H570">
        <v>6</v>
      </c>
      <c r="I570" t="s">
        <v>4</v>
      </c>
      <c r="J570" t="s">
        <v>11</v>
      </c>
      <c r="K570" t="s">
        <v>28</v>
      </c>
      <c r="L570">
        <v>81</v>
      </c>
      <c r="M570">
        <v>6.21</v>
      </c>
      <c r="N570">
        <v>1.56</v>
      </c>
      <c r="O570" t="s">
        <v>15</v>
      </c>
      <c r="P570">
        <v>84</v>
      </c>
      <c r="Q570">
        <v>160</v>
      </c>
      <c r="R570">
        <v>80</v>
      </c>
      <c r="S570">
        <v>50</v>
      </c>
      <c r="T570" t="s">
        <v>50</v>
      </c>
      <c r="U570">
        <f>IF(Cardiac_Table[[#This Row],[Patient Status at Discharge]]="Died", 1,0)</f>
        <v>0</v>
      </c>
      <c r="V570">
        <f>Cardiac_Table[[#This Row],[Risk of Death % (Model 1)]]/100</f>
        <v>6.2100000000000002E-2</v>
      </c>
      <c r="W570">
        <f>Cardiac_Table[[#This Row],[Risk of Death % (Model 2)]]/100</f>
        <v>1.5600000000000001E-2</v>
      </c>
      <c r="X570" s="18">
        <f>Cardiac_Table[[#This Row],[Procedure Start Date and Time]]-Cardiac_Table[[#This Row],[Hospital Admit Date ]]</f>
        <v>0.33402777778246673</v>
      </c>
    </row>
    <row r="571" spans="1:24" x14ac:dyDescent="0.35">
      <c r="A571">
        <v>578</v>
      </c>
      <c r="B571" s="9">
        <v>44024.458333333336</v>
      </c>
      <c r="C571" s="10">
        <f>INT(Cardiac_Table[[#This Row],[Hospital Admit Date ]])</f>
        <v>44024</v>
      </c>
      <c r="D571" s="11" t="str">
        <f t="shared" si="8"/>
        <v>11:00</v>
      </c>
      <c r="E571" s="9">
        <v>44028.340277777781</v>
      </c>
      <c r="F571" s="10">
        <f>INT(Cardiac_Table[[#This Row],[Procedure Start Date and Time]])</f>
        <v>44028</v>
      </c>
      <c r="G571" s="12">
        <f>MOD(Cardiac_Table[[#This Row],[Procedure Start Date and Time]],1)</f>
        <v>0.34027777778101154</v>
      </c>
      <c r="H571">
        <v>3</v>
      </c>
      <c r="I571" t="s">
        <v>6</v>
      </c>
      <c r="J571" t="s">
        <v>3</v>
      </c>
      <c r="K571" t="s">
        <v>27</v>
      </c>
      <c r="L571">
        <v>56</v>
      </c>
      <c r="M571">
        <v>2.57</v>
      </c>
      <c r="N571">
        <v>0.89</v>
      </c>
      <c r="O571" t="s">
        <v>15</v>
      </c>
      <c r="P571">
        <v>77</v>
      </c>
      <c r="Q571">
        <v>172</v>
      </c>
      <c r="R571">
        <v>92</v>
      </c>
      <c r="S571">
        <v>10</v>
      </c>
      <c r="T571" t="s">
        <v>51</v>
      </c>
      <c r="U571">
        <f>IF(Cardiac_Table[[#This Row],[Patient Status at Discharge]]="Died", 1,0)</f>
        <v>0</v>
      </c>
      <c r="V571">
        <f>Cardiac_Table[[#This Row],[Risk of Death % (Model 1)]]/100</f>
        <v>2.5699999999999997E-2</v>
      </c>
      <c r="W571">
        <f>Cardiac_Table[[#This Row],[Risk of Death % (Model 2)]]/100</f>
        <v>8.8999999999999999E-3</v>
      </c>
      <c r="X571" s="18">
        <f>Cardiac_Table[[#This Row],[Procedure Start Date and Time]]-Cardiac_Table[[#This Row],[Hospital Admit Date ]]</f>
        <v>3.8819444444452529</v>
      </c>
    </row>
    <row r="572" spans="1:24" x14ac:dyDescent="0.35">
      <c r="A572">
        <v>579</v>
      </c>
      <c r="B572" s="9">
        <v>44023.414583333331</v>
      </c>
      <c r="C572" s="10">
        <f>INT(Cardiac_Table[[#This Row],[Hospital Admit Date ]])</f>
        <v>44023</v>
      </c>
      <c r="D572" s="11" t="str">
        <f t="shared" si="8"/>
        <v>09:57</v>
      </c>
      <c r="E572" s="9">
        <v>44028.34652777778</v>
      </c>
      <c r="F572" s="10">
        <f>INT(Cardiac_Table[[#This Row],[Procedure Start Date and Time]])</f>
        <v>44028</v>
      </c>
      <c r="G572" s="12">
        <f>MOD(Cardiac_Table[[#This Row],[Procedure Start Date and Time]],1)</f>
        <v>0.34652777777955635</v>
      </c>
      <c r="H572">
        <v>5</v>
      </c>
      <c r="I572" t="s">
        <v>6</v>
      </c>
      <c r="J572" t="s">
        <v>10</v>
      </c>
      <c r="K572" t="s">
        <v>32</v>
      </c>
      <c r="L572">
        <v>49</v>
      </c>
      <c r="M572">
        <v>1.51</v>
      </c>
      <c r="N572">
        <v>1.07</v>
      </c>
      <c r="O572" t="s">
        <v>14</v>
      </c>
      <c r="P572">
        <v>114</v>
      </c>
      <c r="Q572">
        <v>174</v>
      </c>
      <c r="R572">
        <v>65</v>
      </c>
      <c r="S572">
        <v>40</v>
      </c>
      <c r="T572" t="s">
        <v>50</v>
      </c>
      <c r="U572">
        <f>IF(Cardiac_Table[[#This Row],[Patient Status at Discharge]]="Died", 1,0)</f>
        <v>0</v>
      </c>
      <c r="V572">
        <f>Cardiac_Table[[#This Row],[Risk of Death % (Model 1)]]/100</f>
        <v>1.5100000000000001E-2</v>
      </c>
      <c r="W572">
        <f>Cardiac_Table[[#This Row],[Risk of Death % (Model 2)]]/100</f>
        <v>1.0700000000000001E-2</v>
      </c>
      <c r="X572" s="18">
        <f>Cardiac_Table[[#This Row],[Procedure Start Date and Time]]-Cardiac_Table[[#This Row],[Hospital Admit Date ]]</f>
        <v>4.9319444444481633</v>
      </c>
    </row>
    <row r="573" spans="1:24" x14ac:dyDescent="0.35">
      <c r="A573">
        <v>580</v>
      </c>
      <c r="B573" s="9">
        <v>44026.458333333336</v>
      </c>
      <c r="C573" s="10">
        <f>INT(Cardiac_Table[[#This Row],[Hospital Admit Date ]])</f>
        <v>44026</v>
      </c>
      <c r="D573" s="11" t="str">
        <f t="shared" si="8"/>
        <v>11:00</v>
      </c>
      <c r="E573" s="9">
        <v>44028.354861111111</v>
      </c>
      <c r="F573" s="10">
        <f>INT(Cardiac_Table[[#This Row],[Procedure Start Date and Time]])</f>
        <v>44028</v>
      </c>
      <c r="G573" s="12">
        <f>MOD(Cardiac_Table[[#This Row],[Procedure Start Date and Time]],1)</f>
        <v>0.35486111111094942</v>
      </c>
      <c r="H573">
        <v>4</v>
      </c>
      <c r="I573" t="s">
        <v>6</v>
      </c>
      <c r="J573" t="s">
        <v>10</v>
      </c>
      <c r="K573" t="s">
        <v>24</v>
      </c>
      <c r="L573">
        <v>72</v>
      </c>
      <c r="M573">
        <v>3.91</v>
      </c>
      <c r="N573">
        <v>2.4500000000000002</v>
      </c>
      <c r="O573" t="s">
        <v>15</v>
      </c>
      <c r="P573">
        <v>62</v>
      </c>
      <c r="Q573">
        <v>159</v>
      </c>
      <c r="R573">
        <v>55</v>
      </c>
      <c r="S573">
        <v>49</v>
      </c>
      <c r="T573" t="s">
        <v>50</v>
      </c>
      <c r="U573">
        <f>IF(Cardiac_Table[[#This Row],[Patient Status at Discharge]]="Died", 1,0)</f>
        <v>0</v>
      </c>
      <c r="V573">
        <f>Cardiac_Table[[#This Row],[Risk of Death % (Model 1)]]/100</f>
        <v>3.9100000000000003E-2</v>
      </c>
      <c r="W573">
        <f>Cardiac_Table[[#This Row],[Risk of Death % (Model 2)]]/100</f>
        <v>2.4500000000000001E-2</v>
      </c>
      <c r="X573" s="18">
        <f>Cardiac_Table[[#This Row],[Procedure Start Date and Time]]-Cardiac_Table[[#This Row],[Hospital Admit Date ]]</f>
        <v>1.8965277777751908</v>
      </c>
    </row>
    <row r="574" spans="1:24" x14ac:dyDescent="0.35">
      <c r="A574">
        <v>581</v>
      </c>
      <c r="B574" s="9">
        <v>44025.324305555558</v>
      </c>
      <c r="C574" s="10">
        <f>INT(Cardiac_Table[[#This Row],[Hospital Admit Date ]])</f>
        <v>44025</v>
      </c>
      <c r="D574" s="11" t="str">
        <f t="shared" si="8"/>
        <v>07:47</v>
      </c>
      <c r="E574" s="9">
        <v>44028.561111111114</v>
      </c>
      <c r="F574" s="10">
        <f>INT(Cardiac_Table[[#This Row],[Procedure Start Date and Time]])</f>
        <v>44028</v>
      </c>
      <c r="G574" s="12">
        <f>MOD(Cardiac_Table[[#This Row],[Procedure Start Date and Time]],1)</f>
        <v>0.56111111111385981</v>
      </c>
      <c r="H574">
        <v>5</v>
      </c>
      <c r="I574" t="s">
        <v>4</v>
      </c>
      <c r="J574" t="s">
        <v>10</v>
      </c>
      <c r="K574" t="s">
        <v>32</v>
      </c>
      <c r="L574">
        <v>65</v>
      </c>
      <c r="M574">
        <v>13.48</v>
      </c>
      <c r="N574">
        <v>7.14</v>
      </c>
      <c r="O574" t="s">
        <v>15</v>
      </c>
      <c r="P574">
        <v>70</v>
      </c>
      <c r="Q574">
        <v>158</v>
      </c>
      <c r="R574">
        <v>58</v>
      </c>
      <c r="S574">
        <v>22</v>
      </c>
      <c r="T574" t="s">
        <v>49</v>
      </c>
      <c r="U574">
        <f>IF(Cardiac_Table[[#This Row],[Patient Status at Discharge]]="Died", 1,0)</f>
        <v>0</v>
      </c>
      <c r="V574">
        <f>Cardiac_Table[[#This Row],[Risk of Death % (Model 1)]]/100</f>
        <v>0.1348</v>
      </c>
      <c r="W574">
        <f>Cardiac_Table[[#This Row],[Risk of Death % (Model 2)]]/100</f>
        <v>7.1399999999999991E-2</v>
      </c>
      <c r="X574" s="18">
        <f>Cardiac_Table[[#This Row],[Procedure Start Date and Time]]-Cardiac_Table[[#This Row],[Hospital Admit Date ]]</f>
        <v>3.2368055555562023</v>
      </c>
    </row>
    <row r="575" spans="1:24" x14ac:dyDescent="0.35">
      <c r="A575">
        <v>582</v>
      </c>
      <c r="B575" s="9">
        <v>44028.291666666664</v>
      </c>
      <c r="C575" s="10">
        <f>INT(Cardiac_Table[[#This Row],[Hospital Admit Date ]])</f>
        <v>44028</v>
      </c>
      <c r="D575" s="11" t="str">
        <f t="shared" si="8"/>
        <v>07:00</v>
      </c>
      <c r="E575" s="9">
        <v>44028.594444444447</v>
      </c>
      <c r="F575" s="10">
        <f>INT(Cardiac_Table[[#This Row],[Procedure Start Date and Time]])</f>
        <v>44028</v>
      </c>
      <c r="G575" s="12">
        <f>MOD(Cardiac_Table[[#This Row],[Procedure Start Date and Time]],1)</f>
        <v>0.59444444444670808</v>
      </c>
      <c r="H575">
        <v>4</v>
      </c>
      <c r="I575" t="s">
        <v>4</v>
      </c>
      <c r="J575" t="s">
        <v>11</v>
      </c>
      <c r="K575" t="s">
        <v>24</v>
      </c>
      <c r="L575">
        <v>75</v>
      </c>
      <c r="M575">
        <v>10.64</v>
      </c>
      <c r="N575">
        <v>4.1100000000000003</v>
      </c>
      <c r="O575" t="s">
        <v>15</v>
      </c>
      <c r="P575">
        <v>132</v>
      </c>
      <c r="Q575">
        <v>168</v>
      </c>
      <c r="R575">
        <v>88</v>
      </c>
      <c r="S575">
        <v>49</v>
      </c>
      <c r="T575" t="s">
        <v>50</v>
      </c>
      <c r="U575">
        <f>IF(Cardiac_Table[[#This Row],[Patient Status at Discharge]]="Died", 1,0)</f>
        <v>0</v>
      </c>
      <c r="V575">
        <f>Cardiac_Table[[#This Row],[Risk of Death % (Model 1)]]/100</f>
        <v>0.10640000000000001</v>
      </c>
      <c r="W575">
        <f>Cardiac_Table[[#This Row],[Risk of Death % (Model 2)]]/100</f>
        <v>4.1100000000000005E-2</v>
      </c>
      <c r="X575" s="18">
        <f>Cardiac_Table[[#This Row],[Procedure Start Date and Time]]-Cardiac_Table[[#This Row],[Hospital Admit Date ]]</f>
        <v>0.30277777778246673</v>
      </c>
    </row>
    <row r="576" spans="1:24" x14ac:dyDescent="0.35">
      <c r="A576">
        <v>583</v>
      </c>
      <c r="B576" s="9">
        <v>44027.458333333336</v>
      </c>
      <c r="C576" s="10">
        <f>INT(Cardiac_Table[[#This Row],[Hospital Admit Date ]])</f>
        <v>44027</v>
      </c>
      <c r="D576" s="11" t="str">
        <f t="shared" si="8"/>
        <v>11:00</v>
      </c>
      <c r="E576" s="9">
        <v>44029.340277777781</v>
      </c>
      <c r="F576" s="10">
        <f>INT(Cardiac_Table[[#This Row],[Procedure Start Date and Time]])</f>
        <v>44029</v>
      </c>
      <c r="G576" s="12">
        <f>MOD(Cardiac_Table[[#This Row],[Procedure Start Date and Time]],1)</f>
        <v>0.34027777778101154</v>
      </c>
      <c r="H576">
        <v>5</v>
      </c>
      <c r="I576" t="s">
        <v>6</v>
      </c>
      <c r="J576" t="s">
        <v>10</v>
      </c>
      <c r="K576" t="s">
        <v>30</v>
      </c>
      <c r="L576">
        <v>78</v>
      </c>
      <c r="M576">
        <v>10.33</v>
      </c>
      <c r="N576">
        <v>2.5</v>
      </c>
      <c r="O576" t="s">
        <v>15</v>
      </c>
      <c r="P576">
        <v>68</v>
      </c>
      <c r="Q576">
        <v>155</v>
      </c>
      <c r="R576">
        <v>63</v>
      </c>
      <c r="S576">
        <v>28</v>
      </c>
      <c r="T576" t="s">
        <v>49</v>
      </c>
      <c r="U576">
        <f>IF(Cardiac_Table[[#This Row],[Patient Status at Discharge]]="Died", 1,0)</f>
        <v>0</v>
      </c>
      <c r="V576">
        <f>Cardiac_Table[[#This Row],[Risk of Death % (Model 1)]]/100</f>
        <v>0.1033</v>
      </c>
      <c r="W576">
        <f>Cardiac_Table[[#This Row],[Risk of Death % (Model 2)]]/100</f>
        <v>2.5000000000000001E-2</v>
      </c>
      <c r="X576" s="18">
        <f>Cardiac_Table[[#This Row],[Procedure Start Date and Time]]-Cardiac_Table[[#This Row],[Hospital Admit Date ]]</f>
        <v>1.8819444444452529</v>
      </c>
    </row>
    <row r="577" spans="1:24" x14ac:dyDescent="0.35">
      <c r="A577">
        <v>584</v>
      </c>
      <c r="B577" s="9">
        <v>44028.583333333336</v>
      </c>
      <c r="C577" s="10">
        <f>INT(Cardiac_Table[[#This Row],[Hospital Admit Date ]])</f>
        <v>44028</v>
      </c>
      <c r="D577" s="11" t="str">
        <f t="shared" si="8"/>
        <v>14:00</v>
      </c>
      <c r="E577" s="9">
        <v>44029.340277777781</v>
      </c>
      <c r="F577" s="10">
        <f>INT(Cardiac_Table[[#This Row],[Procedure Start Date and Time]])</f>
        <v>44029</v>
      </c>
      <c r="G577" s="12">
        <f>MOD(Cardiac_Table[[#This Row],[Procedure Start Date and Time]],1)</f>
        <v>0.34027777778101154</v>
      </c>
      <c r="H577">
        <v>4</v>
      </c>
      <c r="I577" t="s">
        <v>4</v>
      </c>
      <c r="J577" t="s">
        <v>3</v>
      </c>
      <c r="K577" t="s">
        <v>35</v>
      </c>
      <c r="L577">
        <v>86</v>
      </c>
      <c r="M577">
        <v>8.4600000000000009</v>
      </c>
      <c r="N577">
        <v>1.1599999999999999</v>
      </c>
      <c r="O577" t="s">
        <v>15</v>
      </c>
      <c r="P577">
        <v>67</v>
      </c>
      <c r="Q577">
        <v>171</v>
      </c>
      <c r="R577">
        <v>80</v>
      </c>
      <c r="S577">
        <v>51</v>
      </c>
      <c r="T577" t="s">
        <v>48</v>
      </c>
      <c r="U577">
        <f>IF(Cardiac_Table[[#This Row],[Patient Status at Discharge]]="Died", 1,0)</f>
        <v>0</v>
      </c>
      <c r="V577">
        <f>Cardiac_Table[[#This Row],[Risk of Death % (Model 1)]]/100</f>
        <v>8.4600000000000009E-2</v>
      </c>
      <c r="W577">
        <f>Cardiac_Table[[#This Row],[Risk of Death % (Model 2)]]/100</f>
        <v>1.1599999999999999E-2</v>
      </c>
      <c r="X577" s="18">
        <f>Cardiac_Table[[#This Row],[Procedure Start Date and Time]]-Cardiac_Table[[#This Row],[Hospital Admit Date ]]</f>
        <v>0.75694444444525288</v>
      </c>
    </row>
    <row r="578" spans="1:24" x14ac:dyDescent="0.35">
      <c r="A578">
        <v>585</v>
      </c>
      <c r="B578" s="9">
        <v>44027.326388888891</v>
      </c>
      <c r="C578" s="10">
        <f>INT(Cardiac_Table[[#This Row],[Hospital Admit Date ]])</f>
        <v>44027</v>
      </c>
      <c r="D578" s="11" t="str">
        <f t="shared" ref="D578:D641" si="9">TEXT(B578,"HH:MM")</f>
        <v>07:50</v>
      </c>
      <c r="E578" s="9">
        <v>44029.558333333334</v>
      </c>
      <c r="F578" s="10">
        <f>INT(Cardiac_Table[[#This Row],[Procedure Start Date and Time]])</f>
        <v>44029</v>
      </c>
      <c r="G578" s="12">
        <f>MOD(Cardiac_Table[[#This Row],[Procedure Start Date and Time]],1)</f>
        <v>0.55833333333430346</v>
      </c>
      <c r="H578">
        <v>5</v>
      </c>
      <c r="I578" t="s">
        <v>6</v>
      </c>
      <c r="J578" t="s">
        <v>10</v>
      </c>
      <c r="K578" t="s">
        <v>30</v>
      </c>
      <c r="L578">
        <v>68</v>
      </c>
      <c r="M578">
        <v>4.53</v>
      </c>
      <c r="N578">
        <v>2.2200000000000002</v>
      </c>
      <c r="O578" t="s">
        <v>15</v>
      </c>
      <c r="P578">
        <v>75</v>
      </c>
      <c r="Q578">
        <v>171</v>
      </c>
      <c r="R578">
        <v>74</v>
      </c>
      <c r="S578">
        <v>40</v>
      </c>
      <c r="T578" t="s">
        <v>50</v>
      </c>
      <c r="U578">
        <f>IF(Cardiac_Table[[#This Row],[Patient Status at Discharge]]="Died", 1,0)</f>
        <v>0</v>
      </c>
      <c r="V578">
        <f>Cardiac_Table[[#This Row],[Risk of Death % (Model 1)]]/100</f>
        <v>4.53E-2</v>
      </c>
      <c r="W578">
        <f>Cardiac_Table[[#This Row],[Risk of Death % (Model 2)]]/100</f>
        <v>2.2200000000000001E-2</v>
      </c>
      <c r="X578" s="18">
        <f>Cardiac_Table[[#This Row],[Procedure Start Date and Time]]-Cardiac_Table[[#This Row],[Hospital Admit Date ]]</f>
        <v>2.2319444444437977</v>
      </c>
    </row>
    <row r="579" spans="1:24" x14ac:dyDescent="0.35">
      <c r="A579">
        <v>586</v>
      </c>
      <c r="B579" s="9">
        <v>44029.291666666664</v>
      </c>
      <c r="C579" s="10">
        <f>INT(Cardiac_Table[[#This Row],[Hospital Admit Date ]])</f>
        <v>44029</v>
      </c>
      <c r="D579" s="11" t="str">
        <f t="shared" si="9"/>
        <v>07:00</v>
      </c>
      <c r="E579" s="9">
        <v>44029.5625</v>
      </c>
      <c r="F579" s="10">
        <f>INT(Cardiac_Table[[#This Row],[Procedure Start Date and Time]])</f>
        <v>44029</v>
      </c>
      <c r="G579" s="12">
        <f>MOD(Cardiac_Table[[#This Row],[Procedure Start Date and Time]],1)</f>
        <v>0.5625</v>
      </c>
      <c r="H579">
        <v>4</v>
      </c>
      <c r="I579" t="s">
        <v>4</v>
      </c>
      <c r="J579" t="s">
        <v>3</v>
      </c>
      <c r="K579" t="s">
        <v>35</v>
      </c>
      <c r="L579">
        <v>82</v>
      </c>
      <c r="M579">
        <v>6.61</v>
      </c>
      <c r="N579">
        <v>1.6</v>
      </c>
      <c r="O579" t="s">
        <v>15</v>
      </c>
      <c r="P579">
        <v>91</v>
      </c>
      <c r="Q579">
        <v>162</v>
      </c>
      <c r="R579">
        <v>81</v>
      </c>
      <c r="S579">
        <v>70</v>
      </c>
      <c r="T579" t="s">
        <v>48</v>
      </c>
      <c r="U579">
        <f>IF(Cardiac_Table[[#This Row],[Patient Status at Discharge]]="Died", 1,0)</f>
        <v>0</v>
      </c>
      <c r="V579">
        <f>Cardiac_Table[[#This Row],[Risk of Death % (Model 1)]]/100</f>
        <v>6.6100000000000006E-2</v>
      </c>
      <c r="W579">
        <f>Cardiac_Table[[#This Row],[Risk of Death % (Model 2)]]/100</f>
        <v>1.6E-2</v>
      </c>
      <c r="X579" s="18">
        <f>Cardiac_Table[[#This Row],[Procedure Start Date and Time]]-Cardiac_Table[[#This Row],[Hospital Admit Date ]]</f>
        <v>0.27083333333575865</v>
      </c>
    </row>
    <row r="580" spans="1:24" x14ac:dyDescent="0.35">
      <c r="A580">
        <v>587</v>
      </c>
      <c r="B580" s="9">
        <v>44029.666666666664</v>
      </c>
      <c r="C580" s="10">
        <f>INT(Cardiac_Table[[#This Row],[Hospital Admit Date ]])</f>
        <v>44029</v>
      </c>
      <c r="D580" s="11" t="str">
        <f t="shared" si="9"/>
        <v>16:00</v>
      </c>
      <c r="E580" s="9">
        <v>44030.336805555555</v>
      </c>
      <c r="F580" s="10">
        <f>INT(Cardiac_Table[[#This Row],[Procedure Start Date and Time]])</f>
        <v>44030</v>
      </c>
      <c r="G580" s="12">
        <f>MOD(Cardiac_Table[[#This Row],[Procedure Start Date and Time]],1)</f>
        <v>0.33680555555474712</v>
      </c>
      <c r="H580">
        <v>5</v>
      </c>
      <c r="I580" t="s">
        <v>4</v>
      </c>
      <c r="J580" t="s">
        <v>3</v>
      </c>
      <c r="K580" t="s">
        <v>21</v>
      </c>
      <c r="L580">
        <v>66</v>
      </c>
      <c r="M580">
        <v>6.13</v>
      </c>
      <c r="N580">
        <v>1.88</v>
      </c>
      <c r="O580" t="s">
        <v>15</v>
      </c>
      <c r="P580">
        <v>63</v>
      </c>
      <c r="Q580">
        <v>183</v>
      </c>
      <c r="R580">
        <v>102</v>
      </c>
      <c r="S580">
        <v>45</v>
      </c>
      <c r="T580" t="s">
        <v>50</v>
      </c>
      <c r="U580">
        <f>IF(Cardiac_Table[[#This Row],[Patient Status at Discharge]]="Died", 1,0)</f>
        <v>0</v>
      </c>
      <c r="V580">
        <f>Cardiac_Table[[#This Row],[Risk of Death % (Model 1)]]/100</f>
        <v>6.13E-2</v>
      </c>
      <c r="W580">
        <f>Cardiac_Table[[#This Row],[Risk of Death % (Model 2)]]/100</f>
        <v>1.8799999999999997E-2</v>
      </c>
      <c r="X580" s="18">
        <f>Cardiac_Table[[#This Row],[Procedure Start Date and Time]]-Cardiac_Table[[#This Row],[Hospital Admit Date ]]</f>
        <v>0.67013888889050577</v>
      </c>
    </row>
    <row r="581" spans="1:24" x14ac:dyDescent="0.35">
      <c r="A581">
        <v>588</v>
      </c>
      <c r="B581" s="9">
        <v>44029.604166666664</v>
      </c>
      <c r="C581" s="10">
        <f>INT(Cardiac_Table[[#This Row],[Hospital Admit Date ]])</f>
        <v>44029</v>
      </c>
      <c r="D581" s="11" t="str">
        <f t="shared" si="9"/>
        <v>14:30</v>
      </c>
      <c r="E581" s="9">
        <v>44030.340277777781</v>
      </c>
      <c r="F581" s="10">
        <f>INT(Cardiac_Table[[#This Row],[Procedure Start Date and Time]])</f>
        <v>44030</v>
      </c>
      <c r="G581" s="12">
        <f>MOD(Cardiac_Table[[#This Row],[Procedure Start Date and Time]],1)</f>
        <v>0.34027777778101154</v>
      </c>
      <c r="H581">
        <v>4</v>
      </c>
      <c r="I581" t="s">
        <v>4</v>
      </c>
      <c r="J581" t="s">
        <v>1</v>
      </c>
      <c r="K581" t="s">
        <v>23</v>
      </c>
      <c r="L581">
        <v>48</v>
      </c>
      <c r="M581">
        <v>4.6500000000000004</v>
      </c>
      <c r="N581">
        <v>0.96</v>
      </c>
      <c r="O581" t="s">
        <v>15</v>
      </c>
      <c r="P581">
        <v>63</v>
      </c>
      <c r="Q581">
        <v>169</v>
      </c>
      <c r="R581">
        <v>90</v>
      </c>
      <c r="S581">
        <v>40</v>
      </c>
      <c r="T581" t="s">
        <v>50</v>
      </c>
      <c r="U581">
        <f>IF(Cardiac_Table[[#This Row],[Patient Status at Discharge]]="Died", 1,0)</f>
        <v>0</v>
      </c>
      <c r="V581">
        <f>Cardiac_Table[[#This Row],[Risk of Death % (Model 1)]]/100</f>
        <v>4.6500000000000007E-2</v>
      </c>
      <c r="W581">
        <f>Cardiac_Table[[#This Row],[Risk of Death % (Model 2)]]/100</f>
        <v>9.5999999999999992E-3</v>
      </c>
      <c r="X581" s="18">
        <f>Cardiac_Table[[#This Row],[Procedure Start Date and Time]]-Cardiac_Table[[#This Row],[Hospital Admit Date ]]</f>
        <v>0.73611111111677019</v>
      </c>
    </row>
    <row r="582" spans="1:24" x14ac:dyDescent="0.35">
      <c r="A582">
        <v>589</v>
      </c>
      <c r="B582" s="9">
        <v>44029.586805555555</v>
      </c>
      <c r="C582" s="10">
        <f>INT(Cardiac_Table[[#This Row],[Hospital Admit Date ]])</f>
        <v>44029</v>
      </c>
      <c r="D582" s="11" t="str">
        <f t="shared" si="9"/>
        <v>14:05</v>
      </c>
      <c r="E582" s="9">
        <v>44030.506944444445</v>
      </c>
      <c r="F582" s="10">
        <f>INT(Cardiac_Table[[#This Row],[Procedure Start Date and Time]])</f>
        <v>44030</v>
      </c>
      <c r="G582" s="12">
        <f>MOD(Cardiac_Table[[#This Row],[Procedure Start Date and Time]],1)</f>
        <v>0.50694444444525288</v>
      </c>
      <c r="H582">
        <v>4</v>
      </c>
      <c r="I582" t="s">
        <v>4</v>
      </c>
      <c r="J582" t="s">
        <v>1</v>
      </c>
      <c r="K582" t="s">
        <v>23</v>
      </c>
      <c r="L582">
        <v>59</v>
      </c>
      <c r="M582">
        <v>4.6500000000000004</v>
      </c>
      <c r="N582">
        <v>0.96</v>
      </c>
      <c r="O582" t="s">
        <v>15</v>
      </c>
      <c r="P582">
        <v>153</v>
      </c>
      <c r="Q582">
        <v>172</v>
      </c>
      <c r="R582">
        <v>70</v>
      </c>
      <c r="S582">
        <v>50</v>
      </c>
      <c r="T582" t="s">
        <v>50</v>
      </c>
      <c r="U582">
        <f>IF(Cardiac_Table[[#This Row],[Patient Status at Discharge]]="Died", 1,0)</f>
        <v>0</v>
      </c>
      <c r="V582">
        <f>Cardiac_Table[[#This Row],[Risk of Death % (Model 1)]]/100</f>
        <v>4.6500000000000007E-2</v>
      </c>
      <c r="W582">
        <f>Cardiac_Table[[#This Row],[Risk of Death % (Model 2)]]/100</f>
        <v>9.5999999999999992E-3</v>
      </c>
      <c r="X582" s="18">
        <f>Cardiac_Table[[#This Row],[Procedure Start Date and Time]]-Cardiac_Table[[#This Row],[Hospital Admit Date ]]</f>
        <v>0.92013888889050577</v>
      </c>
    </row>
    <row r="583" spans="1:24" x14ac:dyDescent="0.35">
      <c r="A583">
        <v>590</v>
      </c>
      <c r="B583" s="9">
        <v>44030.369444444441</v>
      </c>
      <c r="C583" s="10">
        <f>INT(Cardiac_Table[[#This Row],[Hospital Admit Date ]])</f>
        <v>44030</v>
      </c>
      <c r="D583" s="11" t="str">
        <f t="shared" si="9"/>
        <v>08:52</v>
      </c>
      <c r="E583" s="9">
        <v>44030.538888888892</v>
      </c>
      <c r="F583" s="10">
        <f>INT(Cardiac_Table[[#This Row],[Procedure Start Date and Time]])</f>
        <v>44030</v>
      </c>
      <c r="G583" s="12">
        <f>MOD(Cardiac_Table[[#This Row],[Procedure Start Date and Time]],1)</f>
        <v>0.53888888889196096</v>
      </c>
      <c r="H583">
        <v>5</v>
      </c>
      <c r="I583" t="s">
        <v>4</v>
      </c>
      <c r="J583" t="s">
        <v>10</v>
      </c>
      <c r="K583" t="s">
        <v>21</v>
      </c>
      <c r="L583">
        <v>73</v>
      </c>
      <c r="M583">
        <v>6.21</v>
      </c>
      <c r="N583">
        <v>2.52</v>
      </c>
      <c r="O583" t="s">
        <v>15</v>
      </c>
      <c r="P583">
        <v>83</v>
      </c>
      <c r="Q583">
        <v>172</v>
      </c>
      <c r="R583">
        <v>94</v>
      </c>
      <c r="S583">
        <v>45</v>
      </c>
      <c r="T583" t="s">
        <v>50</v>
      </c>
      <c r="U583">
        <f>IF(Cardiac_Table[[#This Row],[Patient Status at Discharge]]="Died", 1,0)</f>
        <v>0</v>
      </c>
      <c r="V583">
        <f>Cardiac_Table[[#This Row],[Risk of Death % (Model 1)]]/100</f>
        <v>6.2100000000000002E-2</v>
      </c>
      <c r="W583">
        <f>Cardiac_Table[[#This Row],[Risk of Death % (Model 2)]]/100</f>
        <v>2.52E-2</v>
      </c>
      <c r="X583" s="18">
        <f>Cardiac_Table[[#This Row],[Procedure Start Date and Time]]-Cardiac_Table[[#This Row],[Hospital Admit Date ]]</f>
        <v>0.16944444445107365</v>
      </c>
    </row>
    <row r="584" spans="1:24" x14ac:dyDescent="0.35">
      <c r="A584">
        <v>591</v>
      </c>
      <c r="B584" s="9">
        <v>44029.754166666666</v>
      </c>
      <c r="C584" s="10">
        <f>INT(Cardiac_Table[[#This Row],[Hospital Admit Date ]])</f>
        <v>44029</v>
      </c>
      <c r="D584" s="11" t="str">
        <f t="shared" si="9"/>
        <v>18:06</v>
      </c>
      <c r="E584" s="9">
        <v>44031.345138888886</v>
      </c>
      <c r="F584" s="10">
        <f>INT(Cardiac_Table[[#This Row],[Procedure Start Date and Time]])</f>
        <v>44031</v>
      </c>
      <c r="G584" s="12">
        <f>MOD(Cardiac_Table[[#This Row],[Procedure Start Date and Time]],1)</f>
        <v>0.34513888888614019</v>
      </c>
      <c r="H584">
        <v>5</v>
      </c>
      <c r="I584" t="s">
        <v>2</v>
      </c>
      <c r="J584" t="s">
        <v>1</v>
      </c>
      <c r="K584" t="s">
        <v>23</v>
      </c>
      <c r="L584">
        <v>68</v>
      </c>
      <c r="M584">
        <v>48.75</v>
      </c>
      <c r="N584">
        <v>11.4</v>
      </c>
      <c r="O584" t="s">
        <v>13</v>
      </c>
      <c r="P584">
        <v>73</v>
      </c>
      <c r="Q584">
        <v>163</v>
      </c>
      <c r="R584">
        <v>41</v>
      </c>
      <c r="S584">
        <v>26</v>
      </c>
      <c r="T584" t="s">
        <v>49</v>
      </c>
      <c r="U584">
        <f>IF(Cardiac_Table[[#This Row],[Patient Status at Discharge]]="Died", 1,0)</f>
        <v>1</v>
      </c>
      <c r="V584">
        <f>Cardiac_Table[[#This Row],[Risk of Death % (Model 1)]]/100</f>
        <v>0.48749999999999999</v>
      </c>
      <c r="W584">
        <f>Cardiac_Table[[#This Row],[Risk of Death % (Model 2)]]/100</f>
        <v>0.114</v>
      </c>
      <c r="X584" s="18">
        <f>Cardiac_Table[[#This Row],[Procedure Start Date and Time]]-Cardiac_Table[[#This Row],[Hospital Admit Date ]]</f>
        <v>1.5909722222204437</v>
      </c>
    </row>
    <row r="585" spans="1:24" x14ac:dyDescent="0.35">
      <c r="A585">
        <v>592</v>
      </c>
      <c r="B585" s="9">
        <v>44028.625</v>
      </c>
      <c r="C585" s="10">
        <f>INT(Cardiac_Table[[#This Row],[Hospital Admit Date ]])</f>
        <v>44028</v>
      </c>
      <c r="D585" s="11" t="str">
        <f t="shared" si="9"/>
        <v>15:00</v>
      </c>
      <c r="E585" s="9">
        <v>44032.325694444444</v>
      </c>
      <c r="F585" s="10">
        <f>INT(Cardiac_Table[[#This Row],[Procedure Start Date and Time]])</f>
        <v>44032</v>
      </c>
      <c r="G585" s="12">
        <f>MOD(Cardiac_Table[[#This Row],[Procedure Start Date and Time]],1)</f>
        <v>0.32569444444379769</v>
      </c>
      <c r="H585">
        <v>5</v>
      </c>
      <c r="I585" t="s">
        <v>6</v>
      </c>
      <c r="J585" t="s">
        <v>10</v>
      </c>
      <c r="K585" t="s">
        <v>32</v>
      </c>
      <c r="L585">
        <v>56</v>
      </c>
      <c r="M585">
        <v>2.2799999999999998</v>
      </c>
      <c r="N585">
        <v>2.36</v>
      </c>
      <c r="O585" t="s">
        <v>15</v>
      </c>
      <c r="P585">
        <v>65</v>
      </c>
      <c r="Q585">
        <v>168</v>
      </c>
      <c r="R585">
        <v>80</v>
      </c>
      <c r="S585">
        <v>65</v>
      </c>
      <c r="T585" t="s">
        <v>48</v>
      </c>
      <c r="U585">
        <f>IF(Cardiac_Table[[#This Row],[Patient Status at Discharge]]="Died", 1,0)</f>
        <v>0</v>
      </c>
      <c r="V585">
        <f>Cardiac_Table[[#This Row],[Risk of Death % (Model 1)]]/100</f>
        <v>2.2799999999999997E-2</v>
      </c>
      <c r="W585">
        <f>Cardiac_Table[[#This Row],[Risk of Death % (Model 2)]]/100</f>
        <v>2.3599999999999999E-2</v>
      </c>
      <c r="X585" s="18">
        <f>Cardiac_Table[[#This Row],[Procedure Start Date and Time]]-Cardiac_Table[[#This Row],[Hospital Admit Date ]]</f>
        <v>3.7006944444437977</v>
      </c>
    </row>
    <row r="586" spans="1:24" x14ac:dyDescent="0.35">
      <c r="A586">
        <v>593</v>
      </c>
      <c r="B586" s="9">
        <v>44019.611805555556</v>
      </c>
      <c r="C586" s="10">
        <f>INT(Cardiac_Table[[#This Row],[Hospital Admit Date ]])</f>
        <v>44019</v>
      </c>
      <c r="D586" s="11" t="str">
        <f t="shared" si="9"/>
        <v>14:41</v>
      </c>
      <c r="E586" s="9">
        <v>44032.340277777781</v>
      </c>
      <c r="F586" s="10">
        <f>INT(Cardiac_Table[[#This Row],[Procedure Start Date and Time]])</f>
        <v>44032</v>
      </c>
      <c r="G586" s="12">
        <f>MOD(Cardiac_Table[[#This Row],[Procedure Start Date and Time]],1)</f>
        <v>0.34027777778101154</v>
      </c>
      <c r="H586">
        <v>6</v>
      </c>
      <c r="I586" t="s">
        <v>6</v>
      </c>
      <c r="J586" t="s">
        <v>10</v>
      </c>
      <c r="K586" t="s">
        <v>33</v>
      </c>
      <c r="L586">
        <v>72</v>
      </c>
      <c r="M586">
        <v>5.26</v>
      </c>
      <c r="N586">
        <v>2.68</v>
      </c>
      <c r="O586" t="s">
        <v>15</v>
      </c>
      <c r="P586">
        <v>85</v>
      </c>
      <c r="Q586">
        <v>177</v>
      </c>
      <c r="R586">
        <v>76</v>
      </c>
      <c r="S586">
        <v>70</v>
      </c>
      <c r="T586" t="s">
        <v>48</v>
      </c>
      <c r="U586">
        <f>IF(Cardiac_Table[[#This Row],[Patient Status at Discharge]]="Died", 1,0)</f>
        <v>0</v>
      </c>
      <c r="V586">
        <f>Cardiac_Table[[#This Row],[Risk of Death % (Model 1)]]/100</f>
        <v>5.2600000000000001E-2</v>
      </c>
      <c r="W586">
        <f>Cardiac_Table[[#This Row],[Risk of Death % (Model 2)]]/100</f>
        <v>2.6800000000000001E-2</v>
      </c>
      <c r="X586" s="18">
        <f>Cardiac_Table[[#This Row],[Procedure Start Date and Time]]-Cardiac_Table[[#This Row],[Hospital Admit Date ]]</f>
        <v>12.728472222224809</v>
      </c>
    </row>
    <row r="587" spans="1:24" x14ac:dyDescent="0.35">
      <c r="A587">
        <v>594</v>
      </c>
      <c r="B587" s="9">
        <v>44031.666666666664</v>
      </c>
      <c r="C587" s="10">
        <f>INT(Cardiac_Table[[#This Row],[Hospital Admit Date ]])</f>
        <v>44031</v>
      </c>
      <c r="D587" s="11" t="str">
        <f t="shared" si="9"/>
        <v>16:00</v>
      </c>
      <c r="E587" s="9">
        <v>44032.343055555553</v>
      </c>
      <c r="F587" s="10">
        <f>INT(Cardiac_Table[[#This Row],[Procedure Start Date and Time]])</f>
        <v>44032</v>
      </c>
      <c r="G587" s="12">
        <f>MOD(Cardiac_Table[[#This Row],[Procedure Start Date and Time]],1)</f>
        <v>0.34305555555329192</v>
      </c>
      <c r="H587">
        <v>3</v>
      </c>
      <c r="I587" t="s">
        <v>4</v>
      </c>
      <c r="J587" t="s">
        <v>10</v>
      </c>
      <c r="K587" t="s">
        <v>29</v>
      </c>
      <c r="L587">
        <v>75</v>
      </c>
      <c r="M587">
        <v>4.0599999999999996</v>
      </c>
      <c r="N587">
        <v>1.39</v>
      </c>
      <c r="O587" t="s">
        <v>15</v>
      </c>
      <c r="P587">
        <v>69</v>
      </c>
      <c r="Q587">
        <v>165</v>
      </c>
      <c r="R587">
        <v>92</v>
      </c>
      <c r="S587">
        <v>56</v>
      </c>
      <c r="T587" t="s">
        <v>48</v>
      </c>
      <c r="U587">
        <f>IF(Cardiac_Table[[#This Row],[Patient Status at Discharge]]="Died", 1,0)</f>
        <v>0</v>
      </c>
      <c r="V587">
        <f>Cardiac_Table[[#This Row],[Risk of Death % (Model 1)]]/100</f>
        <v>4.0599999999999997E-2</v>
      </c>
      <c r="W587">
        <f>Cardiac_Table[[#This Row],[Risk of Death % (Model 2)]]/100</f>
        <v>1.3899999999999999E-2</v>
      </c>
      <c r="X587" s="18">
        <f>Cardiac_Table[[#This Row],[Procedure Start Date and Time]]-Cardiac_Table[[#This Row],[Hospital Admit Date ]]</f>
        <v>0.67638888888905058</v>
      </c>
    </row>
    <row r="588" spans="1:24" x14ac:dyDescent="0.35">
      <c r="A588">
        <v>595</v>
      </c>
      <c r="B588" s="9">
        <v>44031.583333333336</v>
      </c>
      <c r="C588" s="10">
        <f>INT(Cardiac_Table[[#This Row],[Hospital Admit Date ]])</f>
        <v>44031</v>
      </c>
      <c r="D588" s="11" t="str">
        <f t="shared" si="9"/>
        <v>14:00</v>
      </c>
      <c r="E588" s="9">
        <v>44032.347222222219</v>
      </c>
      <c r="F588" s="10">
        <f>INT(Cardiac_Table[[#This Row],[Procedure Start Date and Time]])</f>
        <v>44032</v>
      </c>
      <c r="G588" s="12">
        <f>MOD(Cardiac_Table[[#This Row],[Procedure Start Date and Time]],1)</f>
        <v>0.34722222221898846</v>
      </c>
      <c r="H588">
        <v>4</v>
      </c>
      <c r="I588" t="s">
        <v>4</v>
      </c>
      <c r="J588" t="s">
        <v>1</v>
      </c>
      <c r="K588" t="s">
        <v>23</v>
      </c>
      <c r="L588">
        <v>76</v>
      </c>
      <c r="M588">
        <v>13.14</v>
      </c>
      <c r="N588">
        <v>2.0299999999999998</v>
      </c>
      <c r="O588" t="s">
        <v>15</v>
      </c>
      <c r="P588">
        <v>94</v>
      </c>
      <c r="Q588">
        <v>173</v>
      </c>
      <c r="R588">
        <v>75</v>
      </c>
      <c r="S588">
        <v>44</v>
      </c>
      <c r="T588" t="s">
        <v>50</v>
      </c>
      <c r="U588">
        <f>IF(Cardiac_Table[[#This Row],[Patient Status at Discharge]]="Died", 1,0)</f>
        <v>0</v>
      </c>
      <c r="V588">
        <f>Cardiac_Table[[#This Row],[Risk of Death % (Model 1)]]/100</f>
        <v>0.13140000000000002</v>
      </c>
      <c r="W588">
        <f>Cardiac_Table[[#This Row],[Risk of Death % (Model 2)]]/100</f>
        <v>2.0299999999999999E-2</v>
      </c>
      <c r="X588" s="18">
        <f>Cardiac_Table[[#This Row],[Procedure Start Date and Time]]-Cardiac_Table[[#This Row],[Hospital Admit Date ]]</f>
        <v>0.76388888888322981</v>
      </c>
    </row>
    <row r="589" spans="1:24" x14ac:dyDescent="0.35">
      <c r="A589">
        <v>596</v>
      </c>
      <c r="B589" s="9">
        <v>44032.291666666664</v>
      </c>
      <c r="C589" s="10">
        <f>INT(Cardiac_Table[[#This Row],[Hospital Admit Date ]])</f>
        <v>44032</v>
      </c>
      <c r="D589" s="11" t="str">
        <f t="shared" si="9"/>
        <v>07:00</v>
      </c>
      <c r="E589" s="9">
        <v>44032.519444444442</v>
      </c>
      <c r="F589" s="10">
        <f>INT(Cardiac_Table[[#This Row],[Procedure Start Date and Time]])</f>
        <v>44032</v>
      </c>
      <c r="G589" s="12">
        <f>MOD(Cardiac_Table[[#This Row],[Procedure Start Date and Time]],1)</f>
        <v>0.5194444444423425</v>
      </c>
      <c r="H589">
        <v>5</v>
      </c>
      <c r="I589" t="s">
        <v>4</v>
      </c>
      <c r="J589" t="s">
        <v>11</v>
      </c>
      <c r="K589" t="s">
        <v>32</v>
      </c>
      <c r="L589">
        <v>77</v>
      </c>
      <c r="M589">
        <v>6.59</v>
      </c>
      <c r="N589">
        <v>3.3</v>
      </c>
      <c r="O589" t="s">
        <v>15</v>
      </c>
      <c r="P589">
        <v>74</v>
      </c>
      <c r="Q589">
        <v>153</v>
      </c>
      <c r="R589">
        <v>62</v>
      </c>
      <c r="S589">
        <v>20</v>
      </c>
      <c r="T589" t="s">
        <v>51</v>
      </c>
      <c r="U589">
        <f>IF(Cardiac_Table[[#This Row],[Patient Status at Discharge]]="Died", 1,0)</f>
        <v>0</v>
      </c>
      <c r="V589">
        <f>Cardiac_Table[[#This Row],[Risk of Death % (Model 1)]]/100</f>
        <v>6.59E-2</v>
      </c>
      <c r="W589">
        <f>Cardiac_Table[[#This Row],[Risk of Death % (Model 2)]]/100</f>
        <v>3.3000000000000002E-2</v>
      </c>
      <c r="X589" s="18">
        <f>Cardiac_Table[[#This Row],[Procedure Start Date and Time]]-Cardiac_Table[[#This Row],[Hospital Admit Date ]]</f>
        <v>0.22777777777810115</v>
      </c>
    </row>
    <row r="590" spans="1:24" x14ac:dyDescent="0.35">
      <c r="A590">
        <v>597</v>
      </c>
      <c r="B590" s="9">
        <v>44032.300694444442</v>
      </c>
      <c r="C590" s="10">
        <f>INT(Cardiac_Table[[#This Row],[Hospital Admit Date ]])</f>
        <v>44032</v>
      </c>
      <c r="D590" s="11" t="str">
        <f t="shared" si="9"/>
        <v>07:13</v>
      </c>
      <c r="E590" s="9">
        <v>44032.558333333334</v>
      </c>
      <c r="F590" s="10">
        <f>INT(Cardiac_Table[[#This Row],[Procedure Start Date and Time]])</f>
        <v>44032</v>
      </c>
      <c r="G590" s="12">
        <f>MOD(Cardiac_Table[[#This Row],[Procedure Start Date and Time]],1)</f>
        <v>0.55833333333430346</v>
      </c>
      <c r="H590">
        <v>3</v>
      </c>
      <c r="I590" t="s">
        <v>4</v>
      </c>
      <c r="J590" t="s">
        <v>11</v>
      </c>
      <c r="K590" t="s">
        <v>29</v>
      </c>
      <c r="L590">
        <v>85</v>
      </c>
      <c r="M590">
        <v>18.809999999999999</v>
      </c>
      <c r="N590">
        <v>13.04</v>
      </c>
      <c r="O590" t="s">
        <v>15</v>
      </c>
      <c r="P590">
        <v>76</v>
      </c>
      <c r="Q590">
        <v>175</v>
      </c>
      <c r="R590">
        <v>75</v>
      </c>
      <c r="S590">
        <v>55</v>
      </c>
      <c r="T590" t="s">
        <v>48</v>
      </c>
      <c r="U590">
        <f>IF(Cardiac_Table[[#This Row],[Patient Status at Discharge]]="Died", 1,0)</f>
        <v>0</v>
      </c>
      <c r="V590">
        <f>Cardiac_Table[[#This Row],[Risk of Death % (Model 1)]]/100</f>
        <v>0.18809999999999999</v>
      </c>
      <c r="W590">
        <f>Cardiac_Table[[#This Row],[Risk of Death % (Model 2)]]/100</f>
        <v>0.13039999999999999</v>
      </c>
      <c r="X590" s="18">
        <f>Cardiac_Table[[#This Row],[Procedure Start Date and Time]]-Cardiac_Table[[#This Row],[Hospital Admit Date ]]</f>
        <v>0.25763888889196096</v>
      </c>
    </row>
    <row r="591" spans="1:24" x14ac:dyDescent="0.35">
      <c r="A591">
        <v>598</v>
      </c>
      <c r="B591" s="9">
        <v>44032.299305555556</v>
      </c>
      <c r="C591" s="10">
        <f>INT(Cardiac_Table[[#This Row],[Hospital Admit Date ]])</f>
        <v>44032</v>
      </c>
      <c r="D591" s="11" t="str">
        <f t="shared" si="9"/>
        <v>07:11</v>
      </c>
      <c r="E591" s="9">
        <v>44032.579861111109</v>
      </c>
      <c r="F591" s="10">
        <f>INT(Cardiac_Table[[#This Row],[Procedure Start Date and Time]])</f>
        <v>44032</v>
      </c>
      <c r="G591" s="12">
        <f>MOD(Cardiac_Table[[#This Row],[Procedure Start Date and Time]],1)</f>
        <v>0.57986111110949423</v>
      </c>
      <c r="H591">
        <v>6</v>
      </c>
      <c r="I591" t="s">
        <v>4</v>
      </c>
      <c r="J591" t="s">
        <v>11</v>
      </c>
      <c r="K591" t="s">
        <v>33</v>
      </c>
      <c r="L591">
        <v>56</v>
      </c>
      <c r="M591">
        <v>1.51</v>
      </c>
      <c r="N591">
        <v>0.86</v>
      </c>
      <c r="O591" t="s">
        <v>15</v>
      </c>
      <c r="P591">
        <v>85</v>
      </c>
      <c r="Q591">
        <v>159</v>
      </c>
      <c r="R591">
        <v>107</v>
      </c>
      <c r="S591">
        <v>60</v>
      </c>
      <c r="T591" t="s">
        <v>48</v>
      </c>
      <c r="U591">
        <f>IF(Cardiac_Table[[#This Row],[Patient Status at Discharge]]="Died", 1,0)</f>
        <v>0</v>
      </c>
      <c r="V591">
        <f>Cardiac_Table[[#This Row],[Risk of Death % (Model 1)]]/100</f>
        <v>1.5100000000000001E-2</v>
      </c>
      <c r="W591">
        <f>Cardiac_Table[[#This Row],[Risk of Death % (Model 2)]]/100</f>
        <v>8.6E-3</v>
      </c>
      <c r="X591" s="18">
        <f>Cardiac_Table[[#This Row],[Procedure Start Date and Time]]-Cardiac_Table[[#This Row],[Hospital Admit Date ]]</f>
        <v>0.28055555555329192</v>
      </c>
    </row>
    <row r="592" spans="1:24" x14ac:dyDescent="0.35">
      <c r="A592">
        <v>599</v>
      </c>
      <c r="B592" s="9">
        <v>44032.661111111112</v>
      </c>
      <c r="C592" s="10">
        <f>INT(Cardiac_Table[[#This Row],[Hospital Admit Date ]])</f>
        <v>44032</v>
      </c>
      <c r="D592" s="11" t="str">
        <f t="shared" si="9"/>
        <v>15:52</v>
      </c>
      <c r="E592" s="9">
        <v>44033.333333333336</v>
      </c>
      <c r="F592" s="10">
        <f>INT(Cardiac_Table[[#This Row],[Procedure Start Date and Time]])</f>
        <v>44033</v>
      </c>
      <c r="G592" s="12">
        <f>MOD(Cardiac_Table[[#This Row],[Procedure Start Date and Time]],1)</f>
        <v>0.33333333333575865</v>
      </c>
      <c r="H592">
        <v>5</v>
      </c>
      <c r="I592" t="s">
        <v>4</v>
      </c>
      <c r="J592" t="s">
        <v>3</v>
      </c>
      <c r="K592" t="s">
        <v>35</v>
      </c>
      <c r="L592">
        <v>81</v>
      </c>
      <c r="M592">
        <v>8.44</v>
      </c>
      <c r="N592">
        <v>2.13</v>
      </c>
      <c r="O592" t="s">
        <v>15</v>
      </c>
      <c r="P592">
        <v>68</v>
      </c>
      <c r="Q592">
        <v>163</v>
      </c>
      <c r="R592">
        <v>57</v>
      </c>
      <c r="S592">
        <v>63</v>
      </c>
      <c r="T592" t="s">
        <v>48</v>
      </c>
      <c r="U592">
        <f>IF(Cardiac_Table[[#This Row],[Patient Status at Discharge]]="Died", 1,0)</f>
        <v>0</v>
      </c>
      <c r="V592">
        <f>Cardiac_Table[[#This Row],[Risk of Death % (Model 1)]]/100</f>
        <v>8.4399999999999989E-2</v>
      </c>
      <c r="W592">
        <f>Cardiac_Table[[#This Row],[Risk of Death % (Model 2)]]/100</f>
        <v>2.1299999999999999E-2</v>
      </c>
      <c r="X592" s="18">
        <f>Cardiac_Table[[#This Row],[Procedure Start Date and Time]]-Cardiac_Table[[#This Row],[Hospital Admit Date ]]</f>
        <v>0.67222222222335404</v>
      </c>
    </row>
    <row r="593" spans="1:24" x14ac:dyDescent="0.35">
      <c r="A593">
        <v>600</v>
      </c>
      <c r="B593" s="9">
        <v>44022.905555555553</v>
      </c>
      <c r="C593" s="10">
        <f>INT(Cardiac_Table[[#This Row],[Hospital Admit Date ]])</f>
        <v>44022</v>
      </c>
      <c r="D593" s="11" t="str">
        <f t="shared" si="9"/>
        <v>21:44</v>
      </c>
      <c r="E593" s="9">
        <v>44033.336111111108</v>
      </c>
      <c r="F593" s="10">
        <f>INT(Cardiac_Table[[#This Row],[Procedure Start Date and Time]])</f>
        <v>44033</v>
      </c>
      <c r="G593" s="12">
        <f>MOD(Cardiac_Table[[#This Row],[Procedure Start Date and Time]],1)</f>
        <v>0.33611111110803904</v>
      </c>
      <c r="H593">
        <v>3</v>
      </c>
      <c r="I593" t="s">
        <v>6</v>
      </c>
      <c r="J593" t="s">
        <v>10</v>
      </c>
      <c r="K593" t="s">
        <v>31</v>
      </c>
      <c r="L593">
        <v>75</v>
      </c>
      <c r="M593">
        <v>9.99</v>
      </c>
      <c r="N593">
        <v>5.1100000000000003</v>
      </c>
      <c r="O593" t="s">
        <v>15</v>
      </c>
      <c r="P593">
        <v>86</v>
      </c>
      <c r="Q593">
        <v>160</v>
      </c>
      <c r="R593">
        <v>51</v>
      </c>
      <c r="S593">
        <v>60</v>
      </c>
      <c r="T593" t="s">
        <v>48</v>
      </c>
      <c r="U593">
        <f>IF(Cardiac_Table[[#This Row],[Patient Status at Discharge]]="Died", 1,0)</f>
        <v>0</v>
      </c>
      <c r="V593">
        <f>Cardiac_Table[[#This Row],[Risk of Death % (Model 1)]]/100</f>
        <v>9.9900000000000003E-2</v>
      </c>
      <c r="W593">
        <f>Cardiac_Table[[#This Row],[Risk of Death % (Model 2)]]/100</f>
        <v>5.1100000000000007E-2</v>
      </c>
      <c r="X593" s="18">
        <f>Cardiac_Table[[#This Row],[Procedure Start Date and Time]]-Cardiac_Table[[#This Row],[Hospital Admit Date ]]</f>
        <v>10.430555555554747</v>
      </c>
    </row>
    <row r="594" spans="1:24" x14ac:dyDescent="0.35">
      <c r="A594">
        <v>601</v>
      </c>
      <c r="B594" s="9">
        <v>44032.666666666664</v>
      </c>
      <c r="C594" s="10">
        <f>INT(Cardiac_Table[[#This Row],[Hospital Admit Date ]])</f>
        <v>44032</v>
      </c>
      <c r="D594" s="11" t="str">
        <f t="shared" si="9"/>
        <v>16:00</v>
      </c>
      <c r="E594" s="9">
        <v>44033.34097222222</v>
      </c>
      <c r="F594" s="10">
        <f>INT(Cardiac_Table[[#This Row],[Procedure Start Date and Time]])</f>
        <v>44033</v>
      </c>
      <c r="G594" s="12">
        <f>MOD(Cardiac_Table[[#This Row],[Procedure Start Date and Time]],1)</f>
        <v>0.34097222222044365</v>
      </c>
      <c r="H594">
        <v>4</v>
      </c>
      <c r="I594" t="s">
        <v>4</v>
      </c>
      <c r="J594" t="s">
        <v>11</v>
      </c>
      <c r="K594" t="s">
        <v>21</v>
      </c>
      <c r="L594">
        <v>81</v>
      </c>
      <c r="M594">
        <v>8.44</v>
      </c>
      <c r="N594">
        <v>4.47</v>
      </c>
      <c r="O594" t="s">
        <v>15</v>
      </c>
      <c r="P594">
        <v>83</v>
      </c>
      <c r="Q594">
        <v>174</v>
      </c>
      <c r="R594">
        <v>85</v>
      </c>
      <c r="S594">
        <v>63</v>
      </c>
      <c r="T594" t="s">
        <v>48</v>
      </c>
      <c r="U594">
        <f>IF(Cardiac_Table[[#This Row],[Patient Status at Discharge]]="Died", 1,0)</f>
        <v>0</v>
      </c>
      <c r="V594">
        <f>Cardiac_Table[[#This Row],[Risk of Death % (Model 1)]]/100</f>
        <v>8.4399999999999989E-2</v>
      </c>
      <c r="W594">
        <f>Cardiac_Table[[#This Row],[Risk of Death % (Model 2)]]/100</f>
        <v>4.4699999999999997E-2</v>
      </c>
      <c r="X594" s="18">
        <f>Cardiac_Table[[#This Row],[Procedure Start Date and Time]]-Cardiac_Table[[#This Row],[Hospital Admit Date ]]</f>
        <v>0.67430555555620231</v>
      </c>
    </row>
    <row r="595" spans="1:24" x14ac:dyDescent="0.35">
      <c r="A595">
        <v>602</v>
      </c>
      <c r="B595" s="9">
        <v>44032.654166666667</v>
      </c>
      <c r="C595" s="10">
        <f>INT(Cardiac_Table[[#This Row],[Hospital Admit Date ]])</f>
        <v>44032</v>
      </c>
      <c r="D595" s="11" t="str">
        <f t="shared" si="9"/>
        <v>15:42</v>
      </c>
      <c r="E595" s="9">
        <v>44033.347222222219</v>
      </c>
      <c r="F595" s="10">
        <f>INT(Cardiac_Table[[#This Row],[Procedure Start Date and Time]])</f>
        <v>44033</v>
      </c>
      <c r="G595" s="12">
        <f>MOD(Cardiac_Table[[#This Row],[Procedure Start Date and Time]],1)</f>
        <v>0.34722222221898846</v>
      </c>
      <c r="H595">
        <v>6</v>
      </c>
      <c r="I595" t="s">
        <v>4</v>
      </c>
      <c r="J595" t="s">
        <v>5</v>
      </c>
      <c r="K595" t="s">
        <v>30</v>
      </c>
      <c r="L595">
        <v>66</v>
      </c>
      <c r="M595">
        <v>3.57</v>
      </c>
      <c r="N595">
        <v>2.34</v>
      </c>
      <c r="O595" t="s">
        <v>15</v>
      </c>
      <c r="P595">
        <v>80</v>
      </c>
      <c r="Q595">
        <v>170</v>
      </c>
      <c r="R595">
        <v>83</v>
      </c>
      <c r="S595">
        <v>60</v>
      </c>
      <c r="T595" t="s">
        <v>48</v>
      </c>
      <c r="U595">
        <f>IF(Cardiac_Table[[#This Row],[Patient Status at Discharge]]="Died", 1,0)</f>
        <v>0</v>
      </c>
      <c r="V595">
        <f>Cardiac_Table[[#This Row],[Risk of Death % (Model 1)]]/100</f>
        <v>3.5699999999999996E-2</v>
      </c>
      <c r="W595">
        <f>Cardiac_Table[[#This Row],[Risk of Death % (Model 2)]]/100</f>
        <v>2.3399999999999997E-2</v>
      </c>
      <c r="X595" s="18">
        <f>Cardiac_Table[[#This Row],[Procedure Start Date and Time]]-Cardiac_Table[[#This Row],[Hospital Admit Date ]]</f>
        <v>0.69305555555183673</v>
      </c>
    </row>
    <row r="596" spans="1:24" x14ac:dyDescent="0.35">
      <c r="A596">
        <v>603</v>
      </c>
      <c r="B596" s="9">
        <v>44030.429166666669</v>
      </c>
      <c r="C596" s="10">
        <f>INT(Cardiac_Table[[#This Row],[Hospital Admit Date ]])</f>
        <v>44030</v>
      </c>
      <c r="D596" s="11" t="str">
        <f t="shared" si="9"/>
        <v>10:18</v>
      </c>
      <c r="E596" s="9">
        <v>44033.548611111109</v>
      </c>
      <c r="F596" s="10">
        <f>INT(Cardiac_Table[[#This Row],[Procedure Start Date and Time]])</f>
        <v>44033</v>
      </c>
      <c r="G596" s="12">
        <f>MOD(Cardiac_Table[[#This Row],[Procedure Start Date and Time]],1)</f>
        <v>0.54861111110949423</v>
      </c>
      <c r="H596">
        <v>6</v>
      </c>
      <c r="I596" t="s">
        <v>4</v>
      </c>
      <c r="J596" t="s">
        <v>10</v>
      </c>
      <c r="K596" t="s">
        <v>30</v>
      </c>
      <c r="L596">
        <v>75</v>
      </c>
      <c r="M596">
        <v>5.18</v>
      </c>
      <c r="N596">
        <v>2.35</v>
      </c>
      <c r="O596" t="s">
        <v>15</v>
      </c>
      <c r="P596">
        <v>75</v>
      </c>
      <c r="Q596">
        <v>169</v>
      </c>
      <c r="R596">
        <v>80</v>
      </c>
      <c r="S596">
        <v>55</v>
      </c>
      <c r="T596" t="s">
        <v>48</v>
      </c>
      <c r="U596">
        <f>IF(Cardiac_Table[[#This Row],[Patient Status at Discharge]]="Died", 1,0)</f>
        <v>0</v>
      </c>
      <c r="V596">
        <f>Cardiac_Table[[#This Row],[Risk of Death % (Model 1)]]/100</f>
        <v>5.1799999999999999E-2</v>
      </c>
      <c r="W596">
        <f>Cardiac_Table[[#This Row],[Risk of Death % (Model 2)]]/100</f>
        <v>2.35E-2</v>
      </c>
      <c r="X596" s="18">
        <f>Cardiac_Table[[#This Row],[Procedure Start Date and Time]]-Cardiac_Table[[#This Row],[Hospital Admit Date ]]</f>
        <v>3.1194444444408873</v>
      </c>
    </row>
    <row r="597" spans="1:24" x14ac:dyDescent="0.35">
      <c r="A597">
        <v>604</v>
      </c>
      <c r="B597" s="9">
        <v>44033.297222222223</v>
      </c>
      <c r="C597" s="10">
        <f>INT(Cardiac_Table[[#This Row],[Hospital Admit Date ]])</f>
        <v>44033</v>
      </c>
      <c r="D597" s="11" t="str">
        <f t="shared" si="9"/>
        <v>07:08</v>
      </c>
      <c r="E597" s="9">
        <v>44033.552083333336</v>
      </c>
      <c r="F597" s="10">
        <f>INT(Cardiac_Table[[#This Row],[Procedure Start Date and Time]])</f>
        <v>44033</v>
      </c>
      <c r="G597" s="12">
        <f>MOD(Cardiac_Table[[#This Row],[Procedure Start Date and Time]],1)</f>
        <v>0.55208333333575865</v>
      </c>
      <c r="H597">
        <v>3</v>
      </c>
      <c r="I597" t="s">
        <v>4</v>
      </c>
      <c r="J597" t="s">
        <v>10</v>
      </c>
      <c r="K597" t="s">
        <v>31</v>
      </c>
      <c r="L597">
        <v>69</v>
      </c>
      <c r="M597">
        <v>1.7</v>
      </c>
      <c r="N597">
        <v>0.72</v>
      </c>
      <c r="O597" t="s">
        <v>15</v>
      </c>
      <c r="P597">
        <v>71</v>
      </c>
      <c r="Q597">
        <v>177</v>
      </c>
      <c r="R597">
        <v>95</v>
      </c>
      <c r="S597">
        <v>20</v>
      </c>
      <c r="T597" t="s">
        <v>51</v>
      </c>
      <c r="U597">
        <f>IF(Cardiac_Table[[#This Row],[Patient Status at Discharge]]="Died", 1,0)</f>
        <v>0</v>
      </c>
      <c r="V597">
        <f>Cardiac_Table[[#This Row],[Risk of Death % (Model 1)]]/100</f>
        <v>1.7000000000000001E-2</v>
      </c>
      <c r="W597">
        <f>Cardiac_Table[[#This Row],[Risk of Death % (Model 2)]]/100</f>
        <v>7.1999999999999998E-3</v>
      </c>
      <c r="X597" s="18">
        <f>Cardiac_Table[[#This Row],[Procedure Start Date and Time]]-Cardiac_Table[[#This Row],[Hospital Admit Date ]]</f>
        <v>0.25486111111240461</v>
      </c>
    </row>
    <row r="598" spans="1:24" x14ac:dyDescent="0.35">
      <c r="A598">
        <v>605</v>
      </c>
      <c r="B598" s="9">
        <v>44033.304861111108</v>
      </c>
      <c r="C598" s="10">
        <f>INT(Cardiac_Table[[#This Row],[Hospital Admit Date ]])</f>
        <v>44033</v>
      </c>
      <c r="D598" s="11" t="str">
        <f t="shared" si="9"/>
        <v>07:19</v>
      </c>
      <c r="E598" s="9">
        <v>44033.586805555555</v>
      </c>
      <c r="F598" s="10">
        <f>INT(Cardiac_Table[[#This Row],[Procedure Start Date and Time]])</f>
        <v>44033</v>
      </c>
      <c r="G598" s="12">
        <f>MOD(Cardiac_Table[[#This Row],[Procedure Start Date and Time]],1)</f>
        <v>0.58680555555474712</v>
      </c>
      <c r="H598">
        <v>4</v>
      </c>
      <c r="I598" t="s">
        <v>4</v>
      </c>
      <c r="J598" t="s">
        <v>11</v>
      </c>
      <c r="K598" t="s">
        <v>21</v>
      </c>
      <c r="L598">
        <v>62</v>
      </c>
      <c r="M598">
        <v>3.46</v>
      </c>
      <c r="N598">
        <v>4.0199999999999996</v>
      </c>
      <c r="O598" t="s">
        <v>15</v>
      </c>
      <c r="P598">
        <v>80</v>
      </c>
      <c r="Q598">
        <v>154</v>
      </c>
      <c r="R598">
        <v>56</v>
      </c>
      <c r="S598">
        <v>51</v>
      </c>
      <c r="T598" t="s">
        <v>50</v>
      </c>
      <c r="U598">
        <f>IF(Cardiac_Table[[#This Row],[Patient Status at Discharge]]="Died", 1,0)</f>
        <v>0</v>
      </c>
      <c r="V598">
        <f>Cardiac_Table[[#This Row],[Risk of Death % (Model 1)]]/100</f>
        <v>3.4599999999999999E-2</v>
      </c>
      <c r="W598">
        <f>Cardiac_Table[[#This Row],[Risk of Death % (Model 2)]]/100</f>
        <v>4.0199999999999993E-2</v>
      </c>
      <c r="X598" s="18">
        <f>Cardiac_Table[[#This Row],[Procedure Start Date and Time]]-Cardiac_Table[[#This Row],[Hospital Admit Date ]]</f>
        <v>0.28194444444670808</v>
      </c>
    </row>
    <row r="599" spans="1:24" x14ac:dyDescent="0.35">
      <c r="A599">
        <v>606</v>
      </c>
      <c r="B599" s="9">
        <v>44033.319444444445</v>
      </c>
      <c r="C599" s="10">
        <f>INT(Cardiac_Table[[#This Row],[Hospital Admit Date ]])</f>
        <v>44033</v>
      </c>
      <c r="D599" s="11" t="str">
        <f t="shared" si="9"/>
        <v>07:40</v>
      </c>
      <c r="E599" s="9">
        <v>44033.600694444445</v>
      </c>
      <c r="F599" s="10">
        <f>INT(Cardiac_Table[[#This Row],[Procedure Start Date and Time]])</f>
        <v>44033</v>
      </c>
      <c r="G599" s="12">
        <f>MOD(Cardiac_Table[[#This Row],[Procedure Start Date and Time]],1)</f>
        <v>0.60069444444525288</v>
      </c>
      <c r="H599">
        <v>5</v>
      </c>
      <c r="I599" t="s">
        <v>4</v>
      </c>
      <c r="J599" t="s">
        <v>3</v>
      </c>
      <c r="K599" t="s">
        <v>35</v>
      </c>
      <c r="L599">
        <v>65</v>
      </c>
      <c r="M599">
        <v>3.07</v>
      </c>
      <c r="N599">
        <v>1.24</v>
      </c>
      <c r="O599" t="s">
        <v>15</v>
      </c>
      <c r="P599">
        <v>81</v>
      </c>
      <c r="Q599">
        <v>165</v>
      </c>
      <c r="R599">
        <v>91</v>
      </c>
      <c r="S599">
        <v>55</v>
      </c>
      <c r="T599" t="s">
        <v>48</v>
      </c>
      <c r="U599">
        <f>IF(Cardiac_Table[[#This Row],[Patient Status at Discharge]]="Died", 1,0)</f>
        <v>0</v>
      </c>
      <c r="V599">
        <f>Cardiac_Table[[#This Row],[Risk of Death % (Model 1)]]/100</f>
        <v>3.0699999999999998E-2</v>
      </c>
      <c r="W599">
        <f>Cardiac_Table[[#This Row],[Risk of Death % (Model 2)]]/100</f>
        <v>1.24E-2</v>
      </c>
      <c r="X599" s="18">
        <f>Cardiac_Table[[#This Row],[Procedure Start Date and Time]]-Cardiac_Table[[#This Row],[Hospital Admit Date ]]</f>
        <v>0.28125</v>
      </c>
    </row>
    <row r="600" spans="1:24" x14ac:dyDescent="0.35">
      <c r="A600">
        <v>607</v>
      </c>
      <c r="B600" s="9">
        <v>44021.44027777778</v>
      </c>
      <c r="C600" s="10">
        <f>INT(Cardiac_Table[[#This Row],[Hospital Admit Date ]])</f>
        <v>44021</v>
      </c>
      <c r="D600" s="11" t="str">
        <f t="shared" si="9"/>
        <v>10:34</v>
      </c>
      <c r="E600" s="9">
        <v>44034.347222222219</v>
      </c>
      <c r="F600" s="10">
        <f>INT(Cardiac_Table[[#This Row],[Procedure Start Date and Time]])</f>
        <v>44034</v>
      </c>
      <c r="G600" s="12">
        <f>MOD(Cardiac_Table[[#This Row],[Procedure Start Date and Time]],1)</f>
        <v>0.34722222221898846</v>
      </c>
      <c r="H600">
        <v>3</v>
      </c>
      <c r="I600" t="s">
        <v>6</v>
      </c>
      <c r="J600" t="s">
        <v>11</v>
      </c>
      <c r="K600" t="s">
        <v>35</v>
      </c>
      <c r="L600">
        <v>68</v>
      </c>
      <c r="M600">
        <v>1.59</v>
      </c>
      <c r="N600">
        <v>0.86</v>
      </c>
      <c r="O600" t="s">
        <v>15</v>
      </c>
      <c r="P600">
        <v>151</v>
      </c>
      <c r="Q600">
        <v>163</v>
      </c>
      <c r="R600">
        <v>65</v>
      </c>
      <c r="S600">
        <v>55</v>
      </c>
      <c r="T600" t="s">
        <v>48</v>
      </c>
      <c r="U600">
        <f>IF(Cardiac_Table[[#This Row],[Patient Status at Discharge]]="Died", 1,0)</f>
        <v>0</v>
      </c>
      <c r="V600">
        <f>Cardiac_Table[[#This Row],[Risk of Death % (Model 1)]]/100</f>
        <v>1.5900000000000001E-2</v>
      </c>
      <c r="W600">
        <f>Cardiac_Table[[#This Row],[Risk of Death % (Model 2)]]/100</f>
        <v>8.6E-3</v>
      </c>
      <c r="X600" s="18">
        <f>Cardiac_Table[[#This Row],[Procedure Start Date and Time]]-Cardiac_Table[[#This Row],[Hospital Admit Date ]]</f>
        <v>12.906944444439432</v>
      </c>
    </row>
    <row r="601" spans="1:24" x14ac:dyDescent="0.35">
      <c r="A601">
        <v>608</v>
      </c>
      <c r="B601" s="9">
        <v>44032.635416666664</v>
      </c>
      <c r="C601" s="10">
        <f>INT(Cardiac_Table[[#This Row],[Hospital Admit Date ]])</f>
        <v>44032</v>
      </c>
      <c r="D601" s="11" t="str">
        <f t="shared" si="9"/>
        <v>15:15</v>
      </c>
      <c r="E601" s="9">
        <v>44034.354166666664</v>
      </c>
      <c r="F601" s="10">
        <f>INT(Cardiac_Table[[#This Row],[Procedure Start Date and Time]])</f>
        <v>44034</v>
      </c>
      <c r="G601" s="12">
        <f>MOD(Cardiac_Table[[#This Row],[Procedure Start Date and Time]],1)</f>
        <v>0.35416666666424135</v>
      </c>
      <c r="H601">
        <v>5</v>
      </c>
      <c r="I601" t="s">
        <v>6</v>
      </c>
      <c r="J601" t="s">
        <v>3</v>
      </c>
      <c r="K601" t="s">
        <v>28</v>
      </c>
      <c r="L601">
        <v>58</v>
      </c>
      <c r="M601">
        <v>2.27</v>
      </c>
      <c r="N601">
        <v>4.58</v>
      </c>
      <c r="O601" t="s">
        <v>15</v>
      </c>
      <c r="P601">
        <v>91</v>
      </c>
      <c r="Q601">
        <v>177</v>
      </c>
      <c r="R601">
        <v>71</v>
      </c>
      <c r="S601">
        <v>30</v>
      </c>
      <c r="T601" t="s">
        <v>49</v>
      </c>
      <c r="U601">
        <f>IF(Cardiac_Table[[#This Row],[Patient Status at Discharge]]="Died", 1,0)</f>
        <v>0</v>
      </c>
      <c r="V601">
        <f>Cardiac_Table[[#This Row],[Risk of Death % (Model 1)]]/100</f>
        <v>2.2700000000000001E-2</v>
      </c>
      <c r="W601">
        <f>Cardiac_Table[[#This Row],[Risk of Death % (Model 2)]]/100</f>
        <v>4.58E-2</v>
      </c>
      <c r="X601" s="18">
        <f>Cardiac_Table[[#This Row],[Procedure Start Date and Time]]-Cardiac_Table[[#This Row],[Hospital Admit Date ]]</f>
        <v>1.71875</v>
      </c>
    </row>
    <row r="602" spans="1:24" x14ac:dyDescent="0.35">
      <c r="A602">
        <v>609</v>
      </c>
      <c r="B602" s="9">
        <v>44031.42291666667</v>
      </c>
      <c r="C602" s="10">
        <f>INT(Cardiac_Table[[#This Row],[Hospital Admit Date ]])</f>
        <v>44031</v>
      </c>
      <c r="D602" s="11" t="str">
        <f t="shared" si="9"/>
        <v>10:09</v>
      </c>
      <c r="E602" s="9">
        <v>44034.579861111109</v>
      </c>
      <c r="F602" s="10">
        <f>INT(Cardiac_Table[[#This Row],[Procedure Start Date and Time]])</f>
        <v>44034</v>
      </c>
      <c r="G602" s="12">
        <f>MOD(Cardiac_Table[[#This Row],[Procedure Start Date and Time]],1)</f>
        <v>0.57986111110949423</v>
      </c>
      <c r="H602">
        <v>5</v>
      </c>
      <c r="I602" t="s">
        <v>4</v>
      </c>
      <c r="J602" t="s">
        <v>11</v>
      </c>
      <c r="K602" t="s">
        <v>28</v>
      </c>
      <c r="L602">
        <v>71</v>
      </c>
      <c r="M602">
        <v>13.42</v>
      </c>
      <c r="N602">
        <v>5.2</v>
      </c>
      <c r="O602" t="s">
        <v>15</v>
      </c>
      <c r="P602">
        <v>69</v>
      </c>
      <c r="Q602">
        <v>184</v>
      </c>
      <c r="R602">
        <v>125</v>
      </c>
      <c r="S602">
        <v>55</v>
      </c>
      <c r="T602" t="s">
        <v>48</v>
      </c>
      <c r="U602">
        <f>IF(Cardiac_Table[[#This Row],[Patient Status at Discharge]]="Died", 1,0)</f>
        <v>0</v>
      </c>
      <c r="V602">
        <f>Cardiac_Table[[#This Row],[Risk of Death % (Model 1)]]/100</f>
        <v>0.13419999999999999</v>
      </c>
      <c r="W602">
        <f>Cardiac_Table[[#This Row],[Risk of Death % (Model 2)]]/100</f>
        <v>5.2000000000000005E-2</v>
      </c>
      <c r="X602" s="18">
        <f>Cardiac_Table[[#This Row],[Procedure Start Date and Time]]-Cardiac_Table[[#This Row],[Hospital Admit Date ]]</f>
        <v>3.1569444444394321</v>
      </c>
    </row>
    <row r="603" spans="1:24" x14ac:dyDescent="0.35">
      <c r="A603">
        <v>610</v>
      </c>
      <c r="B603" s="9">
        <v>44034.291666666664</v>
      </c>
      <c r="C603" s="10">
        <f>INT(Cardiac_Table[[#This Row],[Hospital Admit Date ]])</f>
        <v>44034</v>
      </c>
      <c r="D603" s="11" t="str">
        <f t="shared" si="9"/>
        <v>07:00</v>
      </c>
      <c r="E603" s="9">
        <v>44034.619444444441</v>
      </c>
      <c r="F603" s="10">
        <f>INT(Cardiac_Table[[#This Row],[Procedure Start Date and Time]])</f>
        <v>44034</v>
      </c>
      <c r="G603" s="12">
        <f>MOD(Cardiac_Table[[#This Row],[Procedure Start Date and Time]],1)</f>
        <v>0.61944444444088731</v>
      </c>
      <c r="H603">
        <v>3</v>
      </c>
      <c r="I603" t="s">
        <v>4</v>
      </c>
      <c r="J603" t="s">
        <v>3</v>
      </c>
      <c r="K603" t="s">
        <v>35</v>
      </c>
      <c r="L603">
        <v>64</v>
      </c>
      <c r="M603">
        <v>2.88</v>
      </c>
      <c r="N603">
        <v>0.7</v>
      </c>
      <c r="O603" t="s">
        <v>15</v>
      </c>
      <c r="P603">
        <v>83</v>
      </c>
      <c r="Q603">
        <v>170</v>
      </c>
      <c r="R603">
        <v>67</v>
      </c>
      <c r="S603">
        <v>20</v>
      </c>
      <c r="T603" t="s">
        <v>51</v>
      </c>
      <c r="U603">
        <f>IF(Cardiac_Table[[#This Row],[Patient Status at Discharge]]="Died", 1,0)</f>
        <v>0</v>
      </c>
      <c r="V603">
        <f>Cardiac_Table[[#This Row],[Risk of Death % (Model 1)]]/100</f>
        <v>2.8799999999999999E-2</v>
      </c>
      <c r="W603">
        <f>Cardiac_Table[[#This Row],[Risk of Death % (Model 2)]]/100</f>
        <v>6.9999999999999993E-3</v>
      </c>
      <c r="X603" s="18">
        <f>Cardiac_Table[[#This Row],[Procedure Start Date and Time]]-Cardiac_Table[[#This Row],[Hospital Admit Date ]]</f>
        <v>0.32777777777664596</v>
      </c>
    </row>
    <row r="604" spans="1:24" x14ac:dyDescent="0.35">
      <c r="A604">
        <v>611</v>
      </c>
      <c r="B604" s="9">
        <v>44034.661805555559</v>
      </c>
      <c r="C604" s="10">
        <f>INT(Cardiac_Table[[#This Row],[Hospital Admit Date ]])</f>
        <v>44034</v>
      </c>
      <c r="D604" s="11" t="str">
        <f t="shared" si="9"/>
        <v>15:53</v>
      </c>
      <c r="E604" s="9">
        <v>44035.333333333336</v>
      </c>
      <c r="F604" s="10">
        <f>INT(Cardiac_Table[[#This Row],[Procedure Start Date and Time]])</f>
        <v>44035</v>
      </c>
      <c r="G604" s="12">
        <f>MOD(Cardiac_Table[[#This Row],[Procedure Start Date and Time]],1)</f>
        <v>0.33333333333575865</v>
      </c>
      <c r="H604">
        <v>6</v>
      </c>
      <c r="I604" t="s">
        <v>4</v>
      </c>
      <c r="J604" t="s">
        <v>3</v>
      </c>
      <c r="K604" t="s">
        <v>35</v>
      </c>
      <c r="L604">
        <v>74</v>
      </c>
      <c r="M604">
        <v>3.99</v>
      </c>
      <c r="N604">
        <v>0.83</v>
      </c>
      <c r="O604" t="s">
        <v>15</v>
      </c>
      <c r="P604">
        <v>89</v>
      </c>
      <c r="Q604">
        <v>169</v>
      </c>
      <c r="R604">
        <v>87</v>
      </c>
      <c r="S604">
        <v>55</v>
      </c>
      <c r="T604" t="s">
        <v>48</v>
      </c>
      <c r="U604">
        <f>IF(Cardiac_Table[[#This Row],[Patient Status at Discharge]]="Died", 1,0)</f>
        <v>0</v>
      </c>
      <c r="V604">
        <f>Cardiac_Table[[#This Row],[Risk of Death % (Model 1)]]/100</f>
        <v>3.9900000000000005E-2</v>
      </c>
      <c r="W604">
        <f>Cardiac_Table[[#This Row],[Risk of Death % (Model 2)]]/100</f>
        <v>8.3000000000000001E-3</v>
      </c>
      <c r="X604" s="18">
        <f>Cardiac_Table[[#This Row],[Procedure Start Date and Time]]-Cardiac_Table[[#This Row],[Hospital Admit Date ]]</f>
        <v>0.67152777777664596</v>
      </c>
    </row>
    <row r="605" spans="1:24" x14ac:dyDescent="0.35">
      <c r="A605">
        <v>612</v>
      </c>
      <c r="B605" s="9">
        <v>44033.464583333334</v>
      </c>
      <c r="C605" s="10">
        <f>INT(Cardiac_Table[[#This Row],[Hospital Admit Date ]])</f>
        <v>44033</v>
      </c>
      <c r="D605" s="11" t="str">
        <f t="shared" si="9"/>
        <v>11:09</v>
      </c>
      <c r="E605" s="9">
        <v>44035.34097222222</v>
      </c>
      <c r="F605" s="10">
        <f>INT(Cardiac_Table[[#This Row],[Procedure Start Date and Time]])</f>
        <v>44035</v>
      </c>
      <c r="G605" s="12">
        <f>MOD(Cardiac_Table[[#This Row],[Procedure Start Date and Time]],1)</f>
        <v>0.34097222222044365</v>
      </c>
      <c r="H605">
        <v>3</v>
      </c>
      <c r="I605" t="s">
        <v>6</v>
      </c>
      <c r="J605" t="s">
        <v>10</v>
      </c>
      <c r="K605" t="s">
        <v>31</v>
      </c>
      <c r="L605">
        <v>72</v>
      </c>
      <c r="M605">
        <v>3.52</v>
      </c>
      <c r="N605">
        <v>1.25</v>
      </c>
      <c r="O605" t="s">
        <v>15</v>
      </c>
      <c r="P605">
        <v>87</v>
      </c>
      <c r="Q605">
        <v>159</v>
      </c>
      <c r="R605">
        <v>57</v>
      </c>
      <c r="S605">
        <v>65</v>
      </c>
      <c r="T605" t="s">
        <v>48</v>
      </c>
      <c r="U605">
        <f>IF(Cardiac_Table[[#This Row],[Patient Status at Discharge]]="Died", 1,0)</f>
        <v>0</v>
      </c>
      <c r="V605">
        <f>Cardiac_Table[[#This Row],[Risk of Death % (Model 1)]]/100</f>
        <v>3.5200000000000002E-2</v>
      </c>
      <c r="W605">
        <f>Cardiac_Table[[#This Row],[Risk of Death % (Model 2)]]/100</f>
        <v>1.2500000000000001E-2</v>
      </c>
      <c r="X605" s="18">
        <f>Cardiac_Table[[#This Row],[Procedure Start Date and Time]]-Cardiac_Table[[#This Row],[Hospital Admit Date ]]</f>
        <v>1.8763888888861402</v>
      </c>
    </row>
    <row r="606" spans="1:24" x14ac:dyDescent="0.35">
      <c r="A606">
        <v>613</v>
      </c>
      <c r="B606" s="9">
        <v>44033.597222222219</v>
      </c>
      <c r="C606" s="10">
        <f>INT(Cardiac_Table[[#This Row],[Hospital Admit Date ]])</f>
        <v>44033</v>
      </c>
      <c r="D606" s="11" t="str">
        <f t="shared" si="9"/>
        <v>14:20</v>
      </c>
      <c r="E606" s="9">
        <v>44035.342361111114</v>
      </c>
      <c r="F606" s="10">
        <f>INT(Cardiac_Table[[#This Row],[Procedure Start Date and Time]])</f>
        <v>44035</v>
      </c>
      <c r="G606" s="12">
        <f>MOD(Cardiac_Table[[#This Row],[Procedure Start Date and Time]],1)</f>
        <v>0.34236111111385981</v>
      </c>
      <c r="H606">
        <v>5</v>
      </c>
      <c r="I606" t="s">
        <v>6</v>
      </c>
      <c r="J606" t="s">
        <v>10</v>
      </c>
      <c r="K606" t="s">
        <v>23</v>
      </c>
      <c r="L606">
        <v>64</v>
      </c>
      <c r="M606">
        <v>1.85</v>
      </c>
      <c r="N606">
        <v>1.41</v>
      </c>
      <c r="O606" t="s">
        <v>15</v>
      </c>
      <c r="P606">
        <v>91</v>
      </c>
      <c r="Q606">
        <v>152</v>
      </c>
      <c r="R606">
        <v>48</v>
      </c>
      <c r="S606">
        <v>51</v>
      </c>
      <c r="T606" t="s">
        <v>48</v>
      </c>
      <c r="U606">
        <f>IF(Cardiac_Table[[#This Row],[Patient Status at Discharge]]="Died", 1,0)</f>
        <v>0</v>
      </c>
      <c r="V606">
        <f>Cardiac_Table[[#This Row],[Risk of Death % (Model 1)]]/100</f>
        <v>1.8500000000000003E-2</v>
      </c>
      <c r="W606">
        <f>Cardiac_Table[[#This Row],[Risk of Death % (Model 2)]]/100</f>
        <v>1.41E-2</v>
      </c>
      <c r="X606" s="18">
        <f>Cardiac_Table[[#This Row],[Procedure Start Date and Time]]-Cardiac_Table[[#This Row],[Hospital Admit Date ]]</f>
        <v>1.7451388888948713</v>
      </c>
    </row>
    <row r="607" spans="1:24" x14ac:dyDescent="0.35">
      <c r="A607">
        <v>614</v>
      </c>
      <c r="B607" s="9">
        <v>44034.666666666664</v>
      </c>
      <c r="C607" s="10">
        <f>INT(Cardiac_Table[[#This Row],[Hospital Admit Date ]])</f>
        <v>44034</v>
      </c>
      <c r="D607" s="11" t="str">
        <f t="shared" si="9"/>
        <v>16:00</v>
      </c>
      <c r="E607" s="9">
        <v>44035.34375</v>
      </c>
      <c r="F607" s="10">
        <f>INT(Cardiac_Table[[#This Row],[Procedure Start Date and Time]])</f>
        <v>44035</v>
      </c>
      <c r="G607" s="12">
        <f>MOD(Cardiac_Table[[#This Row],[Procedure Start Date and Time]],1)</f>
        <v>0.34375</v>
      </c>
      <c r="H607">
        <v>4</v>
      </c>
      <c r="I607" t="s">
        <v>4</v>
      </c>
      <c r="J607" t="s">
        <v>1</v>
      </c>
      <c r="K607" t="s">
        <v>24</v>
      </c>
      <c r="L607">
        <v>77</v>
      </c>
      <c r="M607">
        <v>13.92</v>
      </c>
      <c r="N607">
        <v>3.55</v>
      </c>
      <c r="O607" t="s">
        <v>15</v>
      </c>
      <c r="P607">
        <v>65</v>
      </c>
      <c r="Q607">
        <v>170</v>
      </c>
      <c r="R607">
        <v>91</v>
      </c>
      <c r="S607">
        <v>68</v>
      </c>
      <c r="T607" t="s">
        <v>48</v>
      </c>
      <c r="U607">
        <f>IF(Cardiac_Table[[#This Row],[Patient Status at Discharge]]="Died", 1,0)</f>
        <v>0</v>
      </c>
      <c r="V607">
        <f>Cardiac_Table[[#This Row],[Risk of Death % (Model 1)]]/100</f>
        <v>0.13919999999999999</v>
      </c>
      <c r="W607">
        <f>Cardiac_Table[[#This Row],[Risk of Death % (Model 2)]]/100</f>
        <v>3.5499999999999997E-2</v>
      </c>
      <c r="X607" s="18">
        <f>Cardiac_Table[[#This Row],[Procedure Start Date and Time]]-Cardiac_Table[[#This Row],[Hospital Admit Date ]]</f>
        <v>0.67708333333575865</v>
      </c>
    </row>
    <row r="608" spans="1:24" x14ac:dyDescent="0.35">
      <c r="A608">
        <v>615</v>
      </c>
      <c r="B608" s="9">
        <v>44035.291666666664</v>
      </c>
      <c r="C608" s="10">
        <f>INT(Cardiac_Table[[#This Row],[Hospital Admit Date ]])</f>
        <v>44035</v>
      </c>
      <c r="D608" s="11" t="str">
        <f t="shared" si="9"/>
        <v>07:00</v>
      </c>
      <c r="E608" s="9">
        <v>44035.564583333333</v>
      </c>
      <c r="F608" s="10">
        <f>INT(Cardiac_Table[[#This Row],[Procedure Start Date and Time]])</f>
        <v>44035</v>
      </c>
      <c r="G608" s="12">
        <f>MOD(Cardiac_Table[[#This Row],[Procedure Start Date and Time]],1)</f>
        <v>0.56458333333284827</v>
      </c>
      <c r="H608">
        <v>6</v>
      </c>
      <c r="I608" t="s">
        <v>4</v>
      </c>
      <c r="J608" t="s">
        <v>11</v>
      </c>
      <c r="K608" t="s">
        <v>21</v>
      </c>
      <c r="L608">
        <v>85</v>
      </c>
      <c r="M608">
        <v>7.96</v>
      </c>
      <c r="N608">
        <v>4.46</v>
      </c>
      <c r="O608" t="s">
        <v>15</v>
      </c>
      <c r="P608">
        <v>85</v>
      </c>
      <c r="Q608">
        <v>160</v>
      </c>
      <c r="R608">
        <v>52</v>
      </c>
      <c r="S608">
        <v>63</v>
      </c>
      <c r="T608" t="s">
        <v>48</v>
      </c>
      <c r="U608">
        <f>IF(Cardiac_Table[[#This Row],[Patient Status at Discharge]]="Died", 1,0)</f>
        <v>0</v>
      </c>
      <c r="V608">
        <f>Cardiac_Table[[#This Row],[Risk of Death % (Model 1)]]/100</f>
        <v>7.9600000000000004E-2</v>
      </c>
      <c r="W608">
        <f>Cardiac_Table[[#This Row],[Risk of Death % (Model 2)]]/100</f>
        <v>4.4600000000000001E-2</v>
      </c>
      <c r="X608" s="18">
        <f>Cardiac_Table[[#This Row],[Procedure Start Date and Time]]-Cardiac_Table[[#This Row],[Hospital Admit Date ]]</f>
        <v>0.27291666666860692</v>
      </c>
    </row>
    <row r="609" spans="1:24" x14ac:dyDescent="0.35">
      <c r="A609">
        <v>616</v>
      </c>
      <c r="B609" s="9">
        <v>44031.375</v>
      </c>
      <c r="C609" s="10">
        <f>INT(Cardiac_Table[[#This Row],[Hospital Admit Date ]])</f>
        <v>44031</v>
      </c>
      <c r="D609" s="11" t="str">
        <f t="shared" si="9"/>
        <v>09:00</v>
      </c>
      <c r="E609" s="9">
        <v>44035.583333333336</v>
      </c>
      <c r="F609" s="10">
        <f>INT(Cardiac_Table[[#This Row],[Procedure Start Date and Time]])</f>
        <v>44035</v>
      </c>
      <c r="G609" s="12">
        <f>MOD(Cardiac_Table[[#This Row],[Procedure Start Date and Time]],1)</f>
        <v>0.58333333333575865</v>
      </c>
      <c r="H609">
        <v>3</v>
      </c>
      <c r="I609" t="s">
        <v>6</v>
      </c>
      <c r="J609" t="s">
        <v>10</v>
      </c>
      <c r="K609" t="s">
        <v>31</v>
      </c>
      <c r="L609">
        <v>64</v>
      </c>
      <c r="M609">
        <v>3.15</v>
      </c>
      <c r="N609">
        <v>1.36</v>
      </c>
      <c r="O609" t="s">
        <v>15</v>
      </c>
      <c r="P609">
        <v>90</v>
      </c>
      <c r="Q609">
        <v>166</v>
      </c>
      <c r="R609">
        <v>80</v>
      </c>
      <c r="S609">
        <v>25</v>
      </c>
      <c r="T609" t="s">
        <v>49</v>
      </c>
      <c r="U609">
        <f>IF(Cardiac_Table[[#This Row],[Patient Status at Discharge]]="Died", 1,0)</f>
        <v>0</v>
      </c>
      <c r="V609">
        <f>Cardiac_Table[[#This Row],[Risk of Death % (Model 1)]]/100</f>
        <v>3.15E-2</v>
      </c>
      <c r="W609">
        <f>Cardiac_Table[[#This Row],[Risk of Death % (Model 2)]]/100</f>
        <v>1.3600000000000001E-2</v>
      </c>
      <c r="X609" s="18">
        <f>Cardiac_Table[[#This Row],[Procedure Start Date and Time]]-Cardiac_Table[[#This Row],[Hospital Admit Date ]]</f>
        <v>4.2083333333357587</v>
      </c>
    </row>
    <row r="610" spans="1:24" x14ac:dyDescent="0.35">
      <c r="A610">
        <v>617</v>
      </c>
      <c r="B610" s="9">
        <v>44035.291666666664</v>
      </c>
      <c r="C610" s="10">
        <f>INT(Cardiac_Table[[#This Row],[Hospital Admit Date ]])</f>
        <v>44035</v>
      </c>
      <c r="D610" s="11" t="str">
        <f t="shared" si="9"/>
        <v>07:00</v>
      </c>
      <c r="E610" s="9">
        <v>44035.605555555558</v>
      </c>
      <c r="F610" s="10">
        <f>INT(Cardiac_Table[[#This Row],[Procedure Start Date and Time]])</f>
        <v>44035</v>
      </c>
      <c r="G610" s="12">
        <f>MOD(Cardiac_Table[[#This Row],[Procedure Start Date and Time]],1)</f>
        <v>0.6055555555576575</v>
      </c>
      <c r="H610">
        <v>5</v>
      </c>
      <c r="I610" t="s">
        <v>4</v>
      </c>
      <c r="J610" t="s">
        <v>10</v>
      </c>
      <c r="K610" t="s">
        <v>23</v>
      </c>
      <c r="L610">
        <v>74</v>
      </c>
      <c r="M610">
        <v>7.08</v>
      </c>
      <c r="N610">
        <v>2.16</v>
      </c>
      <c r="O610" t="s">
        <v>15</v>
      </c>
      <c r="P610">
        <v>62</v>
      </c>
      <c r="Q610">
        <v>171</v>
      </c>
      <c r="R610">
        <v>79</v>
      </c>
      <c r="S610">
        <v>20</v>
      </c>
      <c r="T610" t="s">
        <v>51</v>
      </c>
      <c r="U610">
        <f>IF(Cardiac_Table[[#This Row],[Patient Status at Discharge]]="Died", 1,0)</f>
        <v>0</v>
      </c>
      <c r="V610">
        <f>Cardiac_Table[[#This Row],[Risk of Death % (Model 1)]]/100</f>
        <v>7.0800000000000002E-2</v>
      </c>
      <c r="W610">
        <f>Cardiac_Table[[#This Row],[Risk of Death % (Model 2)]]/100</f>
        <v>2.1600000000000001E-2</v>
      </c>
      <c r="X610" s="18">
        <f>Cardiac_Table[[#This Row],[Procedure Start Date and Time]]-Cardiac_Table[[#This Row],[Hospital Admit Date ]]</f>
        <v>0.31388888889341615</v>
      </c>
    </row>
    <row r="611" spans="1:24" x14ac:dyDescent="0.35">
      <c r="A611">
        <v>618</v>
      </c>
      <c r="B611" s="9">
        <v>44035.294444444444</v>
      </c>
      <c r="C611" s="10">
        <f>INT(Cardiac_Table[[#This Row],[Hospital Admit Date ]])</f>
        <v>44035</v>
      </c>
      <c r="D611" s="11" t="str">
        <f t="shared" si="9"/>
        <v>07:04</v>
      </c>
      <c r="E611" s="9">
        <v>44035.654861111114</v>
      </c>
      <c r="F611" s="10">
        <f>INT(Cardiac_Table[[#This Row],[Procedure Start Date and Time]])</f>
        <v>44035</v>
      </c>
      <c r="G611" s="12">
        <f>MOD(Cardiac_Table[[#This Row],[Procedure Start Date and Time]],1)</f>
        <v>0.65486111111385981</v>
      </c>
      <c r="H611">
        <v>4</v>
      </c>
      <c r="I611" t="s">
        <v>4</v>
      </c>
      <c r="J611" t="s">
        <v>3</v>
      </c>
      <c r="K611" t="s">
        <v>24</v>
      </c>
      <c r="L611">
        <v>73</v>
      </c>
      <c r="M611">
        <v>5.13</v>
      </c>
      <c r="N611">
        <v>1.21</v>
      </c>
      <c r="O611" t="s">
        <v>15</v>
      </c>
      <c r="P611">
        <v>70</v>
      </c>
      <c r="Q611">
        <v>175</v>
      </c>
      <c r="R611">
        <v>96</v>
      </c>
      <c r="S611">
        <v>55</v>
      </c>
      <c r="T611" t="s">
        <v>48</v>
      </c>
      <c r="U611">
        <f>IF(Cardiac_Table[[#This Row],[Patient Status at Discharge]]="Died", 1,0)</f>
        <v>0</v>
      </c>
      <c r="V611">
        <f>Cardiac_Table[[#This Row],[Risk of Death % (Model 1)]]/100</f>
        <v>5.1299999999999998E-2</v>
      </c>
      <c r="W611">
        <f>Cardiac_Table[[#This Row],[Risk of Death % (Model 2)]]/100</f>
        <v>1.21E-2</v>
      </c>
      <c r="X611" s="18">
        <f>Cardiac_Table[[#This Row],[Procedure Start Date and Time]]-Cardiac_Table[[#This Row],[Hospital Admit Date ]]</f>
        <v>0.36041666667006211</v>
      </c>
    </row>
    <row r="612" spans="1:24" x14ac:dyDescent="0.35">
      <c r="A612">
        <v>619</v>
      </c>
      <c r="B612" s="9">
        <v>44034.458333333336</v>
      </c>
      <c r="C612" s="10">
        <f>INT(Cardiac_Table[[#This Row],[Hospital Admit Date ]])</f>
        <v>44034</v>
      </c>
      <c r="D612" s="11" t="str">
        <f t="shared" si="9"/>
        <v>11:00</v>
      </c>
      <c r="E612" s="9">
        <v>44036.344444444447</v>
      </c>
      <c r="F612" s="10">
        <f>INT(Cardiac_Table[[#This Row],[Procedure Start Date and Time]])</f>
        <v>44036</v>
      </c>
      <c r="G612" s="12">
        <f>MOD(Cardiac_Table[[#This Row],[Procedure Start Date and Time]],1)</f>
        <v>0.34444444444670808</v>
      </c>
      <c r="H612">
        <v>5</v>
      </c>
      <c r="I612" t="s">
        <v>6</v>
      </c>
      <c r="J612" t="s">
        <v>11</v>
      </c>
      <c r="K612" t="s">
        <v>31</v>
      </c>
      <c r="L612">
        <v>61</v>
      </c>
      <c r="M612">
        <v>4.38</v>
      </c>
      <c r="N612">
        <v>3.45</v>
      </c>
      <c r="O612" t="s">
        <v>15</v>
      </c>
      <c r="P612">
        <v>70</v>
      </c>
      <c r="Q612">
        <v>162</v>
      </c>
      <c r="R612">
        <v>77</v>
      </c>
      <c r="S612">
        <v>60</v>
      </c>
      <c r="T612" t="s">
        <v>48</v>
      </c>
      <c r="U612">
        <f>IF(Cardiac_Table[[#This Row],[Patient Status at Discharge]]="Died", 1,0)</f>
        <v>0</v>
      </c>
      <c r="V612">
        <f>Cardiac_Table[[#This Row],[Risk of Death % (Model 1)]]/100</f>
        <v>4.3799999999999999E-2</v>
      </c>
      <c r="W612">
        <f>Cardiac_Table[[#This Row],[Risk of Death % (Model 2)]]/100</f>
        <v>3.4500000000000003E-2</v>
      </c>
      <c r="X612" s="18">
        <f>Cardiac_Table[[#This Row],[Procedure Start Date and Time]]-Cardiac_Table[[#This Row],[Hospital Admit Date ]]</f>
        <v>1.8861111111109494</v>
      </c>
    </row>
    <row r="613" spans="1:24" x14ac:dyDescent="0.35">
      <c r="A613">
        <v>620</v>
      </c>
      <c r="B613" s="9">
        <v>44035.63958333333</v>
      </c>
      <c r="C613" s="10">
        <f>INT(Cardiac_Table[[#This Row],[Hospital Admit Date ]])</f>
        <v>44035</v>
      </c>
      <c r="D613" s="11" t="str">
        <f t="shared" si="9"/>
        <v>15:21</v>
      </c>
      <c r="E613" s="9">
        <v>44036.354861111111</v>
      </c>
      <c r="F613" s="10">
        <f>INT(Cardiac_Table[[#This Row],[Procedure Start Date and Time]])</f>
        <v>44036</v>
      </c>
      <c r="G613" s="12">
        <f>MOD(Cardiac_Table[[#This Row],[Procedure Start Date and Time]],1)</f>
        <v>0.35486111111094942</v>
      </c>
      <c r="H613">
        <v>3</v>
      </c>
      <c r="I613" t="s">
        <v>4</v>
      </c>
      <c r="J613" t="s">
        <v>3</v>
      </c>
      <c r="K613" t="s">
        <v>24</v>
      </c>
      <c r="L613">
        <v>64</v>
      </c>
      <c r="M613">
        <v>2.09</v>
      </c>
      <c r="N613">
        <v>0.96</v>
      </c>
      <c r="O613" t="s">
        <v>15</v>
      </c>
      <c r="P613">
        <v>78</v>
      </c>
      <c r="Q613">
        <v>166</v>
      </c>
      <c r="R613">
        <v>116</v>
      </c>
      <c r="S613">
        <v>42</v>
      </c>
      <c r="T613" t="s">
        <v>50</v>
      </c>
      <c r="U613">
        <f>IF(Cardiac_Table[[#This Row],[Patient Status at Discharge]]="Died", 1,0)</f>
        <v>0</v>
      </c>
      <c r="V613">
        <f>Cardiac_Table[[#This Row],[Risk of Death % (Model 1)]]/100</f>
        <v>2.0899999999999998E-2</v>
      </c>
      <c r="W613">
        <f>Cardiac_Table[[#This Row],[Risk of Death % (Model 2)]]/100</f>
        <v>9.5999999999999992E-3</v>
      </c>
      <c r="X613" s="18">
        <f>Cardiac_Table[[#This Row],[Procedure Start Date and Time]]-Cardiac_Table[[#This Row],[Hospital Admit Date ]]</f>
        <v>0.71527777778101154</v>
      </c>
    </row>
    <row r="614" spans="1:24" x14ac:dyDescent="0.35">
      <c r="A614">
        <v>621</v>
      </c>
      <c r="B614" s="9">
        <v>44036.291666666664</v>
      </c>
      <c r="C614" s="10">
        <f>INT(Cardiac_Table[[#This Row],[Hospital Admit Date ]])</f>
        <v>44036</v>
      </c>
      <c r="D614" s="11" t="str">
        <f t="shared" si="9"/>
        <v>07:00</v>
      </c>
      <c r="E614" s="9">
        <v>44036.581250000003</v>
      </c>
      <c r="F614" s="10">
        <f>INT(Cardiac_Table[[#This Row],[Procedure Start Date and Time]])</f>
        <v>44036</v>
      </c>
      <c r="G614" s="12">
        <f>MOD(Cardiac_Table[[#This Row],[Procedure Start Date and Time]],1)</f>
        <v>0.58125000000291038</v>
      </c>
      <c r="H614">
        <v>5</v>
      </c>
      <c r="I614" t="s">
        <v>4</v>
      </c>
      <c r="J614" t="s">
        <v>10</v>
      </c>
      <c r="K614" t="s">
        <v>31</v>
      </c>
      <c r="L614">
        <v>72</v>
      </c>
      <c r="M614">
        <v>2.0699999999999998</v>
      </c>
      <c r="N614">
        <v>0.78</v>
      </c>
      <c r="O614" t="s">
        <v>15</v>
      </c>
      <c r="P614">
        <v>72</v>
      </c>
      <c r="Q614">
        <v>170</v>
      </c>
      <c r="R614">
        <v>131</v>
      </c>
      <c r="S614">
        <v>65</v>
      </c>
      <c r="T614" t="s">
        <v>48</v>
      </c>
      <c r="U614">
        <f>IF(Cardiac_Table[[#This Row],[Patient Status at Discharge]]="Died", 1,0)</f>
        <v>0</v>
      </c>
      <c r="V614">
        <f>Cardiac_Table[[#This Row],[Risk of Death % (Model 1)]]/100</f>
        <v>2.07E-2</v>
      </c>
      <c r="W614">
        <f>Cardiac_Table[[#This Row],[Risk of Death % (Model 2)]]/100</f>
        <v>7.8000000000000005E-3</v>
      </c>
      <c r="X614" s="18">
        <f>Cardiac_Table[[#This Row],[Procedure Start Date and Time]]-Cardiac_Table[[#This Row],[Hospital Admit Date ]]</f>
        <v>0.28958333333866904</v>
      </c>
    </row>
    <row r="615" spans="1:24" x14ac:dyDescent="0.35">
      <c r="A615">
        <v>622</v>
      </c>
      <c r="B615" s="9">
        <v>44036.666666666664</v>
      </c>
      <c r="C615" s="10">
        <f>INT(Cardiac_Table[[#This Row],[Hospital Admit Date ]])</f>
        <v>44036</v>
      </c>
      <c r="D615" s="11" t="str">
        <f t="shared" si="9"/>
        <v>16:00</v>
      </c>
      <c r="E615" s="9">
        <v>44037.326388888891</v>
      </c>
      <c r="F615" s="10">
        <f>INT(Cardiac_Table[[#This Row],[Procedure Start Date and Time]])</f>
        <v>44037</v>
      </c>
      <c r="G615" s="12">
        <f>MOD(Cardiac_Table[[#This Row],[Procedure Start Date and Time]],1)</f>
        <v>0.32638888889050577</v>
      </c>
      <c r="H615">
        <v>5</v>
      </c>
      <c r="I615" t="s">
        <v>4</v>
      </c>
      <c r="J615" t="s">
        <v>10</v>
      </c>
      <c r="K615" t="s">
        <v>31</v>
      </c>
      <c r="L615">
        <v>73</v>
      </c>
      <c r="M615">
        <v>3.05</v>
      </c>
      <c r="N615">
        <v>1.35</v>
      </c>
      <c r="O615" t="s">
        <v>15</v>
      </c>
      <c r="P615">
        <v>75</v>
      </c>
      <c r="Q615">
        <v>173</v>
      </c>
      <c r="R615">
        <v>74</v>
      </c>
      <c r="S615">
        <v>60</v>
      </c>
      <c r="T615" t="s">
        <v>48</v>
      </c>
      <c r="U615">
        <f>IF(Cardiac_Table[[#This Row],[Patient Status at Discharge]]="Died", 1,0)</f>
        <v>0</v>
      </c>
      <c r="V615">
        <f>Cardiac_Table[[#This Row],[Risk of Death % (Model 1)]]/100</f>
        <v>3.0499999999999999E-2</v>
      </c>
      <c r="W615">
        <f>Cardiac_Table[[#This Row],[Risk of Death % (Model 2)]]/100</f>
        <v>1.3500000000000002E-2</v>
      </c>
      <c r="X615" s="18">
        <f>Cardiac_Table[[#This Row],[Procedure Start Date and Time]]-Cardiac_Table[[#This Row],[Hospital Admit Date ]]</f>
        <v>0.65972222222626442</v>
      </c>
    </row>
    <row r="616" spans="1:24" x14ac:dyDescent="0.35">
      <c r="A616">
        <v>623</v>
      </c>
      <c r="B616" s="9">
        <v>44036.583333333336</v>
      </c>
      <c r="C616" s="10">
        <f>INT(Cardiac_Table[[#This Row],[Hospital Admit Date ]])</f>
        <v>44036</v>
      </c>
      <c r="D616" s="11" t="str">
        <f t="shared" si="9"/>
        <v>14:00</v>
      </c>
      <c r="E616" s="9">
        <v>44037.333333333336</v>
      </c>
      <c r="F616" s="10">
        <f>INT(Cardiac_Table[[#This Row],[Procedure Start Date and Time]])</f>
        <v>44037</v>
      </c>
      <c r="G616" s="12">
        <f>MOD(Cardiac_Table[[#This Row],[Procedure Start Date and Time]],1)</f>
        <v>0.33333333333575865</v>
      </c>
      <c r="H616">
        <v>4</v>
      </c>
      <c r="I616" t="s">
        <v>4</v>
      </c>
      <c r="J616" t="s">
        <v>3</v>
      </c>
      <c r="K616" t="s">
        <v>33</v>
      </c>
      <c r="L616">
        <v>85</v>
      </c>
      <c r="M616">
        <v>12.4</v>
      </c>
      <c r="N616">
        <v>3.79</v>
      </c>
      <c r="O616" t="s">
        <v>15</v>
      </c>
      <c r="P616">
        <v>135</v>
      </c>
      <c r="Q616">
        <v>170</v>
      </c>
      <c r="R616">
        <v>73</v>
      </c>
      <c r="S616">
        <v>52</v>
      </c>
      <c r="T616" t="s">
        <v>48</v>
      </c>
      <c r="U616">
        <f>IF(Cardiac_Table[[#This Row],[Patient Status at Discharge]]="Died", 1,0)</f>
        <v>0</v>
      </c>
      <c r="V616">
        <f>Cardiac_Table[[#This Row],[Risk of Death % (Model 1)]]/100</f>
        <v>0.124</v>
      </c>
      <c r="W616">
        <f>Cardiac_Table[[#This Row],[Risk of Death % (Model 2)]]/100</f>
        <v>3.7900000000000003E-2</v>
      </c>
      <c r="X616" s="18">
        <f>Cardiac_Table[[#This Row],[Procedure Start Date and Time]]-Cardiac_Table[[#This Row],[Hospital Admit Date ]]</f>
        <v>0.75</v>
      </c>
    </row>
    <row r="617" spans="1:24" x14ac:dyDescent="0.35">
      <c r="A617">
        <v>624</v>
      </c>
      <c r="B617" s="9">
        <v>44037.291666666664</v>
      </c>
      <c r="C617" s="10">
        <f>INT(Cardiac_Table[[#This Row],[Hospital Admit Date ]])</f>
        <v>44037</v>
      </c>
      <c r="D617" s="11" t="str">
        <f t="shared" si="9"/>
        <v>07:00</v>
      </c>
      <c r="E617" s="9">
        <v>44037.475694444445</v>
      </c>
      <c r="F617" s="10">
        <f>INT(Cardiac_Table[[#This Row],[Procedure Start Date and Time]])</f>
        <v>44037</v>
      </c>
      <c r="G617" s="12">
        <f>MOD(Cardiac_Table[[#This Row],[Procedure Start Date and Time]],1)</f>
        <v>0.47569444444525288</v>
      </c>
      <c r="H617">
        <v>4</v>
      </c>
      <c r="I617" t="s">
        <v>4</v>
      </c>
      <c r="J617" t="s">
        <v>3</v>
      </c>
      <c r="K617" t="s">
        <v>33</v>
      </c>
      <c r="L617">
        <v>78</v>
      </c>
      <c r="M617">
        <v>13.94</v>
      </c>
      <c r="N617">
        <v>3.33</v>
      </c>
      <c r="O617" t="s">
        <v>15</v>
      </c>
      <c r="P617">
        <v>78</v>
      </c>
      <c r="Q617">
        <v>168</v>
      </c>
      <c r="R617">
        <v>78</v>
      </c>
      <c r="S617">
        <v>41</v>
      </c>
      <c r="T617" t="s">
        <v>50</v>
      </c>
      <c r="U617">
        <f>IF(Cardiac_Table[[#This Row],[Patient Status at Discharge]]="Died", 1,0)</f>
        <v>0</v>
      </c>
      <c r="V617">
        <f>Cardiac_Table[[#This Row],[Risk of Death % (Model 1)]]/100</f>
        <v>0.1394</v>
      </c>
      <c r="W617">
        <f>Cardiac_Table[[#This Row],[Risk of Death % (Model 2)]]/100</f>
        <v>3.3300000000000003E-2</v>
      </c>
      <c r="X617" s="18">
        <f>Cardiac_Table[[#This Row],[Procedure Start Date and Time]]-Cardiac_Table[[#This Row],[Hospital Admit Date ]]</f>
        <v>0.18402777778101154</v>
      </c>
    </row>
    <row r="618" spans="1:24" x14ac:dyDescent="0.35">
      <c r="A618">
        <v>625</v>
      </c>
      <c r="B618" s="9">
        <v>44037.274305555555</v>
      </c>
      <c r="C618" s="10">
        <f>INT(Cardiac_Table[[#This Row],[Hospital Admit Date ]])</f>
        <v>44037</v>
      </c>
      <c r="D618" s="11" t="str">
        <f t="shared" si="9"/>
        <v>06:35</v>
      </c>
      <c r="E618" s="9">
        <v>44037.513888888891</v>
      </c>
      <c r="F618" s="10">
        <f>INT(Cardiac_Table[[#This Row],[Procedure Start Date and Time]])</f>
        <v>44037</v>
      </c>
      <c r="G618" s="12">
        <f>MOD(Cardiac_Table[[#This Row],[Procedure Start Date and Time]],1)</f>
        <v>0.51388888889050577</v>
      </c>
      <c r="H618">
        <v>5</v>
      </c>
      <c r="I618" t="s">
        <v>4</v>
      </c>
      <c r="J618" t="s">
        <v>10</v>
      </c>
      <c r="K618" t="s">
        <v>31</v>
      </c>
      <c r="L618">
        <v>69</v>
      </c>
      <c r="M618">
        <v>2.76</v>
      </c>
      <c r="N618">
        <v>0.87</v>
      </c>
      <c r="O618" t="s">
        <v>15</v>
      </c>
      <c r="P618">
        <v>87</v>
      </c>
      <c r="Q618">
        <v>170</v>
      </c>
      <c r="R618">
        <v>80</v>
      </c>
      <c r="S618">
        <v>55</v>
      </c>
      <c r="T618" t="s">
        <v>48</v>
      </c>
      <c r="U618">
        <f>IF(Cardiac_Table[[#This Row],[Patient Status at Discharge]]="Died", 1,0)</f>
        <v>0</v>
      </c>
      <c r="V618">
        <f>Cardiac_Table[[#This Row],[Risk of Death % (Model 1)]]/100</f>
        <v>2.76E-2</v>
      </c>
      <c r="W618">
        <f>Cardiac_Table[[#This Row],[Risk of Death % (Model 2)]]/100</f>
        <v>8.6999999999999994E-3</v>
      </c>
      <c r="X618" s="18">
        <f>Cardiac_Table[[#This Row],[Procedure Start Date and Time]]-Cardiac_Table[[#This Row],[Hospital Admit Date ]]</f>
        <v>0.23958333333575865</v>
      </c>
    </row>
    <row r="619" spans="1:24" x14ac:dyDescent="0.35">
      <c r="A619">
        <v>626</v>
      </c>
      <c r="B619" s="9">
        <v>44037.697916666664</v>
      </c>
      <c r="C619" s="10">
        <f>INT(Cardiac_Table[[#This Row],[Hospital Admit Date ]])</f>
        <v>44037</v>
      </c>
      <c r="D619" s="11" t="str">
        <f t="shared" si="9"/>
        <v>16:45</v>
      </c>
      <c r="E619" s="9">
        <v>44038.673611111109</v>
      </c>
      <c r="F619" s="10">
        <f>INT(Cardiac_Table[[#This Row],[Procedure Start Date and Time]])</f>
        <v>44038</v>
      </c>
      <c r="G619" s="12">
        <f>MOD(Cardiac_Table[[#This Row],[Procedure Start Date and Time]],1)</f>
        <v>0.67361111110949423</v>
      </c>
      <c r="H619">
        <v>4</v>
      </c>
      <c r="I619" t="s">
        <v>2</v>
      </c>
      <c r="J619" t="s">
        <v>10</v>
      </c>
      <c r="K619" t="s">
        <v>28</v>
      </c>
      <c r="L619">
        <v>55</v>
      </c>
      <c r="M619">
        <v>1.78</v>
      </c>
      <c r="N619">
        <v>1.01</v>
      </c>
      <c r="O619" t="s">
        <v>15</v>
      </c>
      <c r="P619">
        <v>122</v>
      </c>
      <c r="Q619">
        <v>147</v>
      </c>
      <c r="R619">
        <v>75</v>
      </c>
      <c r="S619">
        <v>25</v>
      </c>
      <c r="T619" t="s">
        <v>49</v>
      </c>
      <c r="U619">
        <f>IF(Cardiac_Table[[#This Row],[Patient Status at Discharge]]="Died", 1,0)</f>
        <v>0</v>
      </c>
      <c r="V619">
        <f>Cardiac_Table[[#This Row],[Risk of Death % (Model 1)]]/100</f>
        <v>1.78E-2</v>
      </c>
      <c r="W619">
        <f>Cardiac_Table[[#This Row],[Risk of Death % (Model 2)]]/100</f>
        <v>1.01E-2</v>
      </c>
      <c r="X619" s="18">
        <f>Cardiac_Table[[#This Row],[Procedure Start Date and Time]]-Cardiac_Table[[#This Row],[Hospital Admit Date ]]</f>
        <v>0.97569444444525288</v>
      </c>
    </row>
    <row r="620" spans="1:24" x14ac:dyDescent="0.35">
      <c r="A620">
        <v>627</v>
      </c>
      <c r="B620" s="9">
        <v>44038.666666666664</v>
      </c>
      <c r="C620" s="10">
        <f>INT(Cardiac_Table[[#This Row],[Hospital Admit Date ]])</f>
        <v>44038</v>
      </c>
      <c r="D620" s="11" t="str">
        <f t="shared" si="9"/>
        <v>16:00</v>
      </c>
      <c r="E620" s="9">
        <v>44039.329861111109</v>
      </c>
      <c r="F620" s="10">
        <f>INT(Cardiac_Table[[#This Row],[Procedure Start Date and Time]])</f>
        <v>44039</v>
      </c>
      <c r="G620" s="12">
        <f>MOD(Cardiac_Table[[#This Row],[Procedure Start Date and Time]],1)</f>
        <v>0.32986111110949423</v>
      </c>
      <c r="H620">
        <v>3</v>
      </c>
      <c r="I620" t="s">
        <v>4</v>
      </c>
      <c r="J620" t="s">
        <v>5</v>
      </c>
      <c r="K620" t="s">
        <v>29</v>
      </c>
      <c r="L620">
        <v>72</v>
      </c>
      <c r="M620">
        <v>3.51</v>
      </c>
      <c r="N620">
        <v>4.67</v>
      </c>
      <c r="O620" t="s">
        <v>15</v>
      </c>
      <c r="P620">
        <v>91</v>
      </c>
      <c r="Q620">
        <v>157</v>
      </c>
      <c r="R620">
        <v>82</v>
      </c>
      <c r="S620">
        <v>42</v>
      </c>
      <c r="T620" t="s">
        <v>50</v>
      </c>
      <c r="U620">
        <f>IF(Cardiac_Table[[#This Row],[Patient Status at Discharge]]="Died", 1,0)</f>
        <v>0</v>
      </c>
      <c r="V620">
        <f>Cardiac_Table[[#This Row],[Risk of Death % (Model 1)]]/100</f>
        <v>3.5099999999999999E-2</v>
      </c>
      <c r="W620">
        <f>Cardiac_Table[[#This Row],[Risk of Death % (Model 2)]]/100</f>
        <v>4.6699999999999998E-2</v>
      </c>
      <c r="X620" s="18">
        <f>Cardiac_Table[[#This Row],[Procedure Start Date and Time]]-Cardiac_Table[[#This Row],[Hospital Admit Date ]]</f>
        <v>0.66319444444525288</v>
      </c>
    </row>
    <row r="621" spans="1:24" x14ac:dyDescent="0.35">
      <c r="A621">
        <v>628</v>
      </c>
      <c r="B621" s="9">
        <v>44038.666666666664</v>
      </c>
      <c r="C621" s="10">
        <f>INT(Cardiac_Table[[#This Row],[Hospital Admit Date ]])</f>
        <v>44038</v>
      </c>
      <c r="D621" s="11" t="str">
        <f t="shared" si="9"/>
        <v>16:00</v>
      </c>
      <c r="E621" s="9">
        <v>44039.337500000001</v>
      </c>
      <c r="F621" s="10">
        <f>INT(Cardiac_Table[[#This Row],[Procedure Start Date and Time]])</f>
        <v>44039</v>
      </c>
      <c r="G621" s="12">
        <f>MOD(Cardiac_Table[[#This Row],[Procedure Start Date and Time]],1)</f>
        <v>0.33750000000145519</v>
      </c>
      <c r="H621">
        <v>4</v>
      </c>
      <c r="I621" t="s">
        <v>4</v>
      </c>
      <c r="J621" t="s">
        <v>1</v>
      </c>
      <c r="K621" t="s">
        <v>23</v>
      </c>
      <c r="L621">
        <v>80</v>
      </c>
      <c r="M621">
        <v>16.5</v>
      </c>
      <c r="N621">
        <v>4.3099999999999996</v>
      </c>
      <c r="O621" t="s">
        <v>15</v>
      </c>
      <c r="P621">
        <v>165</v>
      </c>
      <c r="Q621">
        <v>180</v>
      </c>
      <c r="R621">
        <v>110</v>
      </c>
      <c r="S621">
        <v>65</v>
      </c>
      <c r="T621" t="s">
        <v>48</v>
      </c>
      <c r="U621">
        <f>IF(Cardiac_Table[[#This Row],[Patient Status at Discharge]]="Died", 1,0)</f>
        <v>0</v>
      </c>
      <c r="V621">
        <f>Cardiac_Table[[#This Row],[Risk of Death % (Model 1)]]/100</f>
        <v>0.16500000000000001</v>
      </c>
      <c r="W621">
        <f>Cardiac_Table[[#This Row],[Risk of Death % (Model 2)]]/100</f>
        <v>4.3099999999999999E-2</v>
      </c>
      <c r="X621" s="18">
        <f>Cardiac_Table[[#This Row],[Procedure Start Date and Time]]-Cardiac_Table[[#This Row],[Hospital Admit Date ]]</f>
        <v>0.67083333333721384</v>
      </c>
    </row>
    <row r="622" spans="1:24" x14ac:dyDescent="0.35">
      <c r="A622">
        <v>629</v>
      </c>
      <c r="B622" s="9">
        <v>44037.431250000001</v>
      </c>
      <c r="C622" s="10">
        <f>INT(Cardiac_Table[[#This Row],[Hospital Admit Date ]])</f>
        <v>44037</v>
      </c>
      <c r="D622" s="11" t="str">
        <f t="shared" si="9"/>
        <v>10:21</v>
      </c>
      <c r="E622" s="9">
        <v>44039.371527777781</v>
      </c>
      <c r="F622" s="10">
        <f>INT(Cardiac_Table[[#This Row],[Procedure Start Date and Time]])</f>
        <v>44039</v>
      </c>
      <c r="G622" s="12">
        <f>MOD(Cardiac_Table[[#This Row],[Procedure Start Date and Time]],1)</f>
        <v>0.37152777778101154</v>
      </c>
      <c r="H622">
        <v>2</v>
      </c>
      <c r="I622" t="s">
        <v>4</v>
      </c>
      <c r="J622" t="s">
        <v>11</v>
      </c>
      <c r="K622" t="s">
        <v>32</v>
      </c>
      <c r="L622">
        <v>47</v>
      </c>
      <c r="M622">
        <v>9.01</v>
      </c>
      <c r="N622">
        <v>5.38</v>
      </c>
      <c r="O622" t="s">
        <v>15</v>
      </c>
      <c r="P622">
        <v>67</v>
      </c>
      <c r="Q622">
        <v>179</v>
      </c>
      <c r="R622">
        <v>61</v>
      </c>
      <c r="S622">
        <v>55</v>
      </c>
      <c r="T622" t="s">
        <v>48</v>
      </c>
      <c r="U622">
        <f>IF(Cardiac_Table[[#This Row],[Patient Status at Discharge]]="Died", 1,0)</f>
        <v>0</v>
      </c>
      <c r="V622">
        <f>Cardiac_Table[[#This Row],[Risk of Death % (Model 1)]]/100</f>
        <v>9.01E-2</v>
      </c>
      <c r="W622">
        <f>Cardiac_Table[[#This Row],[Risk of Death % (Model 2)]]/100</f>
        <v>5.3800000000000001E-2</v>
      </c>
      <c r="X622" s="18">
        <f>Cardiac_Table[[#This Row],[Procedure Start Date and Time]]-Cardiac_Table[[#This Row],[Hospital Admit Date ]]</f>
        <v>1.9402777777795563</v>
      </c>
    </row>
    <row r="623" spans="1:24" x14ac:dyDescent="0.35">
      <c r="A623">
        <v>630</v>
      </c>
      <c r="B623" s="9">
        <v>44038.666666666664</v>
      </c>
      <c r="C623" s="10">
        <f>INT(Cardiac_Table[[#This Row],[Hospital Admit Date ]])</f>
        <v>44038</v>
      </c>
      <c r="D623" s="11" t="str">
        <f t="shared" si="9"/>
        <v>16:00</v>
      </c>
      <c r="E623" s="9">
        <v>44039.570138888892</v>
      </c>
      <c r="F623" s="10">
        <f>INT(Cardiac_Table[[#This Row],[Procedure Start Date and Time]])</f>
        <v>44039</v>
      </c>
      <c r="G623" s="12">
        <f>MOD(Cardiac_Table[[#This Row],[Procedure Start Date and Time]],1)</f>
        <v>0.57013888889196096</v>
      </c>
      <c r="H623">
        <v>4</v>
      </c>
      <c r="I623" t="s">
        <v>4</v>
      </c>
      <c r="J623" t="s">
        <v>11</v>
      </c>
      <c r="K623" t="s">
        <v>24</v>
      </c>
      <c r="L623">
        <v>70</v>
      </c>
      <c r="M623">
        <v>4.24</v>
      </c>
      <c r="N623">
        <v>2.41</v>
      </c>
      <c r="O623" t="s">
        <v>15</v>
      </c>
      <c r="P623">
        <v>107</v>
      </c>
      <c r="Q623">
        <v>183</v>
      </c>
      <c r="R623">
        <v>84</v>
      </c>
      <c r="S623">
        <v>35</v>
      </c>
      <c r="T623" t="s">
        <v>50</v>
      </c>
      <c r="U623">
        <f>IF(Cardiac_Table[[#This Row],[Patient Status at Discharge]]="Died", 1,0)</f>
        <v>0</v>
      </c>
      <c r="V623">
        <f>Cardiac_Table[[#This Row],[Risk of Death % (Model 1)]]/100</f>
        <v>4.24E-2</v>
      </c>
      <c r="W623">
        <f>Cardiac_Table[[#This Row],[Risk of Death % (Model 2)]]/100</f>
        <v>2.41E-2</v>
      </c>
      <c r="X623" s="18">
        <f>Cardiac_Table[[#This Row],[Procedure Start Date and Time]]-Cardiac_Table[[#This Row],[Hospital Admit Date ]]</f>
        <v>0.90347222222771961</v>
      </c>
    </row>
    <row r="624" spans="1:24" x14ac:dyDescent="0.35">
      <c r="A624">
        <v>631</v>
      </c>
      <c r="B624" s="9">
        <v>44039.581944444442</v>
      </c>
      <c r="C624" s="10">
        <f>INT(Cardiac_Table[[#This Row],[Hospital Admit Date ]])</f>
        <v>44039</v>
      </c>
      <c r="D624" s="11" t="str">
        <f t="shared" si="9"/>
        <v>13:58</v>
      </c>
      <c r="E624" s="9">
        <v>44039.605555555558</v>
      </c>
      <c r="F624" s="10">
        <f>INT(Cardiac_Table[[#This Row],[Procedure Start Date and Time]])</f>
        <v>44039</v>
      </c>
      <c r="G624" s="12">
        <f>MOD(Cardiac_Table[[#This Row],[Procedure Start Date and Time]],1)</f>
        <v>0.6055555555576575</v>
      </c>
      <c r="H624">
        <v>2</v>
      </c>
      <c r="I624" t="s">
        <v>2</v>
      </c>
      <c r="J624" t="s">
        <v>1</v>
      </c>
      <c r="K624" t="s">
        <v>23</v>
      </c>
      <c r="L624">
        <v>40</v>
      </c>
      <c r="M624">
        <v>12.15</v>
      </c>
      <c r="N624">
        <v>4.04</v>
      </c>
      <c r="O624" t="s">
        <v>15</v>
      </c>
      <c r="P624">
        <v>81</v>
      </c>
      <c r="Q624">
        <v>184</v>
      </c>
      <c r="R624">
        <v>114</v>
      </c>
      <c r="S624">
        <v>27</v>
      </c>
      <c r="T624" t="s">
        <v>49</v>
      </c>
      <c r="U624">
        <f>IF(Cardiac_Table[[#This Row],[Patient Status at Discharge]]="Died", 1,0)</f>
        <v>0</v>
      </c>
      <c r="V624">
        <f>Cardiac_Table[[#This Row],[Risk of Death % (Model 1)]]/100</f>
        <v>0.1215</v>
      </c>
      <c r="W624">
        <f>Cardiac_Table[[#This Row],[Risk of Death % (Model 2)]]/100</f>
        <v>4.0399999999999998E-2</v>
      </c>
      <c r="X624" s="18">
        <f>Cardiac_Table[[#This Row],[Procedure Start Date and Time]]-Cardiac_Table[[#This Row],[Hospital Admit Date ]]</f>
        <v>2.3611111115314998E-2</v>
      </c>
    </row>
    <row r="625" spans="1:24" x14ac:dyDescent="0.35">
      <c r="A625">
        <v>632</v>
      </c>
      <c r="B625" s="9">
        <v>44034.910416666666</v>
      </c>
      <c r="C625" s="10">
        <f>INT(Cardiac_Table[[#This Row],[Hospital Admit Date ]])</f>
        <v>44034</v>
      </c>
      <c r="D625" s="11" t="str">
        <f t="shared" si="9"/>
        <v>21:51</v>
      </c>
      <c r="E625" s="9">
        <v>44039.624305555553</v>
      </c>
      <c r="F625" s="10">
        <f>INT(Cardiac_Table[[#This Row],[Procedure Start Date and Time]])</f>
        <v>44039</v>
      </c>
      <c r="G625" s="12">
        <f>MOD(Cardiac_Table[[#This Row],[Procedure Start Date and Time]],1)</f>
        <v>0.62430555555329192</v>
      </c>
      <c r="H625">
        <v>3</v>
      </c>
      <c r="I625" t="s">
        <v>6</v>
      </c>
      <c r="J625" t="s">
        <v>10</v>
      </c>
      <c r="K625" t="s">
        <v>29</v>
      </c>
      <c r="L625">
        <v>73</v>
      </c>
      <c r="M625">
        <v>5.6</v>
      </c>
      <c r="N625">
        <v>2.11</v>
      </c>
      <c r="O625" t="s">
        <v>15</v>
      </c>
      <c r="P625">
        <v>121</v>
      </c>
      <c r="Q625">
        <v>157</v>
      </c>
      <c r="R625">
        <v>67</v>
      </c>
      <c r="S625">
        <v>43</v>
      </c>
      <c r="T625" t="s">
        <v>50</v>
      </c>
      <c r="U625">
        <f>IF(Cardiac_Table[[#This Row],[Patient Status at Discharge]]="Died", 1,0)</f>
        <v>0</v>
      </c>
      <c r="V625">
        <f>Cardiac_Table[[#This Row],[Risk of Death % (Model 1)]]/100</f>
        <v>5.5999999999999994E-2</v>
      </c>
      <c r="W625">
        <f>Cardiac_Table[[#This Row],[Risk of Death % (Model 2)]]/100</f>
        <v>2.1099999999999997E-2</v>
      </c>
      <c r="X625" s="18">
        <f>Cardiac_Table[[#This Row],[Procedure Start Date and Time]]-Cardiac_Table[[#This Row],[Hospital Admit Date ]]</f>
        <v>4.7138888888875954</v>
      </c>
    </row>
    <row r="626" spans="1:24" x14ac:dyDescent="0.35">
      <c r="A626">
        <v>633</v>
      </c>
      <c r="B626" s="9">
        <v>44039.666666666664</v>
      </c>
      <c r="C626" s="10">
        <f>INT(Cardiac_Table[[#This Row],[Hospital Admit Date ]])</f>
        <v>44039</v>
      </c>
      <c r="D626" s="11" t="str">
        <f t="shared" si="9"/>
        <v>16:00</v>
      </c>
      <c r="E626" s="9">
        <v>44040.336805555555</v>
      </c>
      <c r="F626" s="10">
        <f>INT(Cardiac_Table[[#This Row],[Procedure Start Date and Time]])</f>
        <v>44040</v>
      </c>
      <c r="G626" s="12">
        <f>MOD(Cardiac_Table[[#This Row],[Procedure Start Date and Time]],1)</f>
        <v>0.33680555555474712</v>
      </c>
      <c r="H626">
        <v>3</v>
      </c>
      <c r="I626" t="s">
        <v>4</v>
      </c>
      <c r="J626" t="s">
        <v>1</v>
      </c>
      <c r="K626" t="s">
        <v>26</v>
      </c>
      <c r="L626">
        <v>55</v>
      </c>
      <c r="M626">
        <v>6.35</v>
      </c>
      <c r="N626">
        <v>2.72</v>
      </c>
      <c r="O626" t="s">
        <v>15</v>
      </c>
      <c r="P626">
        <v>78</v>
      </c>
      <c r="Q626">
        <v>159</v>
      </c>
      <c r="R626">
        <v>58</v>
      </c>
      <c r="S626">
        <v>50</v>
      </c>
      <c r="T626" t="s">
        <v>50</v>
      </c>
      <c r="U626">
        <f>IF(Cardiac_Table[[#This Row],[Patient Status at Discharge]]="Died", 1,0)</f>
        <v>0</v>
      </c>
      <c r="V626">
        <f>Cardiac_Table[[#This Row],[Risk of Death % (Model 1)]]/100</f>
        <v>6.3500000000000001E-2</v>
      </c>
      <c r="W626">
        <f>Cardiac_Table[[#This Row],[Risk of Death % (Model 2)]]/100</f>
        <v>2.7200000000000002E-2</v>
      </c>
      <c r="X626" s="18">
        <f>Cardiac_Table[[#This Row],[Procedure Start Date and Time]]-Cardiac_Table[[#This Row],[Hospital Admit Date ]]</f>
        <v>0.67013888889050577</v>
      </c>
    </row>
    <row r="627" spans="1:24" x14ac:dyDescent="0.35">
      <c r="A627">
        <v>634</v>
      </c>
      <c r="B627" s="9">
        <v>44039.666666666664</v>
      </c>
      <c r="C627" s="10">
        <f>INT(Cardiac_Table[[#This Row],[Hospital Admit Date ]])</f>
        <v>44039</v>
      </c>
      <c r="D627" s="11" t="str">
        <f t="shared" si="9"/>
        <v>16:00</v>
      </c>
      <c r="E627" s="9">
        <v>44040.338194444441</v>
      </c>
      <c r="F627" s="10">
        <f>INT(Cardiac_Table[[#This Row],[Procedure Start Date and Time]])</f>
        <v>44040</v>
      </c>
      <c r="G627" s="12">
        <f>MOD(Cardiac_Table[[#This Row],[Procedure Start Date and Time]],1)</f>
        <v>0.33819444444088731</v>
      </c>
      <c r="H627">
        <v>5</v>
      </c>
      <c r="I627" t="s">
        <v>4</v>
      </c>
      <c r="J627" t="s">
        <v>11</v>
      </c>
      <c r="K627" t="s">
        <v>29</v>
      </c>
      <c r="L627">
        <v>68</v>
      </c>
      <c r="M627">
        <v>5.09</v>
      </c>
      <c r="N627">
        <v>3.68</v>
      </c>
      <c r="O627" t="s">
        <v>15</v>
      </c>
      <c r="P627">
        <v>79</v>
      </c>
      <c r="Q627">
        <v>170</v>
      </c>
      <c r="R627">
        <v>61</v>
      </c>
      <c r="S627">
        <v>62</v>
      </c>
      <c r="T627" t="s">
        <v>48</v>
      </c>
      <c r="U627">
        <f>IF(Cardiac_Table[[#This Row],[Patient Status at Discharge]]="Died", 1,0)</f>
        <v>0</v>
      </c>
      <c r="V627">
        <f>Cardiac_Table[[#This Row],[Risk of Death % (Model 1)]]/100</f>
        <v>5.0900000000000001E-2</v>
      </c>
      <c r="W627">
        <f>Cardiac_Table[[#This Row],[Risk of Death % (Model 2)]]/100</f>
        <v>3.6799999999999999E-2</v>
      </c>
      <c r="X627" s="18">
        <f>Cardiac_Table[[#This Row],[Procedure Start Date and Time]]-Cardiac_Table[[#This Row],[Hospital Admit Date ]]</f>
        <v>0.67152777777664596</v>
      </c>
    </row>
    <row r="628" spans="1:24" x14ac:dyDescent="0.35">
      <c r="A628">
        <v>635</v>
      </c>
      <c r="B628" s="9">
        <v>44028.493750000001</v>
      </c>
      <c r="C628" s="10">
        <f>INT(Cardiac_Table[[#This Row],[Hospital Admit Date ]])</f>
        <v>44028</v>
      </c>
      <c r="D628" s="11" t="str">
        <f t="shared" si="9"/>
        <v>11:51</v>
      </c>
      <c r="E628" s="9">
        <v>44040.343055555553</v>
      </c>
      <c r="F628" s="10">
        <f>INT(Cardiac_Table[[#This Row],[Procedure Start Date and Time]])</f>
        <v>44040</v>
      </c>
      <c r="G628" s="12">
        <f>MOD(Cardiac_Table[[#This Row],[Procedure Start Date and Time]],1)</f>
        <v>0.34305555555329192</v>
      </c>
      <c r="H628">
        <v>4</v>
      </c>
      <c r="I628" t="s">
        <v>6</v>
      </c>
      <c r="J628" t="s">
        <v>3</v>
      </c>
      <c r="K628" t="s">
        <v>28</v>
      </c>
      <c r="L628">
        <v>44</v>
      </c>
      <c r="M628">
        <v>5.44</v>
      </c>
      <c r="N628">
        <v>7.6</v>
      </c>
      <c r="O628" t="s">
        <v>15</v>
      </c>
      <c r="P628">
        <v>68</v>
      </c>
      <c r="Q628">
        <v>175</v>
      </c>
      <c r="R628">
        <v>74</v>
      </c>
      <c r="S628">
        <v>35</v>
      </c>
      <c r="T628" t="s">
        <v>50</v>
      </c>
      <c r="U628">
        <f>IF(Cardiac_Table[[#This Row],[Patient Status at Discharge]]="Died", 1,0)</f>
        <v>0</v>
      </c>
      <c r="V628">
        <f>Cardiac_Table[[#This Row],[Risk of Death % (Model 1)]]/100</f>
        <v>5.4400000000000004E-2</v>
      </c>
      <c r="W628">
        <f>Cardiac_Table[[#This Row],[Risk of Death % (Model 2)]]/100</f>
        <v>7.5999999999999998E-2</v>
      </c>
      <c r="X628" s="18">
        <f>Cardiac_Table[[#This Row],[Procedure Start Date and Time]]-Cardiac_Table[[#This Row],[Hospital Admit Date ]]</f>
        <v>11.849305555551837</v>
      </c>
    </row>
    <row r="629" spans="1:24" x14ac:dyDescent="0.35">
      <c r="A629">
        <v>636</v>
      </c>
      <c r="B629" s="9">
        <v>44038.666666666664</v>
      </c>
      <c r="C629" s="10">
        <f>INT(Cardiac_Table[[#This Row],[Hospital Admit Date ]])</f>
        <v>44038</v>
      </c>
      <c r="D629" s="11" t="str">
        <f t="shared" si="9"/>
        <v>16:00</v>
      </c>
      <c r="E629" s="9">
        <v>44040.344444444447</v>
      </c>
      <c r="F629" s="10">
        <f>INT(Cardiac_Table[[#This Row],[Procedure Start Date and Time]])</f>
        <v>44040</v>
      </c>
      <c r="G629" s="12">
        <f>MOD(Cardiac_Table[[#This Row],[Procedure Start Date and Time]],1)</f>
        <v>0.34444444444670808</v>
      </c>
      <c r="H629">
        <v>6</v>
      </c>
      <c r="I629" t="s">
        <v>4</v>
      </c>
      <c r="J629" t="s">
        <v>11</v>
      </c>
      <c r="K629" t="s">
        <v>23</v>
      </c>
      <c r="L629">
        <v>72</v>
      </c>
      <c r="M629">
        <v>4.8099999999999996</v>
      </c>
      <c r="N629">
        <v>2.0299999999999998</v>
      </c>
      <c r="O629" t="s">
        <v>15</v>
      </c>
      <c r="P629">
        <v>61</v>
      </c>
      <c r="Q629">
        <v>190</v>
      </c>
      <c r="R629">
        <v>120</v>
      </c>
      <c r="S629">
        <v>55</v>
      </c>
      <c r="T629" t="s">
        <v>48</v>
      </c>
      <c r="U629">
        <f>IF(Cardiac_Table[[#This Row],[Patient Status at Discharge]]="Died", 1,0)</f>
        <v>0</v>
      </c>
      <c r="V629">
        <f>Cardiac_Table[[#This Row],[Risk of Death % (Model 1)]]/100</f>
        <v>4.8099999999999997E-2</v>
      </c>
      <c r="W629">
        <f>Cardiac_Table[[#This Row],[Risk of Death % (Model 2)]]/100</f>
        <v>2.0299999999999999E-2</v>
      </c>
      <c r="X629" s="18">
        <f>Cardiac_Table[[#This Row],[Procedure Start Date and Time]]-Cardiac_Table[[#This Row],[Hospital Admit Date ]]</f>
        <v>1.6777777777824667</v>
      </c>
    </row>
    <row r="630" spans="1:24" x14ac:dyDescent="0.35">
      <c r="A630">
        <v>637</v>
      </c>
      <c r="B630" s="9">
        <v>44040.473611111112</v>
      </c>
      <c r="C630" s="10">
        <f>INT(Cardiac_Table[[#This Row],[Hospital Admit Date ]])</f>
        <v>44040</v>
      </c>
      <c r="D630" s="11" t="str">
        <f t="shared" si="9"/>
        <v>11:22</v>
      </c>
      <c r="E630" s="9">
        <v>44040.477777777778</v>
      </c>
      <c r="F630" s="10">
        <f>INT(Cardiac_Table[[#This Row],[Procedure Start Date and Time]])</f>
        <v>44040</v>
      </c>
      <c r="G630" s="12">
        <f>MOD(Cardiac_Table[[#This Row],[Procedure Start Date and Time]],1)</f>
        <v>0.47777777777810115</v>
      </c>
      <c r="H630">
        <v>1</v>
      </c>
      <c r="I630" t="s">
        <v>2</v>
      </c>
      <c r="J630" t="s">
        <v>1</v>
      </c>
      <c r="K630" t="s">
        <v>31</v>
      </c>
      <c r="L630">
        <v>76</v>
      </c>
      <c r="M630">
        <v>30.05</v>
      </c>
      <c r="N630">
        <v>4.1100000000000003</v>
      </c>
      <c r="O630" t="s">
        <v>15</v>
      </c>
      <c r="P630">
        <v>85</v>
      </c>
      <c r="Q630">
        <v>156</v>
      </c>
      <c r="R630">
        <v>57</v>
      </c>
      <c r="S630">
        <v>55</v>
      </c>
      <c r="T630" t="s">
        <v>48</v>
      </c>
      <c r="U630">
        <f>IF(Cardiac_Table[[#This Row],[Patient Status at Discharge]]="Died", 1,0)</f>
        <v>0</v>
      </c>
      <c r="V630">
        <f>Cardiac_Table[[#This Row],[Risk of Death % (Model 1)]]/100</f>
        <v>0.30049999999999999</v>
      </c>
      <c r="W630">
        <f>Cardiac_Table[[#This Row],[Risk of Death % (Model 2)]]/100</f>
        <v>4.1100000000000005E-2</v>
      </c>
      <c r="X630" s="18">
        <f>Cardiac_Table[[#This Row],[Procedure Start Date and Time]]-Cardiac_Table[[#This Row],[Hospital Admit Date ]]</f>
        <v>4.166666665696539E-3</v>
      </c>
    </row>
    <row r="631" spans="1:24" x14ac:dyDescent="0.35">
      <c r="A631">
        <v>638</v>
      </c>
      <c r="B631" s="9">
        <v>44039.367361111108</v>
      </c>
      <c r="C631" s="10">
        <f>INT(Cardiac_Table[[#This Row],[Hospital Admit Date ]])</f>
        <v>44039</v>
      </c>
      <c r="D631" s="11" t="str">
        <f t="shared" si="9"/>
        <v>08:49</v>
      </c>
      <c r="E631" s="9">
        <v>44040.542361111111</v>
      </c>
      <c r="F631" s="10">
        <f>INT(Cardiac_Table[[#This Row],[Procedure Start Date and Time]])</f>
        <v>44040</v>
      </c>
      <c r="G631" s="12">
        <f>MOD(Cardiac_Table[[#This Row],[Procedure Start Date and Time]],1)</f>
        <v>0.54236111111094942</v>
      </c>
      <c r="H631">
        <v>4</v>
      </c>
      <c r="I631" t="s">
        <v>4</v>
      </c>
      <c r="J631" t="s">
        <v>3</v>
      </c>
      <c r="K631" t="s">
        <v>28</v>
      </c>
      <c r="L631">
        <v>82</v>
      </c>
      <c r="M631">
        <v>8.9700000000000006</v>
      </c>
      <c r="N631">
        <v>4.0199999999999996</v>
      </c>
      <c r="O631" t="s">
        <v>15</v>
      </c>
      <c r="P631">
        <v>185</v>
      </c>
      <c r="Q631">
        <v>182</v>
      </c>
      <c r="R631">
        <v>95</v>
      </c>
      <c r="S631">
        <v>17</v>
      </c>
      <c r="T631" t="s">
        <v>51</v>
      </c>
      <c r="U631">
        <f>IF(Cardiac_Table[[#This Row],[Patient Status at Discharge]]="Died", 1,0)</f>
        <v>0</v>
      </c>
      <c r="V631">
        <f>Cardiac_Table[[#This Row],[Risk of Death % (Model 1)]]/100</f>
        <v>8.9700000000000002E-2</v>
      </c>
      <c r="W631">
        <f>Cardiac_Table[[#This Row],[Risk of Death % (Model 2)]]/100</f>
        <v>4.0199999999999993E-2</v>
      </c>
      <c r="X631" s="18">
        <f>Cardiac_Table[[#This Row],[Procedure Start Date and Time]]-Cardiac_Table[[#This Row],[Hospital Admit Date ]]</f>
        <v>1.1750000000029104</v>
      </c>
    </row>
    <row r="632" spans="1:24" x14ac:dyDescent="0.35">
      <c r="A632">
        <v>639</v>
      </c>
      <c r="B632" s="9">
        <v>44040.291666666664</v>
      </c>
      <c r="C632" s="10">
        <f>INT(Cardiac_Table[[#This Row],[Hospital Admit Date ]])</f>
        <v>44040</v>
      </c>
      <c r="D632" s="11" t="str">
        <f t="shared" si="9"/>
        <v>07:00</v>
      </c>
      <c r="E632" s="9">
        <v>44040.555555555555</v>
      </c>
      <c r="F632" s="10">
        <f>INT(Cardiac_Table[[#This Row],[Procedure Start Date and Time]])</f>
        <v>44040</v>
      </c>
      <c r="G632" s="12">
        <f>MOD(Cardiac_Table[[#This Row],[Procedure Start Date and Time]],1)</f>
        <v>0.55555555555474712</v>
      </c>
      <c r="H632">
        <v>3</v>
      </c>
      <c r="I632" t="s">
        <v>4</v>
      </c>
      <c r="J632" t="s">
        <v>10</v>
      </c>
      <c r="K632" t="s">
        <v>26</v>
      </c>
      <c r="L632">
        <v>69</v>
      </c>
      <c r="M632">
        <v>3.23</v>
      </c>
      <c r="N632">
        <v>2.09</v>
      </c>
      <c r="O632" t="s">
        <v>15</v>
      </c>
      <c r="P632">
        <v>71</v>
      </c>
      <c r="Q632">
        <v>174</v>
      </c>
      <c r="R632">
        <v>85</v>
      </c>
      <c r="S632">
        <v>51</v>
      </c>
      <c r="T632" t="s">
        <v>48</v>
      </c>
      <c r="U632">
        <f>IF(Cardiac_Table[[#This Row],[Patient Status at Discharge]]="Died", 1,0)</f>
        <v>0</v>
      </c>
      <c r="V632">
        <f>Cardiac_Table[[#This Row],[Risk of Death % (Model 1)]]/100</f>
        <v>3.2300000000000002E-2</v>
      </c>
      <c r="W632">
        <f>Cardiac_Table[[#This Row],[Risk of Death % (Model 2)]]/100</f>
        <v>2.0899999999999998E-2</v>
      </c>
      <c r="X632" s="18">
        <f>Cardiac_Table[[#This Row],[Procedure Start Date and Time]]-Cardiac_Table[[#This Row],[Hospital Admit Date ]]</f>
        <v>0.26388888889050577</v>
      </c>
    </row>
    <row r="633" spans="1:24" x14ac:dyDescent="0.35">
      <c r="A633">
        <v>640</v>
      </c>
      <c r="B633" s="9">
        <v>44039.486111111109</v>
      </c>
      <c r="C633" s="10">
        <f>INT(Cardiac_Table[[#This Row],[Hospital Admit Date ]])</f>
        <v>44039</v>
      </c>
      <c r="D633" s="11" t="str">
        <f t="shared" si="9"/>
        <v>11:40</v>
      </c>
      <c r="E633" s="9">
        <v>44040.588888888888</v>
      </c>
      <c r="F633" s="10">
        <f>INT(Cardiac_Table[[#This Row],[Procedure Start Date and Time]])</f>
        <v>44040</v>
      </c>
      <c r="G633" s="12">
        <f>MOD(Cardiac_Table[[#This Row],[Procedure Start Date and Time]],1)</f>
        <v>0.58888888888759539</v>
      </c>
      <c r="H633">
        <v>6</v>
      </c>
      <c r="I633" t="s">
        <v>4</v>
      </c>
      <c r="J633" t="s">
        <v>1</v>
      </c>
      <c r="K633" t="s">
        <v>23</v>
      </c>
      <c r="L633">
        <v>61</v>
      </c>
      <c r="M633">
        <v>7.19</v>
      </c>
      <c r="N633">
        <v>1.23</v>
      </c>
      <c r="O633" t="s">
        <v>15</v>
      </c>
      <c r="P633">
        <v>91</v>
      </c>
      <c r="Q633">
        <v>155</v>
      </c>
      <c r="R633">
        <v>56</v>
      </c>
      <c r="S633">
        <v>53</v>
      </c>
      <c r="T633" t="s">
        <v>48</v>
      </c>
      <c r="U633">
        <f>IF(Cardiac_Table[[#This Row],[Patient Status at Discharge]]="Died", 1,0)</f>
        <v>0</v>
      </c>
      <c r="V633">
        <f>Cardiac_Table[[#This Row],[Risk of Death % (Model 1)]]/100</f>
        <v>7.1900000000000006E-2</v>
      </c>
      <c r="W633">
        <f>Cardiac_Table[[#This Row],[Risk of Death % (Model 2)]]/100</f>
        <v>1.23E-2</v>
      </c>
      <c r="X633" s="18">
        <f>Cardiac_Table[[#This Row],[Procedure Start Date and Time]]-Cardiac_Table[[#This Row],[Hospital Admit Date ]]</f>
        <v>1.1027777777781012</v>
      </c>
    </row>
    <row r="634" spans="1:24" x14ac:dyDescent="0.35">
      <c r="A634">
        <v>641</v>
      </c>
      <c r="B634" s="9">
        <v>44040.291666666664</v>
      </c>
      <c r="C634" s="10">
        <f>INT(Cardiac_Table[[#This Row],[Hospital Admit Date ]])</f>
        <v>44040</v>
      </c>
      <c r="D634" s="11" t="str">
        <f t="shared" si="9"/>
        <v>07:00</v>
      </c>
      <c r="E634" s="9">
        <v>44040.604166666664</v>
      </c>
      <c r="F634" s="10">
        <f>INT(Cardiac_Table[[#This Row],[Procedure Start Date and Time]])</f>
        <v>44040</v>
      </c>
      <c r="G634" s="12">
        <f>MOD(Cardiac_Table[[#This Row],[Procedure Start Date and Time]],1)</f>
        <v>0.60416666666424135</v>
      </c>
      <c r="H634">
        <v>5</v>
      </c>
      <c r="I634" t="s">
        <v>4</v>
      </c>
      <c r="J634" t="s">
        <v>10</v>
      </c>
      <c r="K634" t="s">
        <v>29</v>
      </c>
      <c r="L634">
        <v>53</v>
      </c>
      <c r="M634">
        <v>2.54</v>
      </c>
      <c r="N634">
        <v>2.21</v>
      </c>
      <c r="O634" t="s">
        <v>15</v>
      </c>
      <c r="P634">
        <v>61</v>
      </c>
      <c r="Q634">
        <v>156</v>
      </c>
      <c r="R634">
        <v>66</v>
      </c>
      <c r="S634">
        <v>65</v>
      </c>
      <c r="T634" t="s">
        <v>48</v>
      </c>
      <c r="U634">
        <f>IF(Cardiac_Table[[#This Row],[Patient Status at Discharge]]="Died", 1,0)</f>
        <v>0</v>
      </c>
      <c r="V634">
        <f>Cardiac_Table[[#This Row],[Risk of Death % (Model 1)]]/100</f>
        <v>2.5399999999999999E-2</v>
      </c>
      <c r="W634">
        <f>Cardiac_Table[[#This Row],[Risk of Death % (Model 2)]]/100</f>
        <v>2.2099999999999998E-2</v>
      </c>
      <c r="X634" s="18">
        <f>Cardiac_Table[[#This Row],[Procedure Start Date and Time]]-Cardiac_Table[[#This Row],[Hospital Admit Date ]]</f>
        <v>0.3125</v>
      </c>
    </row>
    <row r="635" spans="1:24" x14ac:dyDescent="0.35">
      <c r="A635">
        <v>642</v>
      </c>
      <c r="B635" s="9">
        <v>44040.676388888889</v>
      </c>
      <c r="C635" s="10">
        <f>INT(Cardiac_Table[[#This Row],[Hospital Admit Date ]])</f>
        <v>44040</v>
      </c>
      <c r="D635" s="11" t="str">
        <f t="shared" si="9"/>
        <v>16:14</v>
      </c>
      <c r="E635" s="9">
        <v>44041.341666666667</v>
      </c>
      <c r="F635" s="10">
        <f>INT(Cardiac_Table[[#This Row],[Procedure Start Date and Time]])</f>
        <v>44041</v>
      </c>
      <c r="G635" s="12">
        <f>MOD(Cardiac_Table[[#This Row],[Procedure Start Date and Time]],1)</f>
        <v>0.34166666666715173</v>
      </c>
      <c r="H635">
        <v>6</v>
      </c>
      <c r="I635" t="s">
        <v>4</v>
      </c>
      <c r="J635" t="s">
        <v>3</v>
      </c>
      <c r="K635" t="s">
        <v>30</v>
      </c>
      <c r="L635">
        <v>50</v>
      </c>
      <c r="M635">
        <v>1.51</v>
      </c>
      <c r="N635">
        <v>0.5</v>
      </c>
      <c r="O635" t="s">
        <v>15</v>
      </c>
      <c r="P635">
        <v>95</v>
      </c>
      <c r="Q635">
        <v>173</v>
      </c>
      <c r="R635">
        <v>84</v>
      </c>
      <c r="S635">
        <v>73</v>
      </c>
      <c r="T635" t="s">
        <v>48</v>
      </c>
      <c r="U635">
        <f>IF(Cardiac_Table[[#This Row],[Patient Status at Discharge]]="Died", 1,0)</f>
        <v>0</v>
      </c>
      <c r="V635">
        <f>Cardiac_Table[[#This Row],[Risk of Death % (Model 1)]]/100</f>
        <v>1.5100000000000001E-2</v>
      </c>
      <c r="W635">
        <f>Cardiac_Table[[#This Row],[Risk of Death % (Model 2)]]/100</f>
        <v>5.0000000000000001E-3</v>
      </c>
      <c r="X635" s="18">
        <f>Cardiac_Table[[#This Row],[Procedure Start Date and Time]]-Cardiac_Table[[#This Row],[Hospital Admit Date ]]</f>
        <v>0.66527777777810115</v>
      </c>
    </row>
    <row r="636" spans="1:24" x14ac:dyDescent="0.35">
      <c r="A636">
        <v>643</v>
      </c>
      <c r="B636" s="9">
        <v>44025.521527777775</v>
      </c>
      <c r="C636" s="10">
        <f>INT(Cardiac_Table[[#This Row],[Hospital Admit Date ]])</f>
        <v>44025</v>
      </c>
      <c r="D636" s="11" t="str">
        <f t="shared" si="9"/>
        <v>12:31</v>
      </c>
      <c r="E636" s="9">
        <v>44041.341666666667</v>
      </c>
      <c r="F636" s="10">
        <f>INT(Cardiac_Table[[#This Row],[Procedure Start Date and Time]])</f>
        <v>44041</v>
      </c>
      <c r="G636" s="12">
        <f>MOD(Cardiac_Table[[#This Row],[Procedure Start Date and Time]],1)</f>
        <v>0.34166666666715173</v>
      </c>
      <c r="H636">
        <v>3</v>
      </c>
      <c r="I636" t="s">
        <v>6</v>
      </c>
      <c r="J636" t="s">
        <v>10</v>
      </c>
      <c r="K636" t="s">
        <v>27</v>
      </c>
      <c r="L636">
        <v>58</v>
      </c>
      <c r="M636">
        <v>3.15</v>
      </c>
      <c r="N636">
        <v>1.93</v>
      </c>
      <c r="O636" t="s">
        <v>15</v>
      </c>
      <c r="P636">
        <v>75</v>
      </c>
      <c r="Q636">
        <v>165</v>
      </c>
      <c r="R636">
        <v>57</v>
      </c>
      <c r="S636">
        <v>66</v>
      </c>
      <c r="T636" t="s">
        <v>48</v>
      </c>
      <c r="U636">
        <f>IF(Cardiac_Table[[#This Row],[Patient Status at Discharge]]="Died", 1,0)</f>
        <v>0</v>
      </c>
      <c r="V636">
        <f>Cardiac_Table[[#This Row],[Risk of Death % (Model 1)]]/100</f>
        <v>3.15E-2</v>
      </c>
      <c r="W636">
        <f>Cardiac_Table[[#This Row],[Risk of Death % (Model 2)]]/100</f>
        <v>1.9299999999999998E-2</v>
      </c>
      <c r="X636" s="18">
        <f>Cardiac_Table[[#This Row],[Procedure Start Date and Time]]-Cardiac_Table[[#This Row],[Hospital Admit Date ]]</f>
        <v>15.820138888891961</v>
      </c>
    </row>
    <row r="637" spans="1:24" x14ac:dyDescent="0.35">
      <c r="A637">
        <v>644</v>
      </c>
      <c r="B637" s="9">
        <v>44041.306944444441</v>
      </c>
      <c r="C637" s="10">
        <f>INT(Cardiac_Table[[#This Row],[Hospital Admit Date ]])</f>
        <v>44041</v>
      </c>
      <c r="D637" s="11" t="str">
        <f t="shared" si="9"/>
        <v>07:22</v>
      </c>
      <c r="E637" s="9">
        <v>44041.538194444445</v>
      </c>
      <c r="F637" s="10">
        <f>INT(Cardiac_Table[[#This Row],[Procedure Start Date and Time]])</f>
        <v>44041</v>
      </c>
      <c r="G637" s="12">
        <f>MOD(Cardiac_Table[[#This Row],[Procedure Start Date and Time]],1)</f>
        <v>0.53819444444525288</v>
      </c>
      <c r="H637">
        <v>6</v>
      </c>
      <c r="I637" t="s">
        <v>4</v>
      </c>
      <c r="J637" t="s">
        <v>10</v>
      </c>
      <c r="K637" t="s">
        <v>30</v>
      </c>
      <c r="L637">
        <v>54</v>
      </c>
      <c r="M637">
        <v>0.88</v>
      </c>
      <c r="N637">
        <v>0.5</v>
      </c>
      <c r="O637" t="s">
        <v>15</v>
      </c>
      <c r="P637">
        <v>91</v>
      </c>
      <c r="Q637">
        <v>170</v>
      </c>
      <c r="R637">
        <v>85</v>
      </c>
      <c r="S637">
        <v>20</v>
      </c>
      <c r="T637" t="s">
        <v>51</v>
      </c>
      <c r="U637">
        <f>IF(Cardiac_Table[[#This Row],[Patient Status at Discharge]]="Died", 1,0)</f>
        <v>0</v>
      </c>
      <c r="V637">
        <f>Cardiac_Table[[#This Row],[Risk of Death % (Model 1)]]/100</f>
        <v>8.8000000000000005E-3</v>
      </c>
      <c r="W637">
        <f>Cardiac_Table[[#This Row],[Risk of Death % (Model 2)]]/100</f>
        <v>5.0000000000000001E-3</v>
      </c>
      <c r="X637" s="18">
        <f>Cardiac_Table[[#This Row],[Procedure Start Date and Time]]-Cardiac_Table[[#This Row],[Hospital Admit Date ]]</f>
        <v>0.23125000000436557</v>
      </c>
    </row>
    <row r="638" spans="1:24" x14ac:dyDescent="0.35">
      <c r="A638">
        <v>645</v>
      </c>
      <c r="B638" s="9">
        <v>44042.291666666664</v>
      </c>
      <c r="C638" s="10">
        <f>INT(Cardiac_Table[[#This Row],[Hospital Admit Date ]])</f>
        <v>44042</v>
      </c>
      <c r="D638" s="11" t="str">
        <f t="shared" si="9"/>
        <v>07:00</v>
      </c>
      <c r="E638" s="9">
        <v>44042.5</v>
      </c>
      <c r="F638" s="10">
        <f>INT(Cardiac_Table[[#This Row],[Procedure Start Date and Time]])</f>
        <v>44042</v>
      </c>
      <c r="G638" s="12">
        <f>MOD(Cardiac_Table[[#This Row],[Procedure Start Date and Time]],1)</f>
        <v>0.5</v>
      </c>
      <c r="H638">
        <v>3</v>
      </c>
      <c r="I638" t="s">
        <v>4</v>
      </c>
      <c r="J638" t="s">
        <v>10</v>
      </c>
      <c r="K638" t="s">
        <v>23</v>
      </c>
      <c r="L638">
        <v>76</v>
      </c>
      <c r="M638">
        <v>2.69</v>
      </c>
      <c r="N638">
        <v>1.07</v>
      </c>
      <c r="O638" t="s">
        <v>15</v>
      </c>
      <c r="P638">
        <v>65</v>
      </c>
      <c r="Q638">
        <v>170</v>
      </c>
      <c r="R638">
        <v>93</v>
      </c>
      <c r="S638">
        <v>44</v>
      </c>
      <c r="T638" t="s">
        <v>50</v>
      </c>
      <c r="U638">
        <f>IF(Cardiac_Table[[#This Row],[Patient Status at Discharge]]="Died", 1,0)</f>
        <v>0</v>
      </c>
      <c r="V638">
        <f>Cardiac_Table[[#This Row],[Risk of Death % (Model 1)]]/100</f>
        <v>2.69E-2</v>
      </c>
      <c r="W638">
        <f>Cardiac_Table[[#This Row],[Risk of Death % (Model 2)]]/100</f>
        <v>1.0700000000000001E-2</v>
      </c>
      <c r="X638" s="18">
        <f>Cardiac_Table[[#This Row],[Procedure Start Date and Time]]-Cardiac_Table[[#This Row],[Hospital Admit Date ]]</f>
        <v>0.20833333333575865</v>
      </c>
    </row>
    <row r="639" spans="1:24" x14ac:dyDescent="0.35">
      <c r="A639">
        <v>646</v>
      </c>
      <c r="B639" s="9">
        <v>44042.291666666664</v>
      </c>
      <c r="C639" s="10">
        <f>INT(Cardiac_Table[[#This Row],[Hospital Admit Date ]])</f>
        <v>44042</v>
      </c>
      <c r="D639" s="11" t="str">
        <f t="shared" si="9"/>
        <v>07:00</v>
      </c>
      <c r="E639" s="9">
        <v>44042.510416666664</v>
      </c>
      <c r="F639" s="10">
        <f>INT(Cardiac_Table[[#This Row],[Procedure Start Date and Time]])</f>
        <v>44042</v>
      </c>
      <c r="G639" s="12">
        <f>MOD(Cardiac_Table[[#This Row],[Procedure Start Date and Time]],1)</f>
        <v>0.51041666666424135</v>
      </c>
      <c r="H639">
        <v>5</v>
      </c>
      <c r="I639" t="s">
        <v>4</v>
      </c>
      <c r="J639" t="s">
        <v>3</v>
      </c>
      <c r="K639" t="s">
        <v>28</v>
      </c>
      <c r="L639">
        <v>62</v>
      </c>
      <c r="M639">
        <v>2.5299999999999998</v>
      </c>
      <c r="N639">
        <v>2.2999999999999998</v>
      </c>
      <c r="O639" t="s">
        <v>15</v>
      </c>
      <c r="P639">
        <v>67</v>
      </c>
      <c r="Q639">
        <v>158</v>
      </c>
      <c r="R639">
        <v>65</v>
      </c>
      <c r="S639">
        <v>55</v>
      </c>
      <c r="T639" t="s">
        <v>48</v>
      </c>
      <c r="U639">
        <f>IF(Cardiac_Table[[#This Row],[Patient Status at Discharge]]="Died", 1,0)</f>
        <v>0</v>
      </c>
      <c r="V639">
        <f>Cardiac_Table[[#This Row],[Risk of Death % (Model 1)]]/100</f>
        <v>2.53E-2</v>
      </c>
      <c r="W639">
        <f>Cardiac_Table[[#This Row],[Risk of Death % (Model 2)]]/100</f>
        <v>2.3E-2</v>
      </c>
      <c r="X639" s="18">
        <f>Cardiac_Table[[#This Row],[Procedure Start Date and Time]]-Cardiac_Table[[#This Row],[Hospital Admit Date ]]</f>
        <v>0.21875</v>
      </c>
    </row>
    <row r="640" spans="1:24" x14ac:dyDescent="0.35">
      <c r="A640">
        <v>647</v>
      </c>
      <c r="B640" s="9">
        <v>44042.288194444445</v>
      </c>
      <c r="C640" s="10">
        <f>INT(Cardiac_Table[[#This Row],[Hospital Admit Date ]])</f>
        <v>44042</v>
      </c>
      <c r="D640" s="11" t="str">
        <f t="shared" si="9"/>
        <v>06:55</v>
      </c>
      <c r="E640" s="9">
        <v>44042.53125</v>
      </c>
      <c r="F640" s="10">
        <f>INT(Cardiac_Table[[#This Row],[Procedure Start Date and Time]])</f>
        <v>44042</v>
      </c>
      <c r="G640" s="12">
        <f>MOD(Cardiac_Table[[#This Row],[Procedure Start Date and Time]],1)</f>
        <v>0.53125</v>
      </c>
      <c r="H640">
        <v>6</v>
      </c>
      <c r="I640" t="s">
        <v>4</v>
      </c>
      <c r="J640" t="s">
        <v>3</v>
      </c>
      <c r="K640" t="s">
        <v>33</v>
      </c>
      <c r="L640">
        <v>48</v>
      </c>
      <c r="M640">
        <v>3.37</v>
      </c>
      <c r="N640">
        <v>3.33</v>
      </c>
      <c r="O640" t="s">
        <v>15</v>
      </c>
      <c r="P640">
        <v>96</v>
      </c>
      <c r="Q640">
        <v>155</v>
      </c>
      <c r="R640">
        <v>68</v>
      </c>
      <c r="S640">
        <v>34</v>
      </c>
      <c r="T640" t="s">
        <v>50</v>
      </c>
      <c r="U640">
        <f>IF(Cardiac_Table[[#This Row],[Patient Status at Discharge]]="Died", 1,0)</f>
        <v>0</v>
      </c>
      <c r="V640">
        <f>Cardiac_Table[[#This Row],[Risk of Death % (Model 1)]]/100</f>
        <v>3.3700000000000001E-2</v>
      </c>
      <c r="W640">
        <f>Cardiac_Table[[#This Row],[Risk of Death % (Model 2)]]/100</f>
        <v>3.3300000000000003E-2</v>
      </c>
      <c r="X640" s="18">
        <f>Cardiac_Table[[#This Row],[Procedure Start Date and Time]]-Cardiac_Table[[#This Row],[Hospital Admit Date ]]</f>
        <v>0.24305555555474712</v>
      </c>
    </row>
    <row r="641" spans="1:24" x14ac:dyDescent="0.35">
      <c r="A641">
        <v>648</v>
      </c>
      <c r="B641" s="9">
        <v>44023.416666666664</v>
      </c>
      <c r="C641" s="10">
        <f>INT(Cardiac_Table[[#This Row],[Hospital Admit Date ]])</f>
        <v>44023</v>
      </c>
      <c r="D641" s="11" t="str">
        <f t="shared" si="9"/>
        <v>10:00</v>
      </c>
      <c r="E641" s="9">
        <v>44042.555555555555</v>
      </c>
      <c r="F641" s="10">
        <f>INT(Cardiac_Table[[#This Row],[Procedure Start Date and Time]])</f>
        <v>44042</v>
      </c>
      <c r="G641" s="12">
        <f>MOD(Cardiac_Table[[#This Row],[Procedure Start Date and Time]],1)</f>
        <v>0.55555555555474712</v>
      </c>
      <c r="H641">
        <v>4</v>
      </c>
      <c r="I641" t="s">
        <v>6</v>
      </c>
      <c r="J641" t="s">
        <v>11</v>
      </c>
      <c r="K641" t="s">
        <v>32</v>
      </c>
      <c r="L641">
        <v>88</v>
      </c>
      <c r="M641">
        <v>15.41</v>
      </c>
      <c r="N641">
        <v>8.9499999999999993</v>
      </c>
      <c r="O641" t="s">
        <v>15</v>
      </c>
      <c r="P641">
        <v>76</v>
      </c>
      <c r="Q641">
        <v>175</v>
      </c>
      <c r="R641">
        <v>78</v>
      </c>
      <c r="S641">
        <v>55</v>
      </c>
      <c r="T641" t="s">
        <v>48</v>
      </c>
      <c r="U641">
        <f>IF(Cardiac_Table[[#This Row],[Patient Status at Discharge]]="Died", 1,0)</f>
        <v>0</v>
      </c>
      <c r="V641">
        <f>Cardiac_Table[[#This Row],[Risk of Death % (Model 1)]]/100</f>
        <v>0.15410000000000001</v>
      </c>
      <c r="W641">
        <f>Cardiac_Table[[#This Row],[Risk of Death % (Model 2)]]/100</f>
        <v>8.9499999999999996E-2</v>
      </c>
      <c r="X641" s="18">
        <f>Cardiac_Table[[#This Row],[Procedure Start Date and Time]]-Cardiac_Table[[#This Row],[Hospital Admit Date ]]</f>
        <v>19.138888888890506</v>
      </c>
    </row>
    <row r="642" spans="1:24" x14ac:dyDescent="0.35">
      <c r="A642">
        <v>649</v>
      </c>
      <c r="B642" s="9">
        <v>44042.865277777775</v>
      </c>
      <c r="C642" s="10">
        <f>INT(Cardiac_Table[[#This Row],[Hospital Admit Date ]])</f>
        <v>44042</v>
      </c>
      <c r="D642" s="11" t="str">
        <f t="shared" ref="D642:D705" si="10">TEXT(B642,"HH:MM")</f>
        <v>20:46</v>
      </c>
      <c r="E642" s="9">
        <v>44043.20416666667</v>
      </c>
      <c r="F642" s="10">
        <f>INT(Cardiac_Table[[#This Row],[Procedure Start Date and Time]])</f>
        <v>44043</v>
      </c>
      <c r="G642" s="12">
        <f>MOD(Cardiac_Table[[#This Row],[Procedure Start Date and Time]],1)</f>
        <v>0.20416666667006211</v>
      </c>
      <c r="H642">
        <v>1</v>
      </c>
      <c r="I642" t="s">
        <v>2</v>
      </c>
      <c r="J642" t="s">
        <v>3</v>
      </c>
      <c r="K642" t="s">
        <v>28</v>
      </c>
      <c r="L642">
        <v>64</v>
      </c>
      <c r="M642">
        <v>29.7</v>
      </c>
      <c r="N642">
        <v>3.25</v>
      </c>
      <c r="O642" t="s">
        <v>15</v>
      </c>
      <c r="P642">
        <v>164</v>
      </c>
      <c r="Q642">
        <v>165</v>
      </c>
      <c r="R642">
        <v>63</v>
      </c>
      <c r="S642">
        <v>53</v>
      </c>
      <c r="T642" t="s">
        <v>48</v>
      </c>
      <c r="U642">
        <f>IF(Cardiac_Table[[#This Row],[Patient Status at Discharge]]="Died", 1,0)</f>
        <v>0</v>
      </c>
      <c r="V642">
        <f>Cardiac_Table[[#This Row],[Risk of Death % (Model 1)]]/100</f>
        <v>0.29699999999999999</v>
      </c>
      <c r="W642">
        <f>Cardiac_Table[[#This Row],[Risk of Death % (Model 2)]]/100</f>
        <v>3.2500000000000001E-2</v>
      </c>
      <c r="X642" s="18">
        <f>Cardiac_Table[[#This Row],[Procedure Start Date and Time]]-Cardiac_Table[[#This Row],[Hospital Admit Date ]]</f>
        <v>0.33888888889487134</v>
      </c>
    </row>
    <row r="643" spans="1:24" x14ac:dyDescent="0.35">
      <c r="A643">
        <v>650</v>
      </c>
      <c r="B643" s="9">
        <v>44042.677083333336</v>
      </c>
      <c r="C643" s="10">
        <f>INT(Cardiac_Table[[#This Row],[Hospital Admit Date ]])</f>
        <v>44042</v>
      </c>
      <c r="D643" s="11" t="str">
        <f t="shared" si="10"/>
        <v>16:15</v>
      </c>
      <c r="E643" s="9">
        <v>44043.333333333336</v>
      </c>
      <c r="F643" s="10">
        <f>INT(Cardiac_Table[[#This Row],[Procedure Start Date and Time]])</f>
        <v>44043</v>
      </c>
      <c r="G643" s="12">
        <f>MOD(Cardiac_Table[[#This Row],[Procedure Start Date and Time]],1)</f>
        <v>0.33333333333575865</v>
      </c>
      <c r="H643">
        <v>3</v>
      </c>
      <c r="I643" t="s">
        <v>4</v>
      </c>
      <c r="J643" t="s">
        <v>10</v>
      </c>
      <c r="K643" t="s">
        <v>27</v>
      </c>
      <c r="L643">
        <v>76</v>
      </c>
      <c r="M643">
        <v>2.69</v>
      </c>
      <c r="N643">
        <v>1.07</v>
      </c>
      <c r="O643" t="s">
        <v>15</v>
      </c>
      <c r="P643">
        <v>65</v>
      </c>
      <c r="Q643">
        <v>175</v>
      </c>
      <c r="R643">
        <v>87</v>
      </c>
      <c r="S643">
        <v>55</v>
      </c>
      <c r="T643" t="s">
        <v>48</v>
      </c>
      <c r="U643">
        <f>IF(Cardiac_Table[[#This Row],[Patient Status at Discharge]]="Died", 1,0)</f>
        <v>0</v>
      </c>
      <c r="V643">
        <f>Cardiac_Table[[#This Row],[Risk of Death % (Model 1)]]/100</f>
        <v>2.69E-2</v>
      </c>
      <c r="W643">
        <f>Cardiac_Table[[#This Row],[Risk of Death % (Model 2)]]/100</f>
        <v>1.0700000000000001E-2</v>
      </c>
      <c r="X643" s="18">
        <f>Cardiac_Table[[#This Row],[Procedure Start Date and Time]]-Cardiac_Table[[#This Row],[Hospital Admit Date ]]</f>
        <v>0.65625</v>
      </c>
    </row>
    <row r="644" spans="1:24" x14ac:dyDescent="0.35">
      <c r="A644">
        <v>651</v>
      </c>
      <c r="B644" s="9">
        <v>44042.667361111111</v>
      </c>
      <c r="C644" s="10">
        <f>INT(Cardiac_Table[[#This Row],[Hospital Admit Date ]])</f>
        <v>44042</v>
      </c>
      <c r="D644" s="11" t="str">
        <f t="shared" si="10"/>
        <v>16:01</v>
      </c>
      <c r="E644" s="9">
        <v>44043.341666666667</v>
      </c>
      <c r="F644" s="10">
        <f>INT(Cardiac_Table[[#This Row],[Procedure Start Date and Time]])</f>
        <v>44043</v>
      </c>
      <c r="G644" s="12">
        <f>MOD(Cardiac_Table[[#This Row],[Procedure Start Date and Time]],1)</f>
        <v>0.34166666666715173</v>
      </c>
      <c r="H644">
        <v>4</v>
      </c>
      <c r="I644" t="s">
        <v>4</v>
      </c>
      <c r="J644" t="s">
        <v>10</v>
      </c>
      <c r="K644" t="s">
        <v>31</v>
      </c>
      <c r="L644">
        <v>61</v>
      </c>
      <c r="M644">
        <v>1.39</v>
      </c>
      <c r="N644">
        <v>0.71</v>
      </c>
      <c r="O644" t="s">
        <v>15</v>
      </c>
      <c r="P644">
        <v>71</v>
      </c>
      <c r="Q644">
        <v>163</v>
      </c>
      <c r="R644">
        <v>85</v>
      </c>
      <c r="S644">
        <v>51</v>
      </c>
      <c r="T644" t="s">
        <v>48</v>
      </c>
      <c r="U644">
        <f>IF(Cardiac_Table[[#This Row],[Patient Status at Discharge]]="Died", 1,0)</f>
        <v>0</v>
      </c>
      <c r="V644">
        <f>Cardiac_Table[[#This Row],[Risk of Death % (Model 1)]]/100</f>
        <v>1.3899999999999999E-2</v>
      </c>
      <c r="W644">
        <f>Cardiac_Table[[#This Row],[Risk of Death % (Model 2)]]/100</f>
        <v>7.0999999999999995E-3</v>
      </c>
      <c r="X644" s="18">
        <f>Cardiac_Table[[#This Row],[Procedure Start Date and Time]]-Cardiac_Table[[#This Row],[Hospital Admit Date ]]</f>
        <v>0.67430555555620231</v>
      </c>
    </row>
    <row r="645" spans="1:24" x14ac:dyDescent="0.35">
      <c r="A645">
        <v>652</v>
      </c>
      <c r="B645" s="9">
        <v>44027.57916666667</v>
      </c>
      <c r="C645" s="10">
        <f>INT(Cardiac_Table[[#This Row],[Hospital Admit Date ]])</f>
        <v>44027</v>
      </c>
      <c r="D645" s="11" t="str">
        <f t="shared" si="10"/>
        <v>13:54</v>
      </c>
      <c r="E645" s="9">
        <v>44043.500694444447</v>
      </c>
      <c r="F645" s="10">
        <f>INT(Cardiac_Table[[#This Row],[Procedure Start Date and Time]])</f>
        <v>44043</v>
      </c>
      <c r="G645" s="12">
        <f>MOD(Cardiac_Table[[#This Row],[Procedure Start Date and Time]],1)</f>
        <v>0.50069444444670808</v>
      </c>
      <c r="H645">
        <v>4</v>
      </c>
      <c r="I645" t="s">
        <v>6</v>
      </c>
      <c r="J645" t="s">
        <v>10</v>
      </c>
      <c r="K645" t="s">
        <v>31</v>
      </c>
      <c r="L645">
        <v>80</v>
      </c>
      <c r="M645">
        <v>9.24</v>
      </c>
      <c r="N645">
        <v>4.33</v>
      </c>
      <c r="O645" t="s">
        <v>15</v>
      </c>
      <c r="P645">
        <v>84</v>
      </c>
      <c r="Q645">
        <v>164</v>
      </c>
      <c r="R645">
        <v>95</v>
      </c>
      <c r="S645">
        <v>50</v>
      </c>
      <c r="T645" t="s">
        <v>50</v>
      </c>
      <c r="U645">
        <f>IF(Cardiac_Table[[#This Row],[Patient Status at Discharge]]="Died", 1,0)</f>
        <v>0</v>
      </c>
      <c r="V645">
        <f>Cardiac_Table[[#This Row],[Risk of Death % (Model 1)]]/100</f>
        <v>9.2399999999999996E-2</v>
      </c>
      <c r="W645">
        <f>Cardiac_Table[[#This Row],[Risk of Death % (Model 2)]]/100</f>
        <v>4.3299999999999998E-2</v>
      </c>
      <c r="X645" s="18">
        <f>Cardiac_Table[[#This Row],[Procedure Start Date and Time]]-Cardiac_Table[[#This Row],[Hospital Admit Date ]]</f>
        <v>15.921527777776646</v>
      </c>
    </row>
    <row r="646" spans="1:24" x14ac:dyDescent="0.35">
      <c r="A646">
        <v>653</v>
      </c>
      <c r="B646" s="9">
        <v>44043.291666666664</v>
      </c>
      <c r="C646" s="10">
        <f>INT(Cardiac_Table[[#This Row],[Hospital Admit Date ]])</f>
        <v>44043</v>
      </c>
      <c r="D646" s="11" t="str">
        <f t="shared" si="10"/>
        <v>07:00</v>
      </c>
      <c r="E646" s="9">
        <v>44043.609027777777</v>
      </c>
      <c r="F646" s="10">
        <f>INT(Cardiac_Table[[#This Row],[Procedure Start Date and Time]])</f>
        <v>44043</v>
      </c>
      <c r="G646" s="12">
        <f>MOD(Cardiac_Table[[#This Row],[Procedure Start Date and Time]],1)</f>
        <v>0.60902777777664596</v>
      </c>
      <c r="H646">
        <v>3</v>
      </c>
      <c r="I646" t="s">
        <v>4</v>
      </c>
      <c r="J646" t="s">
        <v>3</v>
      </c>
      <c r="K646" t="s">
        <v>27</v>
      </c>
      <c r="L646">
        <v>69</v>
      </c>
      <c r="M646">
        <v>2.89</v>
      </c>
      <c r="N646">
        <v>0.72</v>
      </c>
      <c r="O646" t="s">
        <v>15</v>
      </c>
      <c r="P646">
        <v>102</v>
      </c>
      <c r="Q646">
        <v>172</v>
      </c>
      <c r="R646">
        <v>74</v>
      </c>
      <c r="S646">
        <v>58</v>
      </c>
      <c r="T646" t="s">
        <v>48</v>
      </c>
      <c r="U646">
        <f>IF(Cardiac_Table[[#This Row],[Patient Status at Discharge]]="Died", 1,0)</f>
        <v>0</v>
      </c>
      <c r="V646">
        <f>Cardiac_Table[[#This Row],[Risk of Death % (Model 1)]]/100</f>
        <v>2.8900000000000002E-2</v>
      </c>
      <c r="W646">
        <f>Cardiac_Table[[#This Row],[Risk of Death % (Model 2)]]/100</f>
        <v>7.1999999999999998E-3</v>
      </c>
      <c r="X646" s="18">
        <f>Cardiac_Table[[#This Row],[Procedure Start Date and Time]]-Cardiac_Table[[#This Row],[Hospital Admit Date ]]</f>
        <v>0.31736111111240461</v>
      </c>
    </row>
    <row r="647" spans="1:24" x14ac:dyDescent="0.35">
      <c r="A647">
        <v>654</v>
      </c>
      <c r="B647" s="9">
        <v>44043.666666666664</v>
      </c>
      <c r="C647" s="10">
        <f>INT(Cardiac_Table[[#This Row],[Hospital Admit Date ]])</f>
        <v>44043</v>
      </c>
      <c r="D647" s="11" t="str">
        <f t="shared" si="10"/>
        <v>16:00</v>
      </c>
      <c r="E647" s="9">
        <v>44044.34375</v>
      </c>
      <c r="F647" s="10">
        <f>INT(Cardiac_Table[[#This Row],[Procedure Start Date and Time]])</f>
        <v>44044</v>
      </c>
      <c r="G647" s="12">
        <f>MOD(Cardiac_Table[[#This Row],[Procedure Start Date and Time]],1)</f>
        <v>0.34375</v>
      </c>
      <c r="H647">
        <v>5</v>
      </c>
      <c r="I647" t="s">
        <v>4</v>
      </c>
      <c r="J647" t="s">
        <v>10</v>
      </c>
      <c r="K647" t="s">
        <v>26</v>
      </c>
      <c r="L647">
        <v>67</v>
      </c>
      <c r="M647">
        <v>6.34</v>
      </c>
      <c r="N647">
        <v>2.8</v>
      </c>
      <c r="O647" t="s">
        <v>15</v>
      </c>
      <c r="P647">
        <v>66</v>
      </c>
      <c r="Q647">
        <v>163</v>
      </c>
      <c r="R647">
        <v>62</v>
      </c>
      <c r="S647">
        <v>50</v>
      </c>
      <c r="T647" t="s">
        <v>50</v>
      </c>
      <c r="U647">
        <f>IF(Cardiac_Table[[#This Row],[Patient Status at Discharge]]="Died", 1,0)</f>
        <v>0</v>
      </c>
      <c r="V647">
        <f>Cardiac_Table[[#This Row],[Risk of Death % (Model 1)]]/100</f>
        <v>6.3399999999999998E-2</v>
      </c>
      <c r="W647">
        <f>Cardiac_Table[[#This Row],[Risk of Death % (Model 2)]]/100</f>
        <v>2.7999999999999997E-2</v>
      </c>
      <c r="X647" s="18">
        <f>Cardiac_Table[[#This Row],[Procedure Start Date and Time]]-Cardiac_Table[[#This Row],[Hospital Admit Date ]]</f>
        <v>0.67708333333575865</v>
      </c>
    </row>
    <row r="648" spans="1:24" x14ac:dyDescent="0.35">
      <c r="A648">
        <v>655</v>
      </c>
      <c r="B648" s="9">
        <v>44037.652777777781</v>
      </c>
      <c r="C648" s="10">
        <f>INT(Cardiac_Table[[#This Row],[Hospital Admit Date ]])</f>
        <v>44037</v>
      </c>
      <c r="D648" s="11" t="str">
        <f t="shared" si="10"/>
        <v>15:40</v>
      </c>
      <c r="E648" s="9">
        <v>44044.552777777775</v>
      </c>
      <c r="F648" s="10">
        <f>INT(Cardiac_Table[[#This Row],[Procedure Start Date and Time]])</f>
        <v>44044</v>
      </c>
      <c r="G648" s="12">
        <f>MOD(Cardiac_Table[[#This Row],[Procedure Start Date and Time]],1)</f>
        <v>0.55277777777519077</v>
      </c>
      <c r="H648">
        <v>5</v>
      </c>
      <c r="I648" t="s">
        <v>6</v>
      </c>
      <c r="J648" t="s">
        <v>10</v>
      </c>
      <c r="K648" t="s">
        <v>26</v>
      </c>
      <c r="L648">
        <v>64</v>
      </c>
      <c r="M648">
        <v>5.9</v>
      </c>
      <c r="N648">
        <v>2.77</v>
      </c>
      <c r="O648" t="s">
        <v>15</v>
      </c>
      <c r="P648">
        <v>77</v>
      </c>
      <c r="Q648">
        <v>168</v>
      </c>
      <c r="R648">
        <v>79</v>
      </c>
      <c r="S648">
        <v>18</v>
      </c>
      <c r="T648" t="s">
        <v>51</v>
      </c>
      <c r="U648">
        <f>IF(Cardiac_Table[[#This Row],[Patient Status at Discharge]]="Died", 1,0)</f>
        <v>0</v>
      </c>
      <c r="V648">
        <f>Cardiac_Table[[#This Row],[Risk of Death % (Model 1)]]/100</f>
        <v>5.9000000000000004E-2</v>
      </c>
      <c r="W648">
        <f>Cardiac_Table[[#This Row],[Risk of Death % (Model 2)]]/100</f>
        <v>2.7699999999999999E-2</v>
      </c>
      <c r="X648" s="18">
        <f>Cardiac_Table[[#This Row],[Procedure Start Date and Time]]-Cardiac_Table[[#This Row],[Hospital Admit Date ]]</f>
        <v>6.8999999999941792</v>
      </c>
    </row>
    <row r="649" spans="1:24" x14ac:dyDescent="0.35">
      <c r="A649">
        <v>656</v>
      </c>
      <c r="B649" s="9">
        <v>44045.666666666664</v>
      </c>
      <c r="C649" s="10">
        <f>INT(Cardiac_Table[[#This Row],[Hospital Admit Date ]])</f>
        <v>44045</v>
      </c>
      <c r="D649" s="11" t="str">
        <f t="shared" si="10"/>
        <v>16:00</v>
      </c>
      <c r="E649" s="9">
        <v>44046.336805555555</v>
      </c>
      <c r="F649" s="10">
        <f>INT(Cardiac_Table[[#This Row],[Procedure Start Date and Time]])</f>
        <v>44046</v>
      </c>
      <c r="G649" s="12">
        <f>MOD(Cardiac_Table[[#This Row],[Procedure Start Date and Time]],1)</f>
        <v>0.33680555555474712</v>
      </c>
      <c r="H649">
        <v>4</v>
      </c>
      <c r="I649" t="s">
        <v>4</v>
      </c>
      <c r="J649" t="s">
        <v>3</v>
      </c>
      <c r="K649" t="s">
        <v>32</v>
      </c>
      <c r="L649">
        <v>63</v>
      </c>
      <c r="M649">
        <v>1.96</v>
      </c>
      <c r="N649">
        <v>1.04</v>
      </c>
      <c r="O649" t="s">
        <v>15</v>
      </c>
      <c r="P649">
        <v>116</v>
      </c>
      <c r="Q649">
        <v>165</v>
      </c>
      <c r="R649">
        <v>62</v>
      </c>
      <c r="S649">
        <v>57</v>
      </c>
      <c r="T649" t="s">
        <v>48</v>
      </c>
      <c r="U649">
        <f>IF(Cardiac_Table[[#This Row],[Patient Status at Discharge]]="Died", 1,0)</f>
        <v>0</v>
      </c>
      <c r="V649">
        <f>Cardiac_Table[[#This Row],[Risk of Death % (Model 1)]]/100</f>
        <v>1.9599999999999999E-2</v>
      </c>
      <c r="W649">
        <f>Cardiac_Table[[#This Row],[Risk of Death % (Model 2)]]/100</f>
        <v>1.04E-2</v>
      </c>
      <c r="X649" s="18">
        <f>Cardiac_Table[[#This Row],[Procedure Start Date and Time]]-Cardiac_Table[[#This Row],[Hospital Admit Date ]]</f>
        <v>0.67013888889050577</v>
      </c>
    </row>
    <row r="650" spans="1:24" x14ac:dyDescent="0.35">
      <c r="A650">
        <v>657</v>
      </c>
      <c r="B650" s="9">
        <v>44045.625</v>
      </c>
      <c r="C650" s="10">
        <f>INT(Cardiac_Table[[#This Row],[Hospital Admit Date ]])</f>
        <v>44045</v>
      </c>
      <c r="D650" s="11" t="str">
        <f t="shared" si="10"/>
        <v>15:00</v>
      </c>
      <c r="E650" s="9">
        <v>44046.338888888888</v>
      </c>
      <c r="F650" s="10">
        <f>INT(Cardiac_Table[[#This Row],[Procedure Start Date and Time]])</f>
        <v>44046</v>
      </c>
      <c r="G650" s="12">
        <f>MOD(Cardiac_Table[[#This Row],[Procedure Start Date and Time]],1)</f>
        <v>0.33888888888759539</v>
      </c>
      <c r="H650">
        <v>2</v>
      </c>
      <c r="I650" t="s">
        <v>4</v>
      </c>
      <c r="J650" t="s">
        <v>10</v>
      </c>
      <c r="K650" t="s">
        <v>24</v>
      </c>
      <c r="L650">
        <v>72</v>
      </c>
      <c r="M650">
        <v>2.0699999999999998</v>
      </c>
      <c r="N650">
        <v>1.81</v>
      </c>
      <c r="O650" t="s">
        <v>15</v>
      </c>
      <c r="P650">
        <v>109</v>
      </c>
      <c r="Q650">
        <v>159</v>
      </c>
      <c r="R650">
        <v>79</v>
      </c>
      <c r="S650">
        <v>70</v>
      </c>
      <c r="T650" t="s">
        <v>48</v>
      </c>
      <c r="U650">
        <f>IF(Cardiac_Table[[#This Row],[Patient Status at Discharge]]="Died", 1,0)</f>
        <v>0</v>
      </c>
      <c r="V650">
        <f>Cardiac_Table[[#This Row],[Risk of Death % (Model 1)]]/100</f>
        <v>2.07E-2</v>
      </c>
      <c r="W650">
        <f>Cardiac_Table[[#This Row],[Risk of Death % (Model 2)]]/100</f>
        <v>1.8100000000000002E-2</v>
      </c>
      <c r="X650" s="18">
        <f>Cardiac_Table[[#This Row],[Procedure Start Date and Time]]-Cardiac_Table[[#This Row],[Hospital Admit Date ]]</f>
        <v>0.71388888888759539</v>
      </c>
    </row>
    <row r="651" spans="1:24" x14ac:dyDescent="0.35">
      <c r="A651">
        <v>658</v>
      </c>
      <c r="B651" s="9">
        <v>44045.666666666664</v>
      </c>
      <c r="C651" s="10">
        <f>INT(Cardiac_Table[[#This Row],[Hospital Admit Date ]])</f>
        <v>44045</v>
      </c>
      <c r="D651" s="11" t="str">
        <f t="shared" si="10"/>
        <v>16:00</v>
      </c>
      <c r="E651" s="9">
        <v>44046.342361111114</v>
      </c>
      <c r="F651" s="10">
        <f>INT(Cardiac_Table[[#This Row],[Procedure Start Date and Time]])</f>
        <v>44046</v>
      </c>
      <c r="G651" s="12">
        <f>MOD(Cardiac_Table[[#This Row],[Procedure Start Date and Time]],1)</f>
        <v>0.34236111111385981</v>
      </c>
      <c r="H651">
        <v>6</v>
      </c>
      <c r="I651" t="s">
        <v>4</v>
      </c>
      <c r="J651" t="s">
        <v>11</v>
      </c>
      <c r="K651" t="s">
        <v>23</v>
      </c>
      <c r="L651">
        <v>84</v>
      </c>
      <c r="M651">
        <v>13.48</v>
      </c>
      <c r="N651">
        <v>23.42</v>
      </c>
      <c r="O651" t="s">
        <v>15</v>
      </c>
      <c r="P651">
        <v>80</v>
      </c>
      <c r="Q651">
        <v>183</v>
      </c>
      <c r="R651">
        <v>101</v>
      </c>
      <c r="S651">
        <v>26</v>
      </c>
      <c r="T651" t="s">
        <v>49</v>
      </c>
      <c r="U651">
        <f>IF(Cardiac_Table[[#This Row],[Patient Status at Discharge]]="Died", 1,0)</f>
        <v>0</v>
      </c>
      <c r="V651">
        <f>Cardiac_Table[[#This Row],[Risk of Death % (Model 1)]]/100</f>
        <v>0.1348</v>
      </c>
      <c r="W651">
        <f>Cardiac_Table[[#This Row],[Risk of Death % (Model 2)]]/100</f>
        <v>0.23420000000000002</v>
      </c>
      <c r="X651" s="18">
        <f>Cardiac_Table[[#This Row],[Procedure Start Date and Time]]-Cardiac_Table[[#This Row],[Hospital Admit Date ]]</f>
        <v>0.67569444444961846</v>
      </c>
    </row>
    <row r="652" spans="1:24" x14ac:dyDescent="0.35">
      <c r="A652">
        <v>659</v>
      </c>
      <c r="B652" s="9">
        <v>44044.635416666664</v>
      </c>
      <c r="C652" s="10">
        <f>INT(Cardiac_Table[[#This Row],[Hospital Admit Date ]])</f>
        <v>44044</v>
      </c>
      <c r="D652" s="11" t="str">
        <f t="shared" si="10"/>
        <v>15:15</v>
      </c>
      <c r="E652" s="9">
        <v>44046.345833333333</v>
      </c>
      <c r="F652" s="10">
        <f>INT(Cardiac_Table[[#This Row],[Procedure Start Date and Time]])</f>
        <v>44046</v>
      </c>
      <c r="G652" s="12">
        <f>MOD(Cardiac_Table[[#This Row],[Procedure Start Date and Time]],1)</f>
        <v>0.34583333333284827</v>
      </c>
      <c r="H652">
        <v>5</v>
      </c>
      <c r="I652" t="s">
        <v>4</v>
      </c>
      <c r="J652" t="s">
        <v>11</v>
      </c>
      <c r="K652" t="s">
        <v>33</v>
      </c>
      <c r="L652">
        <v>75</v>
      </c>
      <c r="M652">
        <v>4.25</v>
      </c>
      <c r="N652">
        <v>2.2799999999999998</v>
      </c>
      <c r="O652" t="s">
        <v>15</v>
      </c>
      <c r="P652">
        <v>64</v>
      </c>
      <c r="Q652">
        <v>172</v>
      </c>
      <c r="R652">
        <v>75</v>
      </c>
      <c r="S652">
        <v>69</v>
      </c>
      <c r="T652" t="s">
        <v>48</v>
      </c>
      <c r="U652">
        <f>IF(Cardiac_Table[[#This Row],[Patient Status at Discharge]]="Died", 1,0)</f>
        <v>0</v>
      </c>
      <c r="V652">
        <f>Cardiac_Table[[#This Row],[Risk of Death % (Model 1)]]/100</f>
        <v>4.2500000000000003E-2</v>
      </c>
      <c r="W652">
        <f>Cardiac_Table[[#This Row],[Risk of Death % (Model 2)]]/100</f>
        <v>2.2799999999999997E-2</v>
      </c>
      <c r="X652" s="18">
        <f>Cardiac_Table[[#This Row],[Procedure Start Date and Time]]-Cardiac_Table[[#This Row],[Hospital Admit Date ]]</f>
        <v>1.7104166666686069</v>
      </c>
    </row>
    <row r="653" spans="1:24" x14ac:dyDescent="0.35">
      <c r="A653">
        <v>660</v>
      </c>
      <c r="B653" s="9">
        <v>44038.458333333336</v>
      </c>
      <c r="C653" s="10">
        <f>INT(Cardiac_Table[[#This Row],[Hospital Admit Date ]])</f>
        <v>44038</v>
      </c>
      <c r="D653" s="11" t="str">
        <f t="shared" si="10"/>
        <v>11:00</v>
      </c>
      <c r="E653" s="9">
        <v>44046.460416666669</v>
      </c>
      <c r="F653" s="10">
        <f>INT(Cardiac_Table[[#This Row],[Procedure Start Date and Time]])</f>
        <v>44046</v>
      </c>
      <c r="G653" s="12">
        <f>MOD(Cardiac_Table[[#This Row],[Procedure Start Date and Time]],1)</f>
        <v>0.46041666666860692</v>
      </c>
      <c r="H653">
        <v>2</v>
      </c>
      <c r="I653" t="s">
        <v>6</v>
      </c>
      <c r="J653" t="s">
        <v>10</v>
      </c>
      <c r="K653" t="s">
        <v>24</v>
      </c>
      <c r="L653">
        <v>72</v>
      </c>
      <c r="M653">
        <v>3.52</v>
      </c>
      <c r="N653">
        <v>1.56</v>
      </c>
      <c r="O653" t="s">
        <v>15</v>
      </c>
      <c r="P653">
        <v>70</v>
      </c>
      <c r="Q653">
        <v>180</v>
      </c>
      <c r="R653">
        <v>70</v>
      </c>
      <c r="S653">
        <v>52</v>
      </c>
      <c r="T653" t="s">
        <v>48</v>
      </c>
      <c r="U653">
        <f>IF(Cardiac_Table[[#This Row],[Patient Status at Discharge]]="Died", 1,0)</f>
        <v>0</v>
      </c>
      <c r="V653">
        <f>Cardiac_Table[[#This Row],[Risk of Death % (Model 1)]]/100</f>
        <v>3.5200000000000002E-2</v>
      </c>
      <c r="W653">
        <f>Cardiac_Table[[#This Row],[Risk of Death % (Model 2)]]/100</f>
        <v>1.5600000000000001E-2</v>
      </c>
      <c r="X653" s="18">
        <f>Cardiac_Table[[#This Row],[Procedure Start Date and Time]]-Cardiac_Table[[#This Row],[Hospital Admit Date ]]</f>
        <v>8.0020833333328483</v>
      </c>
    </row>
    <row r="654" spans="1:24" x14ac:dyDescent="0.35">
      <c r="A654">
        <v>661</v>
      </c>
      <c r="B654" s="9">
        <v>44046.29583333333</v>
      </c>
      <c r="C654" s="10">
        <f>INT(Cardiac_Table[[#This Row],[Hospital Admit Date ]])</f>
        <v>44046</v>
      </c>
      <c r="D654" s="11" t="str">
        <f t="shared" si="10"/>
        <v>07:06</v>
      </c>
      <c r="E654" s="9">
        <v>44046.510416666664</v>
      </c>
      <c r="F654" s="10">
        <f>INT(Cardiac_Table[[#This Row],[Procedure Start Date and Time]])</f>
        <v>44046</v>
      </c>
      <c r="G654" s="12">
        <f>MOD(Cardiac_Table[[#This Row],[Procedure Start Date and Time]],1)</f>
        <v>0.51041666666424135</v>
      </c>
      <c r="H654">
        <v>4</v>
      </c>
      <c r="I654" t="s">
        <v>4</v>
      </c>
      <c r="J654" t="s">
        <v>3</v>
      </c>
      <c r="K654" t="s">
        <v>32</v>
      </c>
      <c r="L654">
        <v>70</v>
      </c>
      <c r="M654">
        <v>3.08</v>
      </c>
      <c r="N654">
        <v>0.74</v>
      </c>
      <c r="O654" t="s">
        <v>15</v>
      </c>
      <c r="P654">
        <v>106</v>
      </c>
      <c r="Q654">
        <v>184</v>
      </c>
      <c r="R654">
        <v>91</v>
      </c>
      <c r="S654">
        <v>67</v>
      </c>
      <c r="T654" t="s">
        <v>48</v>
      </c>
      <c r="U654">
        <f>IF(Cardiac_Table[[#This Row],[Patient Status at Discharge]]="Died", 1,0)</f>
        <v>0</v>
      </c>
      <c r="V654">
        <f>Cardiac_Table[[#This Row],[Risk of Death % (Model 1)]]/100</f>
        <v>3.0800000000000001E-2</v>
      </c>
      <c r="W654">
        <f>Cardiac_Table[[#This Row],[Risk of Death % (Model 2)]]/100</f>
        <v>7.4000000000000003E-3</v>
      </c>
      <c r="X654" s="18">
        <f>Cardiac_Table[[#This Row],[Procedure Start Date and Time]]-Cardiac_Table[[#This Row],[Hospital Admit Date ]]</f>
        <v>0.21458333333430346</v>
      </c>
    </row>
    <row r="655" spans="1:24" x14ac:dyDescent="0.35">
      <c r="A655">
        <v>662</v>
      </c>
      <c r="B655" s="9">
        <v>44046.294444444444</v>
      </c>
      <c r="C655" s="10">
        <f>INT(Cardiac_Table[[#This Row],[Hospital Admit Date ]])</f>
        <v>44046</v>
      </c>
      <c r="D655" s="11" t="str">
        <f t="shared" si="10"/>
        <v>07:04</v>
      </c>
      <c r="E655" s="9">
        <v>44046.538194444445</v>
      </c>
      <c r="F655" s="10">
        <f>INT(Cardiac_Table[[#This Row],[Procedure Start Date and Time]])</f>
        <v>44046</v>
      </c>
      <c r="G655" s="12">
        <f>MOD(Cardiac_Table[[#This Row],[Procedure Start Date and Time]],1)</f>
        <v>0.53819444444525288</v>
      </c>
      <c r="H655">
        <v>6</v>
      </c>
      <c r="I655" t="s">
        <v>4</v>
      </c>
      <c r="J655" t="s">
        <v>1</v>
      </c>
      <c r="K655" t="s">
        <v>23</v>
      </c>
      <c r="L655">
        <v>53</v>
      </c>
      <c r="M655">
        <v>17.63</v>
      </c>
      <c r="N655">
        <v>4.57</v>
      </c>
      <c r="O655" t="s">
        <v>15</v>
      </c>
      <c r="P655">
        <v>81</v>
      </c>
      <c r="Q655">
        <v>167</v>
      </c>
      <c r="R655">
        <v>85</v>
      </c>
      <c r="S655">
        <v>55</v>
      </c>
      <c r="T655" t="s">
        <v>48</v>
      </c>
      <c r="U655">
        <f>IF(Cardiac_Table[[#This Row],[Patient Status at Discharge]]="Died", 1,0)</f>
        <v>0</v>
      </c>
      <c r="V655">
        <f>Cardiac_Table[[#This Row],[Risk of Death % (Model 1)]]/100</f>
        <v>0.17629999999999998</v>
      </c>
      <c r="W655">
        <f>Cardiac_Table[[#This Row],[Risk of Death % (Model 2)]]/100</f>
        <v>4.5700000000000005E-2</v>
      </c>
      <c r="X655" s="18">
        <f>Cardiac_Table[[#This Row],[Procedure Start Date and Time]]-Cardiac_Table[[#This Row],[Hospital Admit Date ]]</f>
        <v>0.24375000000145519</v>
      </c>
    </row>
    <row r="656" spans="1:24" x14ac:dyDescent="0.35">
      <c r="A656">
        <v>663</v>
      </c>
      <c r="B656" s="9">
        <v>44026.400000000001</v>
      </c>
      <c r="C656" s="10">
        <f>INT(Cardiac_Table[[#This Row],[Hospital Admit Date ]])</f>
        <v>44026</v>
      </c>
      <c r="D656" s="11" t="str">
        <f t="shared" si="10"/>
        <v>09:36</v>
      </c>
      <c r="E656" s="9">
        <v>44046.565972222219</v>
      </c>
      <c r="F656" s="10">
        <f>INT(Cardiac_Table[[#This Row],[Procedure Start Date and Time]])</f>
        <v>44046</v>
      </c>
      <c r="G656" s="12">
        <f>MOD(Cardiac_Table[[#This Row],[Procedure Start Date and Time]],1)</f>
        <v>0.56597222221898846</v>
      </c>
      <c r="H656">
        <v>5</v>
      </c>
      <c r="I656" t="s">
        <v>6</v>
      </c>
      <c r="J656" t="s">
        <v>10</v>
      </c>
      <c r="K656" t="s">
        <v>33</v>
      </c>
      <c r="L656">
        <v>77</v>
      </c>
      <c r="M656">
        <v>7.19</v>
      </c>
      <c r="N656">
        <v>2.64</v>
      </c>
      <c r="O656" t="s">
        <v>15</v>
      </c>
      <c r="P656">
        <v>103</v>
      </c>
      <c r="Q656">
        <v>177</v>
      </c>
      <c r="R656">
        <v>84</v>
      </c>
      <c r="S656">
        <v>42</v>
      </c>
      <c r="T656" t="s">
        <v>50</v>
      </c>
      <c r="U656">
        <f>IF(Cardiac_Table[[#This Row],[Patient Status at Discharge]]="Died", 1,0)</f>
        <v>0</v>
      </c>
      <c r="V656">
        <f>Cardiac_Table[[#This Row],[Risk of Death % (Model 1)]]/100</f>
        <v>7.1900000000000006E-2</v>
      </c>
      <c r="W656">
        <f>Cardiac_Table[[#This Row],[Risk of Death % (Model 2)]]/100</f>
        <v>2.64E-2</v>
      </c>
      <c r="X656" s="18">
        <f>Cardiac_Table[[#This Row],[Procedure Start Date and Time]]-Cardiac_Table[[#This Row],[Hospital Admit Date ]]</f>
        <v>20.165972222217533</v>
      </c>
    </row>
    <row r="657" spans="1:24" x14ac:dyDescent="0.35">
      <c r="A657">
        <v>664</v>
      </c>
      <c r="B657" s="9">
        <v>44046.488194444442</v>
      </c>
      <c r="C657" s="10">
        <f>INT(Cardiac_Table[[#This Row],[Hospital Admit Date ]])</f>
        <v>44046</v>
      </c>
      <c r="D657" s="11" t="str">
        <f t="shared" si="10"/>
        <v>11:43</v>
      </c>
      <c r="E657" s="9">
        <v>44046.836805555555</v>
      </c>
      <c r="F657" s="10">
        <f>INT(Cardiac_Table[[#This Row],[Procedure Start Date and Time]])</f>
        <v>44046</v>
      </c>
      <c r="G657" s="12">
        <f>MOD(Cardiac_Table[[#This Row],[Procedure Start Date and Time]],1)</f>
        <v>0.83680555555474712</v>
      </c>
      <c r="H657">
        <v>4</v>
      </c>
      <c r="I657" t="s">
        <v>2</v>
      </c>
      <c r="J657" t="s">
        <v>10</v>
      </c>
      <c r="K657" t="s">
        <v>23</v>
      </c>
      <c r="L657">
        <v>59</v>
      </c>
      <c r="M657">
        <v>28.98</v>
      </c>
      <c r="N657">
        <v>24.94</v>
      </c>
      <c r="O657" t="s">
        <v>15</v>
      </c>
      <c r="P657">
        <v>70</v>
      </c>
      <c r="Q657">
        <v>180</v>
      </c>
      <c r="R657">
        <v>98</v>
      </c>
      <c r="S657">
        <v>50</v>
      </c>
      <c r="T657" t="s">
        <v>50</v>
      </c>
      <c r="U657">
        <f>IF(Cardiac_Table[[#This Row],[Patient Status at Discharge]]="Died", 1,0)</f>
        <v>0</v>
      </c>
      <c r="V657">
        <f>Cardiac_Table[[#This Row],[Risk of Death % (Model 1)]]/100</f>
        <v>0.2898</v>
      </c>
      <c r="W657">
        <f>Cardiac_Table[[#This Row],[Risk of Death % (Model 2)]]/100</f>
        <v>0.24940000000000001</v>
      </c>
      <c r="X657" s="18">
        <f>Cardiac_Table[[#This Row],[Procedure Start Date and Time]]-Cardiac_Table[[#This Row],[Hospital Admit Date ]]</f>
        <v>0.34861111111240461</v>
      </c>
    </row>
    <row r="658" spans="1:24" x14ac:dyDescent="0.35">
      <c r="A658">
        <v>665</v>
      </c>
      <c r="B658" s="9">
        <v>44046.678472222222</v>
      </c>
      <c r="C658" s="10">
        <f>INT(Cardiac_Table[[#This Row],[Hospital Admit Date ]])</f>
        <v>44046</v>
      </c>
      <c r="D658" s="11" t="str">
        <f t="shared" si="10"/>
        <v>16:17</v>
      </c>
      <c r="E658" s="9">
        <v>44047.333333333336</v>
      </c>
      <c r="F658" s="10">
        <f>INT(Cardiac_Table[[#This Row],[Procedure Start Date and Time]])</f>
        <v>44047</v>
      </c>
      <c r="G658" s="12">
        <f>MOD(Cardiac_Table[[#This Row],[Procedure Start Date and Time]],1)</f>
        <v>0.33333333333575865</v>
      </c>
      <c r="H658">
        <v>6</v>
      </c>
      <c r="I658" t="s">
        <v>4</v>
      </c>
      <c r="J658" t="s">
        <v>11</v>
      </c>
      <c r="K658" t="s">
        <v>26</v>
      </c>
      <c r="L658">
        <v>64</v>
      </c>
      <c r="M658">
        <v>2.88</v>
      </c>
      <c r="N658">
        <v>2.4300000000000002</v>
      </c>
      <c r="O658" t="s">
        <v>15</v>
      </c>
      <c r="P658">
        <v>79</v>
      </c>
      <c r="Q658">
        <v>176</v>
      </c>
      <c r="R658">
        <v>74</v>
      </c>
      <c r="S658">
        <v>48</v>
      </c>
      <c r="T658" t="s">
        <v>50</v>
      </c>
      <c r="U658">
        <f>IF(Cardiac_Table[[#This Row],[Patient Status at Discharge]]="Died", 1,0)</f>
        <v>0</v>
      </c>
      <c r="V658">
        <f>Cardiac_Table[[#This Row],[Risk of Death % (Model 1)]]/100</f>
        <v>2.8799999999999999E-2</v>
      </c>
      <c r="W658">
        <f>Cardiac_Table[[#This Row],[Risk of Death % (Model 2)]]/100</f>
        <v>2.4300000000000002E-2</v>
      </c>
      <c r="X658" s="18">
        <f>Cardiac_Table[[#This Row],[Procedure Start Date and Time]]-Cardiac_Table[[#This Row],[Hospital Admit Date ]]</f>
        <v>0.65486111111385981</v>
      </c>
    </row>
    <row r="659" spans="1:24" x14ac:dyDescent="0.35">
      <c r="A659">
        <v>666</v>
      </c>
      <c r="B659" s="9">
        <v>44046.666666666664</v>
      </c>
      <c r="C659" s="10">
        <f>INT(Cardiac_Table[[#This Row],[Hospital Admit Date ]])</f>
        <v>44046</v>
      </c>
      <c r="D659" s="11" t="str">
        <f t="shared" si="10"/>
        <v>16:00</v>
      </c>
      <c r="E659" s="9">
        <v>44047.345138888886</v>
      </c>
      <c r="F659" s="10">
        <f>INT(Cardiac_Table[[#This Row],[Procedure Start Date and Time]])</f>
        <v>44047</v>
      </c>
      <c r="G659" s="12">
        <f>MOD(Cardiac_Table[[#This Row],[Procedure Start Date and Time]],1)</f>
        <v>0.34513888888614019</v>
      </c>
      <c r="H659">
        <v>4</v>
      </c>
      <c r="I659" t="s">
        <v>4</v>
      </c>
      <c r="J659" t="s">
        <v>1</v>
      </c>
      <c r="K659" t="s">
        <v>30</v>
      </c>
      <c r="L659">
        <v>66</v>
      </c>
      <c r="M659">
        <v>7.21</v>
      </c>
      <c r="N659">
        <v>3.25</v>
      </c>
      <c r="O659" t="s">
        <v>15</v>
      </c>
      <c r="P659">
        <v>61</v>
      </c>
      <c r="Q659">
        <v>171</v>
      </c>
      <c r="R659">
        <v>70</v>
      </c>
      <c r="S659">
        <v>70</v>
      </c>
      <c r="T659" t="s">
        <v>48</v>
      </c>
      <c r="U659">
        <f>IF(Cardiac_Table[[#This Row],[Patient Status at Discharge]]="Died", 1,0)</f>
        <v>0</v>
      </c>
      <c r="V659">
        <f>Cardiac_Table[[#This Row],[Risk of Death % (Model 1)]]/100</f>
        <v>7.2099999999999997E-2</v>
      </c>
      <c r="W659">
        <f>Cardiac_Table[[#This Row],[Risk of Death % (Model 2)]]/100</f>
        <v>3.2500000000000001E-2</v>
      </c>
      <c r="X659" s="18">
        <f>Cardiac_Table[[#This Row],[Procedure Start Date and Time]]-Cardiac_Table[[#This Row],[Hospital Admit Date ]]</f>
        <v>0.67847222222189885</v>
      </c>
    </row>
    <row r="660" spans="1:24" x14ac:dyDescent="0.35">
      <c r="A660">
        <v>667</v>
      </c>
      <c r="B660" s="9">
        <v>44045.458333333336</v>
      </c>
      <c r="C660" s="10">
        <f>INT(Cardiac_Table[[#This Row],[Hospital Admit Date ]])</f>
        <v>44045</v>
      </c>
      <c r="D660" s="11" t="str">
        <f t="shared" si="10"/>
        <v>11:00</v>
      </c>
      <c r="E660" s="9">
        <v>44047.350694444445</v>
      </c>
      <c r="F660" s="10">
        <f>INT(Cardiac_Table[[#This Row],[Procedure Start Date and Time]])</f>
        <v>44047</v>
      </c>
      <c r="G660" s="12">
        <f>MOD(Cardiac_Table[[#This Row],[Procedure Start Date and Time]],1)</f>
        <v>0.35069444444525288</v>
      </c>
      <c r="H660">
        <v>5</v>
      </c>
      <c r="I660" t="s">
        <v>6</v>
      </c>
      <c r="J660" t="s">
        <v>1</v>
      </c>
      <c r="K660" t="s">
        <v>29</v>
      </c>
      <c r="L660">
        <v>78</v>
      </c>
      <c r="M660">
        <v>37.46</v>
      </c>
      <c r="N660">
        <v>9.68</v>
      </c>
      <c r="O660" t="s">
        <v>13</v>
      </c>
      <c r="P660">
        <v>62</v>
      </c>
      <c r="Q660">
        <v>157</v>
      </c>
      <c r="R660">
        <v>67</v>
      </c>
      <c r="S660">
        <v>55</v>
      </c>
      <c r="T660" t="s">
        <v>48</v>
      </c>
      <c r="U660">
        <f>IF(Cardiac_Table[[#This Row],[Patient Status at Discharge]]="Died", 1,0)</f>
        <v>1</v>
      </c>
      <c r="V660">
        <f>Cardiac_Table[[#This Row],[Risk of Death % (Model 1)]]/100</f>
        <v>0.37459999999999999</v>
      </c>
      <c r="W660">
        <f>Cardiac_Table[[#This Row],[Risk of Death % (Model 2)]]/100</f>
        <v>9.6799999999999997E-2</v>
      </c>
      <c r="X660" s="18">
        <f>Cardiac_Table[[#This Row],[Procedure Start Date and Time]]-Cardiac_Table[[#This Row],[Hospital Admit Date ]]</f>
        <v>1.8923611111094942</v>
      </c>
    </row>
    <row r="661" spans="1:24" x14ac:dyDescent="0.35">
      <c r="A661">
        <v>668</v>
      </c>
      <c r="B661" s="9">
        <v>44046.67291666667</v>
      </c>
      <c r="C661" s="10">
        <f>INT(Cardiac_Table[[#This Row],[Hospital Admit Date ]])</f>
        <v>44046</v>
      </c>
      <c r="D661" s="11" t="str">
        <f t="shared" si="10"/>
        <v>16:09</v>
      </c>
      <c r="E661" s="9">
        <v>44047.399305555555</v>
      </c>
      <c r="F661" s="10">
        <f>INT(Cardiac_Table[[#This Row],[Procedure Start Date and Time]])</f>
        <v>44047</v>
      </c>
      <c r="G661" s="12">
        <f>MOD(Cardiac_Table[[#This Row],[Procedure Start Date and Time]],1)</f>
        <v>0.39930555555474712</v>
      </c>
      <c r="H661">
        <v>3</v>
      </c>
      <c r="I661" t="s">
        <v>4</v>
      </c>
      <c r="J661" t="s">
        <v>3</v>
      </c>
      <c r="K661" t="s">
        <v>27</v>
      </c>
      <c r="L661">
        <v>80</v>
      </c>
      <c r="M661">
        <v>5.83</v>
      </c>
      <c r="N661">
        <v>0.98</v>
      </c>
      <c r="O661" t="s">
        <v>15</v>
      </c>
      <c r="P661">
        <v>93</v>
      </c>
      <c r="Q661">
        <v>176</v>
      </c>
      <c r="R661">
        <v>92</v>
      </c>
      <c r="S661">
        <v>55</v>
      </c>
      <c r="T661" t="s">
        <v>48</v>
      </c>
      <c r="U661">
        <f>IF(Cardiac_Table[[#This Row],[Patient Status at Discharge]]="Died", 1,0)</f>
        <v>0</v>
      </c>
      <c r="V661">
        <f>Cardiac_Table[[#This Row],[Risk of Death % (Model 1)]]/100</f>
        <v>5.8299999999999998E-2</v>
      </c>
      <c r="W661">
        <f>Cardiac_Table[[#This Row],[Risk of Death % (Model 2)]]/100</f>
        <v>9.7999999999999997E-3</v>
      </c>
      <c r="X661" s="18">
        <f>Cardiac_Table[[#This Row],[Procedure Start Date and Time]]-Cardiac_Table[[#This Row],[Hospital Admit Date ]]</f>
        <v>0.726388888884685</v>
      </c>
    </row>
    <row r="662" spans="1:24" x14ac:dyDescent="0.35">
      <c r="A662">
        <v>669</v>
      </c>
      <c r="B662" s="9">
        <v>44045.604166666664</v>
      </c>
      <c r="C662" s="10">
        <f>INT(Cardiac_Table[[#This Row],[Hospital Admit Date ]])</f>
        <v>44045</v>
      </c>
      <c r="D662" s="11" t="str">
        <f t="shared" si="10"/>
        <v>14:30</v>
      </c>
      <c r="E662" s="9">
        <v>44047.582638888889</v>
      </c>
      <c r="F662" s="10">
        <f>INT(Cardiac_Table[[#This Row],[Procedure Start Date and Time]])</f>
        <v>44047</v>
      </c>
      <c r="G662" s="12">
        <f>MOD(Cardiac_Table[[#This Row],[Procedure Start Date and Time]],1)</f>
        <v>0.58263888888905058</v>
      </c>
      <c r="H662">
        <v>3</v>
      </c>
      <c r="I662" t="s">
        <v>6</v>
      </c>
      <c r="J662" t="s">
        <v>10</v>
      </c>
      <c r="K662" t="s">
        <v>27</v>
      </c>
      <c r="L662">
        <v>59</v>
      </c>
      <c r="M662">
        <v>0.88</v>
      </c>
      <c r="N662">
        <v>0.77</v>
      </c>
      <c r="O662" t="s">
        <v>15</v>
      </c>
      <c r="P662">
        <v>105</v>
      </c>
      <c r="Q662">
        <v>178</v>
      </c>
      <c r="R662">
        <v>87</v>
      </c>
      <c r="S662">
        <v>54</v>
      </c>
      <c r="T662" t="s">
        <v>48</v>
      </c>
      <c r="U662">
        <f>IF(Cardiac_Table[[#This Row],[Patient Status at Discharge]]="Died", 1,0)</f>
        <v>0</v>
      </c>
      <c r="V662">
        <f>Cardiac_Table[[#This Row],[Risk of Death % (Model 1)]]/100</f>
        <v>8.8000000000000005E-3</v>
      </c>
      <c r="W662">
        <f>Cardiac_Table[[#This Row],[Risk of Death % (Model 2)]]/100</f>
        <v>7.7000000000000002E-3</v>
      </c>
      <c r="X662" s="18">
        <f>Cardiac_Table[[#This Row],[Procedure Start Date and Time]]-Cardiac_Table[[#This Row],[Hospital Admit Date ]]</f>
        <v>1.9784722222248092</v>
      </c>
    </row>
    <row r="663" spans="1:24" x14ac:dyDescent="0.35">
      <c r="A663">
        <v>670</v>
      </c>
      <c r="B663" s="9">
        <v>44047.295138888891</v>
      </c>
      <c r="C663" s="10">
        <f>INT(Cardiac_Table[[#This Row],[Hospital Admit Date ]])</f>
        <v>44047</v>
      </c>
      <c r="D663" s="11" t="str">
        <f t="shared" si="10"/>
        <v>07:05</v>
      </c>
      <c r="E663" s="9">
        <v>44047.583333333336</v>
      </c>
      <c r="F663" s="10">
        <f>INT(Cardiac_Table[[#This Row],[Procedure Start Date and Time]])</f>
        <v>44047</v>
      </c>
      <c r="G663" s="12">
        <f>MOD(Cardiac_Table[[#This Row],[Procedure Start Date and Time]],1)</f>
        <v>0.58333333333575865</v>
      </c>
      <c r="H663">
        <v>5</v>
      </c>
      <c r="I663" t="s">
        <v>4</v>
      </c>
      <c r="J663" t="s">
        <v>10</v>
      </c>
      <c r="K663" t="s">
        <v>29</v>
      </c>
      <c r="L663">
        <v>76</v>
      </c>
      <c r="M663">
        <v>10.26</v>
      </c>
      <c r="N663">
        <v>7.59</v>
      </c>
      <c r="O663" t="s">
        <v>15</v>
      </c>
      <c r="P663">
        <v>95</v>
      </c>
      <c r="Q663">
        <v>175</v>
      </c>
      <c r="R663">
        <v>67</v>
      </c>
      <c r="S663">
        <v>51</v>
      </c>
      <c r="T663" t="s">
        <v>48</v>
      </c>
      <c r="U663">
        <f>IF(Cardiac_Table[[#This Row],[Patient Status at Discharge]]="Died", 1,0)</f>
        <v>0</v>
      </c>
      <c r="V663">
        <f>Cardiac_Table[[#This Row],[Risk of Death % (Model 1)]]/100</f>
        <v>0.1026</v>
      </c>
      <c r="W663">
        <f>Cardiac_Table[[#This Row],[Risk of Death % (Model 2)]]/100</f>
        <v>7.5899999999999995E-2</v>
      </c>
      <c r="X663" s="18">
        <f>Cardiac_Table[[#This Row],[Procedure Start Date and Time]]-Cardiac_Table[[#This Row],[Hospital Admit Date ]]</f>
        <v>0.28819444444525288</v>
      </c>
    </row>
    <row r="664" spans="1:24" x14ac:dyDescent="0.35">
      <c r="A664">
        <v>671</v>
      </c>
      <c r="B664" s="9">
        <v>44047.303472222222</v>
      </c>
      <c r="C664" s="10">
        <f>INT(Cardiac_Table[[#This Row],[Hospital Admit Date ]])</f>
        <v>44047</v>
      </c>
      <c r="D664" s="11" t="str">
        <f t="shared" si="10"/>
        <v>07:17</v>
      </c>
      <c r="E664" s="9">
        <v>44047.642361111109</v>
      </c>
      <c r="F664" s="10">
        <f>INT(Cardiac_Table[[#This Row],[Procedure Start Date and Time]])</f>
        <v>44047</v>
      </c>
      <c r="G664" s="12">
        <f>MOD(Cardiac_Table[[#This Row],[Procedure Start Date and Time]],1)</f>
        <v>0.64236111110949423</v>
      </c>
      <c r="H664">
        <v>6</v>
      </c>
      <c r="I664" t="s">
        <v>4</v>
      </c>
      <c r="J664" t="s">
        <v>10</v>
      </c>
      <c r="K664" t="s">
        <v>26</v>
      </c>
      <c r="L664">
        <v>72</v>
      </c>
      <c r="M664">
        <v>3.11</v>
      </c>
      <c r="N664">
        <v>0.96</v>
      </c>
      <c r="O664" t="s">
        <v>15</v>
      </c>
      <c r="P664">
        <v>126</v>
      </c>
      <c r="Q664">
        <v>182</v>
      </c>
      <c r="R664">
        <v>93</v>
      </c>
      <c r="S664">
        <v>55</v>
      </c>
      <c r="T664" t="s">
        <v>48</v>
      </c>
      <c r="U664">
        <f>IF(Cardiac_Table[[#This Row],[Patient Status at Discharge]]="Died", 1,0)</f>
        <v>0</v>
      </c>
      <c r="V664">
        <f>Cardiac_Table[[#This Row],[Risk of Death % (Model 1)]]/100</f>
        <v>3.1099999999999999E-2</v>
      </c>
      <c r="W664">
        <f>Cardiac_Table[[#This Row],[Risk of Death % (Model 2)]]/100</f>
        <v>9.5999999999999992E-3</v>
      </c>
      <c r="X664" s="18">
        <f>Cardiac_Table[[#This Row],[Procedure Start Date and Time]]-Cardiac_Table[[#This Row],[Hospital Admit Date ]]</f>
        <v>0.33888888888759539</v>
      </c>
    </row>
    <row r="665" spans="1:24" x14ac:dyDescent="0.35">
      <c r="A665">
        <v>672</v>
      </c>
      <c r="B665" s="9">
        <v>44047.661111111112</v>
      </c>
      <c r="C665" s="10">
        <f>INT(Cardiac_Table[[#This Row],[Hospital Admit Date ]])</f>
        <v>44047</v>
      </c>
      <c r="D665" s="11" t="str">
        <f t="shared" si="10"/>
        <v>15:52</v>
      </c>
      <c r="E665" s="9">
        <v>44048.326388888891</v>
      </c>
      <c r="F665" s="10">
        <f>INT(Cardiac_Table[[#This Row],[Procedure Start Date and Time]])</f>
        <v>44048</v>
      </c>
      <c r="G665" s="12">
        <f>MOD(Cardiac_Table[[#This Row],[Procedure Start Date and Time]],1)</f>
        <v>0.32638888889050577</v>
      </c>
      <c r="H665">
        <v>5</v>
      </c>
      <c r="I665" t="s">
        <v>4</v>
      </c>
      <c r="J665" t="s">
        <v>3</v>
      </c>
      <c r="K665" t="s">
        <v>28</v>
      </c>
      <c r="L665">
        <v>80</v>
      </c>
      <c r="M665">
        <v>15.66</v>
      </c>
      <c r="N665">
        <v>5.03</v>
      </c>
      <c r="O665" t="s">
        <v>15</v>
      </c>
      <c r="P665">
        <v>62</v>
      </c>
      <c r="Q665">
        <v>176</v>
      </c>
      <c r="R665">
        <v>74</v>
      </c>
      <c r="S665">
        <v>60</v>
      </c>
      <c r="T665" t="s">
        <v>48</v>
      </c>
      <c r="U665">
        <f>IF(Cardiac_Table[[#This Row],[Patient Status at Discharge]]="Died", 1,0)</f>
        <v>0</v>
      </c>
      <c r="V665">
        <f>Cardiac_Table[[#This Row],[Risk of Death % (Model 1)]]/100</f>
        <v>0.15659999999999999</v>
      </c>
      <c r="W665">
        <f>Cardiac_Table[[#This Row],[Risk of Death % (Model 2)]]/100</f>
        <v>5.0300000000000004E-2</v>
      </c>
      <c r="X665" s="18">
        <f>Cardiac_Table[[#This Row],[Procedure Start Date and Time]]-Cardiac_Table[[#This Row],[Hospital Admit Date ]]</f>
        <v>0.66527777777810115</v>
      </c>
    </row>
    <row r="666" spans="1:24" x14ac:dyDescent="0.35">
      <c r="A666">
        <v>673</v>
      </c>
      <c r="B666" s="9">
        <v>44047.679166666669</v>
      </c>
      <c r="C666" s="10">
        <f>INT(Cardiac_Table[[#This Row],[Hospital Admit Date ]])</f>
        <v>44047</v>
      </c>
      <c r="D666" s="11" t="str">
        <f t="shared" si="10"/>
        <v>16:18</v>
      </c>
      <c r="E666" s="9">
        <v>44048.342361111114</v>
      </c>
      <c r="F666" s="10">
        <f>INT(Cardiac_Table[[#This Row],[Procedure Start Date and Time]])</f>
        <v>44048</v>
      </c>
      <c r="G666" s="12">
        <f>MOD(Cardiac_Table[[#This Row],[Procedure Start Date and Time]],1)</f>
        <v>0.34236111111385981</v>
      </c>
      <c r="H666">
        <v>2</v>
      </c>
      <c r="I666" t="s">
        <v>4</v>
      </c>
      <c r="J666" t="s">
        <v>3</v>
      </c>
      <c r="K666" t="s">
        <v>32</v>
      </c>
      <c r="L666">
        <v>60</v>
      </c>
      <c r="M666">
        <v>3.65</v>
      </c>
      <c r="N666">
        <v>1.01</v>
      </c>
      <c r="O666" t="s">
        <v>15</v>
      </c>
      <c r="P666">
        <v>100</v>
      </c>
      <c r="Q666">
        <v>170</v>
      </c>
      <c r="R666">
        <v>70</v>
      </c>
      <c r="S666">
        <v>58</v>
      </c>
      <c r="T666" t="s">
        <v>48</v>
      </c>
      <c r="U666">
        <f>IF(Cardiac_Table[[#This Row],[Patient Status at Discharge]]="Died", 1,0)</f>
        <v>0</v>
      </c>
      <c r="V666">
        <f>Cardiac_Table[[#This Row],[Risk of Death % (Model 1)]]/100</f>
        <v>3.6499999999999998E-2</v>
      </c>
      <c r="W666">
        <f>Cardiac_Table[[#This Row],[Risk of Death % (Model 2)]]/100</f>
        <v>1.01E-2</v>
      </c>
      <c r="X666" s="18">
        <f>Cardiac_Table[[#This Row],[Procedure Start Date and Time]]-Cardiac_Table[[#This Row],[Hospital Admit Date ]]</f>
        <v>0.66319444444525288</v>
      </c>
    </row>
    <row r="667" spans="1:24" x14ac:dyDescent="0.35">
      <c r="A667">
        <v>674</v>
      </c>
      <c r="B667" s="9">
        <v>44047.364583333336</v>
      </c>
      <c r="C667" s="10">
        <f>INT(Cardiac_Table[[#This Row],[Hospital Admit Date ]])</f>
        <v>44047</v>
      </c>
      <c r="D667" s="11" t="str">
        <f t="shared" si="10"/>
        <v>08:45</v>
      </c>
      <c r="E667" s="9">
        <v>44048.34375</v>
      </c>
      <c r="F667" s="10">
        <f>INT(Cardiac_Table[[#This Row],[Procedure Start Date and Time]])</f>
        <v>44048</v>
      </c>
      <c r="G667" s="12">
        <f>MOD(Cardiac_Table[[#This Row],[Procedure Start Date and Time]],1)</f>
        <v>0.34375</v>
      </c>
      <c r="H667">
        <v>4</v>
      </c>
      <c r="I667" t="s">
        <v>4</v>
      </c>
      <c r="J667" t="s">
        <v>10</v>
      </c>
      <c r="K667" t="s">
        <v>24</v>
      </c>
      <c r="L667">
        <v>53</v>
      </c>
      <c r="M667">
        <v>2.87</v>
      </c>
      <c r="N667">
        <v>1.57</v>
      </c>
      <c r="O667" t="s">
        <v>15</v>
      </c>
      <c r="P667">
        <v>97</v>
      </c>
      <c r="Q667">
        <v>168</v>
      </c>
      <c r="R667">
        <v>89</v>
      </c>
      <c r="S667">
        <v>51</v>
      </c>
      <c r="T667" t="s">
        <v>48</v>
      </c>
      <c r="U667">
        <f>IF(Cardiac_Table[[#This Row],[Patient Status at Discharge]]="Died", 1,0)</f>
        <v>0</v>
      </c>
      <c r="V667">
        <f>Cardiac_Table[[#This Row],[Risk of Death % (Model 1)]]/100</f>
        <v>2.87E-2</v>
      </c>
      <c r="W667">
        <f>Cardiac_Table[[#This Row],[Risk of Death % (Model 2)]]/100</f>
        <v>1.5700000000000002E-2</v>
      </c>
      <c r="X667" s="18">
        <f>Cardiac_Table[[#This Row],[Procedure Start Date and Time]]-Cardiac_Table[[#This Row],[Hospital Admit Date ]]</f>
        <v>0.97916666666424135</v>
      </c>
    </row>
    <row r="668" spans="1:24" x14ac:dyDescent="0.35">
      <c r="A668">
        <v>675</v>
      </c>
      <c r="B668" s="9">
        <v>44046.42291666667</v>
      </c>
      <c r="C668" s="10">
        <f>INT(Cardiac_Table[[#This Row],[Hospital Admit Date ]])</f>
        <v>44046</v>
      </c>
      <c r="D668" s="11" t="str">
        <f t="shared" si="10"/>
        <v>10:09</v>
      </c>
      <c r="E668" s="9">
        <v>44048.34375</v>
      </c>
      <c r="F668" s="10">
        <f>INT(Cardiac_Table[[#This Row],[Procedure Start Date and Time]])</f>
        <v>44048</v>
      </c>
      <c r="G668" s="12">
        <f>MOD(Cardiac_Table[[#This Row],[Procedure Start Date and Time]],1)</f>
        <v>0.34375</v>
      </c>
      <c r="H668">
        <v>6</v>
      </c>
      <c r="I668" t="s">
        <v>6</v>
      </c>
      <c r="J668" t="s">
        <v>11</v>
      </c>
      <c r="K668" t="s">
        <v>31</v>
      </c>
      <c r="L668">
        <v>66</v>
      </c>
      <c r="M668">
        <v>4.4800000000000004</v>
      </c>
      <c r="N668">
        <v>3.16</v>
      </c>
      <c r="O668" t="s">
        <v>15</v>
      </c>
      <c r="P668">
        <v>79</v>
      </c>
      <c r="Q668">
        <v>177</v>
      </c>
      <c r="R668">
        <v>96</v>
      </c>
      <c r="S668">
        <v>55</v>
      </c>
      <c r="T668" t="s">
        <v>48</v>
      </c>
      <c r="U668">
        <f>IF(Cardiac_Table[[#This Row],[Patient Status at Discharge]]="Died", 1,0)</f>
        <v>0</v>
      </c>
      <c r="V668">
        <f>Cardiac_Table[[#This Row],[Risk of Death % (Model 1)]]/100</f>
        <v>4.4800000000000006E-2</v>
      </c>
      <c r="W668">
        <f>Cardiac_Table[[#This Row],[Risk of Death % (Model 2)]]/100</f>
        <v>3.1600000000000003E-2</v>
      </c>
      <c r="X668" s="18">
        <f>Cardiac_Table[[#This Row],[Procedure Start Date and Time]]-Cardiac_Table[[#This Row],[Hospital Admit Date ]]</f>
        <v>1.9208333333299379</v>
      </c>
    </row>
    <row r="669" spans="1:24" x14ac:dyDescent="0.35">
      <c r="A669">
        <v>676</v>
      </c>
      <c r="B669" s="9">
        <v>44047.629166666666</v>
      </c>
      <c r="C669" s="10">
        <f>INT(Cardiac_Table[[#This Row],[Hospital Admit Date ]])</f>
        <v>44047</v>
      </c>
      <c r="D669" s="11" t="str">
        <f t="shared" si="10"/>
        <v>15:06</v>
      </c>
      <c r="E669" s="9">
        <v>44048.46597222222</v>
      </c>
      <c r="F669" s="10">
        <f>INT(Cardiac_Table[[#This Row],[Procedure Start Date and Time]])</f>
        <v>44048</v>
      </c>
      <c r="G669" s="12">
        <f>MOD(Cardiac_Table[[#This Row],[Procedure Start Date and Time]],1)</f>
        <v>0.46597222222044365</v>
      </c>
      <c r="H669">
        <v>2</v>
      </c>
      <c r="I669" t="s">
        <v>4</v>
      </c>
      <c r="J669" t="s">
        <v>3</v>
      </c>
      <c r="K669" t="s">
        <v>32</v>
      </c>
      <c r="L669">
        <v>78</v>
      </c>
      <c r="M669">
        <v>5.14</v>
      </c>
      <c r="N669">
        <v>1.25</v>
      </c>
      <c r="O669" t="s">
        <v>15</v>
      </c>
      <c r="P669">
        <v>83</v>
      </c>
      <c r="Q669">
        <v>172</v>
      </c>
      <c r="R669">
        <v>99</v>
      </c>
      <c r="S669">
        <v>35</v>
      </c>
      <c r="T669" t="s">
        <v>50</v>
      </c>
      <c r="U669">
        <f>IF(Cardiac_Table[[#This Row],[Patient Status at Discharge]]="Died", 1,0)</f>
        <v>0</v>
      </c>
      <c r="V669">
        <f>Cardiac_Table[[#This Row],[Risk of Death % (Model 1)]]/100</f>
        <v>5.1399999999999994E-2</v>
      </c>
      <c r="W669">
        <f>Cardiac_Table[[#This Row],[Risk of Death % (Model 2)]]/100</f>
        <v>1.2500000000000001E-2</v>
      </c>
      <c r="X669" s="18">
        <f>Cardiac_Table[[#This Row],[Procedure Start Date and Time]]-Cardiac_Table[[#This Row],[Hospital Admit Date ]]</f>
        <v>0.83680555555474712</v>
      </c>
    </row>
    <row r="670" spans="1:24" x14ac:dyDescent="0.35">
      <c r="A670">
        <v>677</v>
      </c>
      <c r="B670" s="9">
        <v>44048.291666666664</v>
      </c>
      <c r="C670" s="10">
        <f>INT(Cardiac_Table[[#This Row],[Hospital Admit Date ]])</f>
        <v>44048</v>
      </c>
      <c r="D670" s="11" t="str">
        <f t="shared" si="10"/>
        <v>07:00</v>
      </c>
      <c r="E670" s="9">
        <v>44048.527777777781</v>
      </c>
      <c r="F670" s="10">
        <f>INT(Cardiac_Table[[#This Row],[Procedure Start Date and Time]])</f>
        <v>44048</v>
      </c>
      <c r="G670" s="12">
        <f>MOD(Cardiac_Table[[#This Row],[Procedure Start Date and Time]],1)</f>
        <v>0.52777777778101154</v>
      </c>
      <c r="H670">
        <v>5</v>
      </c>
      <c r="I670" t="s">
        <v>4</v>
      </c>
      <c r="J670" t="s">
        <v>3</v>
      </c>
      <c r="K670" t="s">
        <v>28</v>
      </c>
      <c r="L670">
        <v>62</v>
      </c>
      <c r="M670">
        <v>5.19</v>
      </c>
      <c r="N670">
        <v>5.32</v>
      </c>
      <c r="O670" t="s">
        <v>15</v>
      </c>
      <c r="P670">
        <v>80</v>
      </c>
      <c r="Q670">
        <v>168</v>
      </c>
      <c r="R670">
        <v>100</v>
      </c>
      <c r="S670">
        <v>55</v>
      </c>
      <c r="T670" t="s">
        <v>48</v>
      </c>
      <c r="U670">
        <f>IF(Cardiac_Table[[#This Row],[Patient Status at Discharge]]="Died", 1,0)</f>
        <v>0</v>
      </c>
      <c r="V670">
        <f>Cardiac_Table[[#This Row],[Risk of Death % (Model 1)]]/100</f>
        <v>5.1900000000000002E-2</v>
      </c>
      <c r="W670">
        <f>Cardiac_Table[[#This Row],[Risk of Death % (Model 2)]]/100</f>
        <v>5.3200000000000004E-2</v>
      </c>
      <c r="X670" s="18">
        <f>Cardiac_Table[[#This Row],[Procedure Start Date and Time]]-Cardiac_Table[[#This Row],[Hospital Admit Date ]]</f>
        <v>0.23611111111677019</v>
      </c>
    </row>
    <row r="671" spans="1:24" x14ac:dyDescent="0.35">
      <c r="A671">
        <v>678</v>
      </c>
      <c r="B671" s="9">
        <v>44046.424305555556</v>
      </c>
      <c r="C671" s="10">
        <f>INT(Cardiac_Table[[#This Row],[Hospital Admit Date ]])</f>
        <v>44046</v>
      </c>
      <c r="D671" s="11" t="str">
        <f t="shared" si="10"/>
        <v>10:11</v>
      </c>
      <c r="E671" s="9">
        <v>44048.571527777778</v>
      </c>
      <c r="F671" s="10">
        <f>INT(Cardiac_Table[[#This Row],[Procedure Start Date and Time]])</f>
        <v>44048</v>
      </c>
      <c r="G671" s="12">
        <f>MOD(Cardiac_Table[[#This Row],[Procedure Start Date and Time]],1)</f>
        <v>0.57152777777810115</v>
      </c>
      <c r="H671">
        <v>4</v>
      </c>
      <c r="I671" t="s">
        <v>6</v>
      </c>
      <c r="J671" t="s">
        <v>10</v>
      </c>
      <c r="K671" t="s">
        <v>24</v>
      </c>
      <c r="L671">
        <v>64</v>
      </c>
      <c r="M671">
        <v>2.1</v>
      </c>
      <c r="N671">
        <v>1</v>
      </c>
      <c r="O671" t="s">
        <v>15</v>
      </c>
      <c r="P671">
        <v>79</v>
      </c>
      <c r="Q671">
        <v>158</v>
      </c>
      <c r="R671">
        <v>68</v>
      </c>
      <c r="S671">
        <v>25</v>
      </c>
      <c r="T671" t="s">
        <v>49</v>
      </c>
      <c r="U671">
        <f>IF(Cardiac_Table[[#This Row],[Patient Status at Discharge]]="Died", 1,0)</f>
        <v>0</v>
      </c>
      <c r="V671">
        <f>Cardiac_Table[[#This Row],[Risk of Death % (Model 1)]]/100</f>
        <v>2.1000000000000001E-2</v>
      </c>
      <c r="W671">
        <f>Cardiac_Table[[#This Row],[Risk of Death % (Model 2)]]/100</f>
        <v>0.01</v>
      </c>
      <c r="X671" s="18">
        <f>Cardiac_Table[[#This Row],[Procedure Start Date and Time]]-Cardiac_Table[[#This Row],[Hospital Admit Date ]]</f>
        <v>2.1472222222218988</v>
      </c>
    </row>
    <row r="672" spans="1:24" x14ac:dyDescent="0.35">
      <c r="A672">
        <v>679</v>
      </c>
      <c r="B672" s="9">
        <v>44047.681944444441</v>
      </c>
      <c r="C672" s="10">
        <f>INT(Cardiac_Table[[#This Row],[Hospital Admit Date ]])</f>
        <v>44047</v>
      </c>
      <c r="D672" s="11" t="str">
        <f t="shared" si="10"/>
        <v>16:22</v>
      </c>
      <c r="E672" s="9">
        <v>44048.604166666664</v>
      </c>
      <c r="F672" s="10">
        <f>INT(Cardiac_Table[[#This Row],[Procedure Start Date and Time]])</f>
        <v>44048</v>
      </c>
      <c r="G672" s="12">
        <f>MOD(Cardiac_Table[[#This Row],[Procedure Start Date and Time]],1)</f>
        <v>0.60416666666424135</v>
      </c>
      <c r="H672">
        <v>2</v>
      </c>
      <c r="I672" t="s">
        <v>4</v>
      </c>
      <c r="J672" t="s">
        <v>3</v>
      </c>
      <c r="K672" t="s">
        <v>32</v>
      </c>
      <c r="L672">
        <v>68</v>
      </c>
      <c r="M672">
        <v>4.0599999999999996</v>
      </c>
      <c r="N672">
        <v>2.79</v>
      </c>
      <c r="O672" t="s">
        <v>15</v>
      </c>
      <c r="P672">
        <v>131</v>
      </c>
      <c r="Q672">
        <v>163</v>
      </c>
      <c r="R672">
        <v>88</v>
      </c>
      <c r="S672">
        <v>35</v>
      </c>
      <c r="T672" t="s">
        <v>50</v>
      </c>
      <c r="U672">
        <f>IF(Cardiac_Table[[#This Row],[Patient Status at Discharge]]="Died", 1,0)</f>
        <v>0</v>
      </c>
      <c r="V672">
        <f>Cardiac_Table[[#This Row],[Risk of Death % (Model 1)]]/100</f>
        <v>4.0599999999999997E-2</v>
      </c>
      <c r="W672">
        <f>Cardiac_Table[[#This Row],[Risk of Death % (Model 2)]]/100</f>
        <v>2.7900000000000001E-2</v>
      </c>
      <c r="X672" s="18">
        <f>Cardiac_Table[[#This Row],[Procedure Start Date and Time]]-Cardiac_Table[[#This Row],[Hospital Admit Date ]]</f>
        <v>0.92222222222335404</v>
      </c>
    </row>
    <row r="673" spans="1:24" x14ac:dyDescent="0.35">
      <c r="A673">
        <v>680</v>
      </c>
      <c r="B673" s="9">
        <v>44044.04583333333</v>
      </c>
      <c r="C673" s="10">
        <f>INT(Cardiac_Table[[#This Row],[Hospital Admit Date ]])</f>
        <v>44044</v>
      </c>
      <c r="D673" s="11" t="str">
        <f t="shared" si="10"/>
        <v>01:06</v>
      </c>
      <c r="E673" s="9">
        <v>44048.627083333333</v>
      </c>
      <c r="F673" s="10">
        <f>INT(Cardiac_Table[[#This Row],[Procedure Start Date and Time]])</f>
        <v>44048</v>
      </c>
      <c r="G673" s="12">
        <f>MOD(Cardiac_Table[[#This Row],[Procedure Start Date and Time]],1)</f>
        <v>0.62708333333284827</v>
      </c>
      <c r="H673">
        <v>6</v>
      </c>
      <c r="I673" t="s">
        <v>6</v>
      </c>
      <c r="J673" t="s">
        <v>10</v>
      </c>
      <c r="K673" t="s">
        <v>31</v>
      </c>
      <c r="L673">
        <v>66</v>
      </c>
      <c r="M673">
        <v>13.1</v>
      </c>
      <c r="N673">
        <v>8.26</v>
      </c>
      <c r="O673" t="s">
        <v>15</v>
      </c>
      <c r="P673">
        <v>86</v>
      </c>
      <c r="Q673">
        <v>164</v>
      </c>
      <c r="R673">
        <v>77</v>
      </c>
      <c r="S673">
        <v>70</v>
      </c>
      <c r="T673" t="s">
        <v>48</v>
      </c>
      <c r="U673">
        <f>IF(Cardiac_Table[[#This Row],[Patient Status at Discharge]]="Died", 1,0)</f>
        <v>0</v>
      </c>
      <c r="V673">
        <f>Cardiac_Table[[#This Row],[Risk of Death % (Model 1)]]/100</f>
        <v>0.13100000000000001</v>
      </c>
      <c r="W673">
        <f>Cardiac_Table[[#This Row],[Risk of Death % (Model 2)]]/100</f>
        <v>8.2599999999999993E-2</v>
      </c>
      <c r="X673" s="18">
        <f>Cardiac_Table[[#This Row],[Procedure Start Date and Time]]-Cardiac_Table[[#This Row],[Hospital Admit Date ]]</f>
        <v>4.5812500000029104</v>
      </c>
    </row>
    <row r="674" spans="1:24" x14ac:dyDescent="0.35">
      <c r="A674">
        <v>681</v>
      </c>
      <c r="B674" s="9">
        <v>44048.651388888888</v>
      </c>
      <c r="C674" s="10">
        <f>INT(Cardiac_Table[[#This Row],[Hospital Admit Date ]])</f>
        <v>44048</v>
      </c>
      <c r="D674" s="11" t="str">
        <f t="shared" si="10"/>
        <v>15:38</v>
      </c>
      <c r="E674" s="9">
        <v>44049.338888888888</v>
      </c>
      <c r="F674" s="10">
        <f>INT(Cardiac_Table[[#This Row],[Procedure Start Date and Time]])</f>
        <v>44049</v>
      </c>
      <c r="G674" s="12">
        <f>MOD(Cardiac_Table[[#This Row],[Procedure Start Date and Time]],1)</f>
        <v>0.33888888888759539</v>
      </c>
      <c r="H674">
        <v>3</v>
      </c>
      <c r="I674" t="s">
        <v>4</v>
      </c>
      <c r="J674" t="s">
        <v>3</v>
      </c>
      <c r="K674" t="s">
        <v>33</v>
      </c>
      <c r="L674">
        <v>81</v>
      </c>
      <c r="M674">
        <v>6.21</v>
      </c>
      <c r="N674">
        <v>1.22</v>
      </c>
      <c r="O674" t="s">
        <v>15</v>
      </c>
      <c r="P674">
        <v>76</v>
      </c>
      <c r="Q674">
        <v>160</v>
      </c>
      <c r="R674">
        <v>101</v>
      </c>
      <c r="S674">
        <v>35</v>
      </c>
      <c r="T674" t="s">
        <v>50</v>
      </c>
      <c r="U674">
        <f>IF(Cardiac_Table[[#This Row],[Patient Status at Discharge]]="Died", 1,0)</f>
        <v>0</v>
      </c>
      <c r="V674">
        <f>Cardiac_Table[[#This Row],[Risk of Death % (Model 1)]]/100</f>
        <v>6.2100000000000002E-2</v>
      </c>
      <c r="W674">
        <f>Cardiac_Table[[#This Row],[Risk of Death % (Model 2)]]/100</f>
        <v>1.2199999999999999E-2</v>
      </c>
      <c r="X674" s="18">
        <f>Cardiac_Table[[#This Row],[Procedure Start Date and Time]]-Cardiac_Table[[#This Row],[Hospital Admit Date ]]</f>
        <v>0.6875</v>
      </c>
    </row>
    <row r="675" spans="1:24" x14ac:dyDescent="0.35">
      <c r="A675">
        <v>682</v>
      </c>
      <c r="B675" s="9">
        <v>44049.25</v>
      </c>
      <c r="C675" s="10">
        <f>INT(Cardiac_Table[[#This Row],[Hospital Admit Date ]])</f>
        <v>44049</v>
      </c>
      <c r="D675" s="11" t="str">
        <f t="shared" si="10"/>
        <v>06:00</v>
      </c>
      <c r="E675" s="9">
        <v>44049.340277777781</v>
      </c>
      <c r="F675" s="10">
        <f>INT(Cardiac_Table[[#This Row],[Procedure Start Date and Time]])</f>
        <v>44049</v>
      </c>
      <c r="G675" s="12">
        <f>MOD(Cardiac_Table[[#This Row],[Procedure Start Date and Time]],1)</f>
        <v>0.34027777778101154</v>
      </c>
      <c r="H675">
        <v>5</v>
      </c>
      <c r="I675" t="s">
        <v>4</v>
      </c>
      <c r="J675" t="s">
        <v>10</v>
      </c>
      <c r="K675" t="s">
        <v>23</v>
      </c>
      <c r="L675">
        <v>65</v>
      </c>
      <c r="M675">
        <v>1.81</v>
      </c>
      <c r="N675">
        <v>0.8</v>
      </c>
      <c r="O675" t="s">
        <v>15</v>
      </c>
      <c r="P675">
        <v>130</v>
      </c>
      <c r="Q675">
        <v>163</v>
      </c>
      <c r="R675">
        <v>82</v>
      </c>
      <c r="S675">
        <v>25</v>
      </c>
      <c r="T675" t="s">
        <v>49</v>
      </c>
      <c r="U675">
        <f>IF(Cardiac_Table[[#This Row],[Patient Status at Discharge]]="Died", 1,0)</f>
        <v>0</v>
      </c>
      <c r="V675">
        <f>Cardiac_Table[[#This Row],[Risk of Death % (Model 1)]]/100</f>
        <v>1.8100000000000002E-2</v>
      </c>
      <c r="W675">
        <f>Cardiac_Table[[#This Row],[Risk of Death % (Model 2)]]/100</f>
        <v>8.0000000000000002E-3</v>
      </c>
      <c r="X675" s="18">
        <f>Cardiac_Table[[#This Row],[Procedure Start Date and Time]]-Cardiac_Table[[#This Row],[Hospital Admit Date ]]</f>
        <v>9.0277777781011537E-2</v>
      </c>
    </row>
    <row r="676" spans="1:24" x14ac:dyDescent="0.35">
      <c r="A676">
        <v>683</v>
      </c>
      <c r="B676" s="9">
        <v>44034.416666666664</v>
      </c>
      <c r="C676" s="10">
        <f>INT(Cardiac_Table[[#This Row],[Hospital Admit Date ]])</f>
        <v>44034</v>
      </c>
      <c r="D676" s="11" t="str">
        <f t="shared" si="10"/>
        <v>10:00</v>
      </c>
      <c r="E676" s="9">
        <v>44049.350694444445</v>
      </c>
      <c r="F676" s="10">
        <f>INT(Cardiac_Table[[#This Row],[Procedure Start Date and Time]])</f>
        <v>44049</v>
      </c>
      <c r="G676" s="12">
        <f>MOD(Cardiac_Table[[#This Row],[Procedure Start Date and Time]],1)</f>
        <v>0.35069444444525288</v>
      </c>
      <c r="H676">
        <v>6</v>
      </c>
      <c r="I676" t="s">
        <v>6</v>
      </c>
      <c r="J676" t="s">
        <v>10</v>
      </c>
      <c r="K676" t="s">
        <v>31</v>
      </c>
      <c r="L676">
        <v>61</v>
      </c>
      <c r="M676">
        <v>1.72</v>
      </c>
      <c r="N676">
        <v>0.82</v>
      </c>
      <c r="O676" t="s">
        <v>15</v>
      </c>
      <c r="P676">
        <v>68</v>
      </c>
      <c r="Q676">
        <v>179</v>
      </c>
      <c r="R676">
        <v>91</v>
      </c>
      <c r="S676">
        <v>29</v>
      </c>
      <c r="T676" t="s">
        <v>49</v>
      </c>
      <c r="U676">
        <f>IF(Cardiac_Table[[#This Row],[Patient Status at Discharge]]="Died", 1,0)</f>
        <v>0</v>
      </c>
      <c r="V676">
        <f>Cardiac_Table[[#This Row],[Risk of Death % (Model 1)]]/100</f>
        <v>1.72E-2</v>
      </c>
      <c r="W676">
        <f>Cardiac_Table[[#This Row],[Risk of Death % (Model 2)]]/100</f>
        <v>8.199999999999999E-3</v>
      </c>
      <c r="X676" s="18">
        <f>Cardiac_Table[[#This Row],[Procedure Start Date and Time]]-Cardiac_Table[[#This Row],[Hospital Admit Date ]]</f>
        <v>14.934027777781012</v>
      </c>
    </row>
    <row r="677" spans="1:24" x14ac:dyDescent="0.35">
      <c r="A677">
        <v>684</v>
      </c>
      <c r="B677" s="9">
        <v>44009.783333333333</v>
      </c>
      <c r="C677" s="10">
        <f>INT(Cardiac_Table[[#This Row],[Hospital Admit Date ]])</f>
        <v>44009</v>
      </c>
      <c r="D677" s="11" t="str">
        <f t="shared" si="10"/>
        <v>18:48</v>
      </c>
      <c r="E677" s="9">
        <v>44049.381944444445</v>
      </c>
      <c r="F677" s="10">
        <f>INT(Cardiac_Table[[#This Row],[Procedure Start Date and Time]])</f>
        <v>44049</v>
      </c>
      <c r="G677" s="12">
        <f>MOD(Cardiac_Table[[#This Row],[Procedure Start Date and Time]],1)</f>
        <v>0.38194444444525288</v>
      </c>
      <c r="H677">
        <v>4</v>
      </c>
      <c r="I677" t="s">
        <v>6</v>
      </c>
      <c r="J677" t="s">
        <v>3</v>
      </c>
      <c r="K677" t="s">
        <v>21</v>
      </c>
      <c r="L677">
        <v>78</v>
      </c>
      <c r="M677">
        <v>40.89</v>
      </c>
      <c r="N677">
        <v>17.23</v>
      </c>
      <c r="O677" t="s">
        <v>15</v>
      </c>
      <c r="P677">
        <v>91</v>
      </c>
      <c r="Q677">
        <v>171</v>
      </c>
      <c r="R677">
        <v>81</v>
      </c>
      <c r="S677">
        <v>53</v>
      </c>
      <c r="T677" t="s">
        <v>48</v>
      </c>
      <c r="U677">
        <f>IF(Cardiac_Table[[#This Row],[Patient Status at Discharge]]="Died", 1,0)</f>
        <v>0</v>
      </c>
      <c r="V677">
        <f>Cardiac_Table[[#This Row],[Risk of Death % (Model 1)]]/100</f>
        <v>0.40889999999999999</v>
      </c>
      <c r="W677">
        <f>Cardiac_Table[[#This Row],[Risk of Death % (Model 2)]]/100</f>
        <v>0.17230000000000001</v>
      </c>
      <c r="X677" s="18">
        <f>Cardiac_Table[[#This Row],[Procedure Start Date and Time]]-Cardiac_Table[[#This Row],[Hospital Admit Date ]]</f>
        <v>39.598611111112405</v>
      </c>
    </row>
    <row r="678" spans="1:24" x14ac:dyDescent="0.35">
      <c r="A678">
        <v>685</v>
      </c>
      <c r="B678" s="9">
        <v>44049.302083333336</v>
      </c>
      <c r="C678" s="10">
        <f>INT(Cardiac_Table[[#This Row],[Hospital Admit Date ]])</f>
        <v>44049</v>
      </c>
      <c r="D678" s="11" t="str">
        <f t="shared" si="10"/>
        <v>07:15</v>
      </c>
      <c r="E678" s="9">
        <v>44049.497916666667</v>
      </c>
      <c r="F678" s="10">
        <f>INT(Cardiac_Table[[#This Row],[Procedure Start Date and Time]])</f>
        <v>44049</v>
      </c>
      <c r="G678" s="12">
        <f>MOD(Cardiac_Table[[#This Row],[Procedure Start Date and Time]],1)</f>
        <v>0.49791666666715173</v>
      </c>
      <c r="H678">
        <v>3</v>
      </c>
      <c r="I678" t="s">
        <v>4</v>
      </c>
      <c r="J678" t="s">
        <v>11</v>
      </c>
      <c r="K678" t="s">
        <v>33</v>
      </c>
      <c r="L678">
        <v>77</v>
      </c>
      <c r="M678">
        <v>11.21</v>
      </c>
      <c r="N678">
        <v>2.29</v>
      </c>
      <c r="O678" t="s">
        <v>15</v>
      </c>
      <c r="P678">
        <v>86</v>
      </c>
      <c r="Q678">
        <v>151</v>
      </c>
      <c r="R678">
        <v>71</v>
      </c>
      <c r="S678">
        <v>65</v>
      </c>
      <c r="T678" t="s">
        <v>48</v>
      </c>
      <c r="U678">
        <f>IF(Cardiac_Table[[#This Row],[Patient Status at Discharge]]="Died", 1,0)</f>
        <v>0</v>
      </c>
      <c r="V678">
        <f>Cardiac_Table[[#This Row],[Risk of Death % (Model 1)]]/100</f>
        <v>0.11210000000000001</v>
      </c>
      <c r="W678">
        <f>Cardiac_Table[[#This Row],[Risk of Death % (Model 2)]]/100</f>
        <v>2.29E-2</v>
      </c>
      <c r="X678" s="18">
        <f>Cardiac_Table[[#This Row],[Procedure Start Date and Time]]-Cardiac_Table[[#This Row],[Hospital Admit Date ]]</f>
        <v>0.19583333333139308</v>
      </c>
    </row>
    <row r="679" spans="1:24" x14ac:dyDescent="0.35">
      <c r="A679">
        <v>686</v>
      </c>
      <c r="B679" s="9">
        <v>44042.541666666664</v>
      </c>
      <c r="C679" s="10">
        <f>INT(Cardiac_Table[[#This Row],[Hospital Admit Date ]])</f>
        <v>44042</v>
      </c>
      <c r="D679" s="11" t="str">
        <f t="shared" si="10"/>
        <v>13:00</v>
      </c>
      <c r="E679" s="9">
        <v>44049.583333333336</v>
      </c>
      <c r="F679" s="10">
        <f>INT(Cardiac_Table[[#This Row],[Procedure Start Date and Time]])</f>
        <v>44049</v>
      </c>
      <c r="G679" s="12">
        <f>MOD(Cardiac_Table[[#This Row],[Procedure Start Date and Time]],1)</f>
        <v>0.58333333333575865</v>
      </c>
      <c r="H679">
        <v>5</v>
      </c>
      <c r="I679" t="s">
        <v>4</v>
      </c>
      <c r="J679" t="s">
        <v>10</v>
      </c>
      <c r="K679" t="s">
        <v>23</v>
      </c>
      <c r="L679">
        <v>52</v>
      </c>
      <c r="M679">
        <v>2.2799999999999998</v>
      </c>
      <c r="N679">
        <v>1.51</v>
      </c>
      <c r="O679" t="s">
        <v>15</v>
      </c>
      <c r="P679">
        <v>76</v>
      </c>
      <c r="Q679">
        <v>169</v>
      </c>
      <c r="R679">
        <v>106</v>
      </c>
      <c r="S679">
        <v>47</v>
      </c>
      <c r="T679" t="s">
        <v>50</v>
      </c>
      <c r="U679">
        <f>IF(Cardiac_Table[[#This Row],[Patient Status at Discharge]]="Died", 1,0)</f>
        <v>0</v>
      </c>
      <c r="V679">
        <f>Cardiac_Table[[#This Row],[Risk of Death % (Model 1)]]/100</f>
        <v>2.2799999999999997E-2</v>
      </c>
      <c r="W679">
        <f>Cardiac_Table[[#This Row],[Risk of Death % (Model 2)]]/100</f>
        <v>1.5100000000000001E-2</v>
      </c>
      <c r="X679" s="18">
        <f>Cardiac_Table[[#This Row],[Procedure Start Date and Time]]-Cardiac_Table[[#This Row],[Hospital Admit Date ]]</f>
        <v>7.0416666666715173</v>
      </c>
    </row>
    <row r="680" spans="1:24" x14ac:dyDescent="0.35">
      <c r="A680">
        <v>687</v>
      </c>
      <c r="B680" s="9">
        <v>44049.291666666664</v>
      </c>
      <c r="C680" s="10">
        <f>INT(Cardiac_Table[[#This Row],[Hospital Admit Date ]])</f>
        <v>44049</v>
      </c>
      <c r="D680" s="11" t="str">
        <f t="shared" si="10"/>
        <v>07:00</v>
      </c>
      <c r="E680" s="9">
        <v>44049.595138888886</v>
      </c>
      <c r="F680" s="10">
        <f>INT(Cardiac_Table[[#This Row],[Procedure Start Date and Time]])</f>
        <v>44049</v>
      </c>
      <c r="G680" s="12">
        <f>MOD(Cardiac_Table[[#This Row],[Procedure Start Date and Time]],1)</f>
        <v>0.59513888888614019</v>
      </c>
      <c r="H680">
        <v>6</v>
      </c>
      <c r="I680" t="s">
        <v>4</v>
      </c>
      <c r="J680" t="s">
        <v>10</v>
      </c>
      <c r="K680" t="s">
        <v>31</v>
      </c>
      <c r="L680">
        <v>59</v>
      </c>
      <c r="M680">
        <v>0.88</v>
      </c>
      <c r="N680">
        <v>0.5</v>
      </c>
      <c r="O680" t="s">
        <v>15</v>
      </c>
      <c r="P680">
        <v>93</v>
      </c>
      <c r="Q680">
        <v>180</v>
      </c>
      <c r="R680">
        <v>115</v>
      </c>
      <c r="S680">
        <v>73</v>
      </c>
      <c r="T680" t="s">
        <v>48</v>
      </c>
      <c r="U680">
        <f>IF(Cardiac_Table[[#This Row],[Patient Status at Discharge]]="Died", 1,0)</f>
        <v>0</v>
      </c>
      <c r="V680">
        <f>Cardiac_Table[[#This Row],[Risk of Death % (Model 1)]]/100</f>
        <v>8.8000000000000005E-3</v>
      </c>
      <c r="W680">
        <f>Cardiac_Table[[#This Row],[Risk of Death % (Model 2)]]/100</f>
        <v>5.0000000000000001E-3</v>
      </c>
      <c r="X680" s="18">
        <f>Cardiac_Table[[#This Row],[Procedure Start Date and Time]]-Cardiac_Table[[#This Row],[Hospital Admit Date ]]</f>
        <v>0.30347222222189885</v>
      </c>
    </row>
    <row r="681" spans="1:24" x14ac:dyDescent="0.35">
      <c r="A681">
        <v>688</v>
      </c>
      <c r="B681" s="9">
        <v>44049.674305555556</v>
      </c>
      <c r="C681" s="10">
        <f>INT(Cardiac_Table[[#This Row],[Hospital Admit Date ]])</f>
        <v>44049</v>
      </c>
      <c r="D681" s="11" t="str">
        <f t="shared" si="10"/>
        <v>16:11</v>
      </c>
      <c r="E681" s="9">
        <v>44050.339583333334</v>
      </c>
      <c r="F681" s="10">
        <f>INT(Cardiac_Table[[#This Row],[Procedure Start Date and Time]])</f>
        <v>44050</v>
      </c>
      <c r="G681" s="12">
        <f>MOD(Cardiac_Table[[#This Row],[Procedure Start Date and Time]],1)</f>
        <v>0.33958333333430346</v>
      </c>
      <c r="H681">
        <v>5</v>
      </c>
      <c r="I681" t="s">
        <v>6</v>
      </c>
      <c r="J681" t="s">
        <v>10</v>
      </c>
      <c r="K681" t="s">
        <v>27</v>
      </c>
      <c r="L681">
        <v>79</v>
      </c>
      <c r="M681">
        <v>8.6999999999999993</v>
      </c>
      <c r="N681">
        <v>2.46</v>
      </c>
      <c r="O681" t="s">
        <v>15</v>
      </c>
      <c r="P681">
        <v>86</v>
      </c>
      <c r="Q681">
        <v>180</v>
      </c>
      <c r="R681">
        <v>80</v>
      </c>
      <c r="S681">
        <v>60</v>
      </c>
      <c r="T681" t="s">
        <v>48</v>
      </c>
      <c r="U681">
        <f>IF(Cardiac_Table[[#This Row],[Patient Status at Discharge]]="Died", 1,0)</f>
        <v>0</v>
      </c>
      <c r="V681">
        <f>Cardiac_Table[[#This Row],[Risk of Death % (Model 1)]]/100</f>
        <v>8.6999999999999994E-2</v>
      </c>
      <c r="W681">
        <f>Cardiac_Table[[#This Row],[Risk of Death % (Model 2)]]/100</f>
        <v>2.46E-2</v>
      </c>
      <c r="X681" s="18">
        <f>Cardiac_Table[[#This Row],[Procedure Start Date and Time]]-Cardiac_Table[[#This Row],[Hospital Admit Date ]]</f>
        <v>0.66527777777810115</v>
      </c>
    </row>
    <row r="682" spans="1:24" x14ac:dyDescent="0.35">
      <c r="A682">
        <v>689</v>
      </c>
      <c r="B682" s="9">
        <v>44049.673611111109</v>
      </c>
      <c r="C682" s="10">
        <f>INT(Cardiac_Table[[#This Row],[Hospital Admit Date ]])</f>
        <v>44049</v>
      </c>
      <c r="D682" s="11" t="str">
        <f t="shared" si="10"/>
        <v>16:10</v>
      </c>
      <c r="E682" s="9">
        <v>44050.34097222222</v>
      </c>
      <c r="F682" s="10">
        <f>INT(Cardiac_Table[[#This Row],[Procedure Start Date and Time]])</f>
        <v>44050</v>
      </c>
      <c r="G682" s="12">
        <f>MOD(Cardiac_Table[[#This Row],[Procedure Start Date and Time]],1)</f>
        <v>0.34097222222044365</v>
      </c>
      <c r="H682">
        <v>4</v>
      </c>
      <c r="I682" t="s">
        <v>6</v>
      </c>
      <c r="J682" t="s">
        <v>3</v>
      </c>
      <c r="K682" t="s">
        <v>26</v>
      </c>
      <c r="L682">
        <v>69</v>
      </c>
      <c r="M682">
        <v>3.98</v>
      </c>
      <c r="N682">
        <v>3.16</v>
      </c>
      <c r="O682" t="s">
        <v>15</v>
      </c>
      <c r="P682">
        <v>69</v>
      </c>
      <c r="Q682">
        <v>170</v>
      </c>
      <c r="R682">
        <v>90</v>
      </c>
      <c r="S682">
        <v>60</v>
      </c>
      <c r="T682" t="s">
        <v>48</v>
      </c>
      <c r="U682">
        <f>IF(Cardiac_Table[[#This Row],[Patient Status at Discharge]]="Died", 1,0)</f>
        <v>0</v>
      </c>
      <c r="V682">
        <f>Cardiac_Table[[#This Row],[Risk of Death % (Model 1)]]/100</f>
        <v>3.9800000000000002E-2</v>
      </c>
      <c r="W682">
        <f>Cardiac_Table[[#This Row],[Risk of Death % (Model 2)]]/100</f>
        <v>3.1600000000000003E-2</v>
      </c>
      <c r="X682" s="18">
        <f>Cardiac_Table[[#This Row],[Procedure Start Date and Time]]-Cardiac_Table[[#This Row],[Hospital Admit Date ]]</f>
        <v>0.66736111111094942</v>
      </c>
    </row>
    <row r="683" spans="1:24" x14ac:dyDescent="0.35">
      <c r="A683">
        <v>690</v>
      </c>
      <c r="B683" s="9">
        <v>44050.291666666664</v>
      </c>
      <c r="C683" s="10">
        <f>INT(Cardiac_Table[[#This Row],[Hospital Admit Date ]])</f>
        <v>44050</v>
      </c>
      <c r="D683" s="11" t="str">
        <f t="shared" si="10"/>
        <v>07:00</v>
      </c>
      <c r="E683" s="9">
        <v>44050.55</v>
      </c>
      <c r="F683" s="10">
        <f>INT(Cardiac_Table[[#This Row],[Procedure Start Date and Time]])</f>
        <v>44050</v>
      </c>
      <c r="G683" s="12">
        <f>MOD(Cardiac_Table[[#This Row],[Procedure Start Date and Time]],1)</f>
        <v>0.55000000000291038</v>
      </c>
      <c r="H683">
        <v>5</v>
      </c>
      <c r="I683" t="s">
        <v>4</v>
      </c>
      <c r="J683" t="s">
        <v>11</v>
      </c>
      <c r="K683" t="s">
        <v>27</v>
      </c>
      <c r="L683">
        <v>74</v>
      </c>
      <c r="M683">
        <v>3.99</v>
      </c>
      <c r="N683">
        <v>1.42</v>
      </c>
      <c r="O683" t="s">
        <v>15</v>
      </c>
      <c r="P683">
        <v>80</v>
      </c>
      <c r="Q683">
        <v>153</v>
      </c>
      <c r="R683">
        <v>58</v>
      </c>
      <c r="S683">
        <v>45</v>
      </c>
      <c r="T683" t="s">
        <v>50</v>
      </c>
      <c r="U683">
        <f>IF(Cardiac_Table[[#This Row],[Patient Status at Discharge]]="Died", 1,0)</f>
        <v>0</v>
      </c>
      <c r="V683">
        <f>Cardiac_Table[[#This Row],[Risk of Death % (Model 1)]]/100</f>
        <v>3.9900000000000005E-2</v>
      </c>
      <c r="W683">
        <f>Cardiac_Table[[#This Row],[Risk of Death % (Model 2)]]/100</f>
        <v>1.4199999999999999E-2</v>
      </c>
      <c r="X683" s="18">
        <f>Cardiac_Table[[#This Row],[Procedure Start Date and Time]]-Cardiac_Table[[#This Row],[Hospital Admit Date ]]</f>
        <v>0.25833333333866904</v>
      </c>
    </row>
    <row r="684" spans="1:24" x14ac:dyDescent="0.35">
      <c r="A684">
        <v>691</v>
      </c>
      <c r="B684" s="9">
        <v>44050.313194444447</v>
      </c>
      <c r="C684" s="10">
        <f>INT(Cardiac_Table[[#This Row],[Hospital Admit Date ]])</f>
        <v>44050</v>
      </c>
      <c r="D684" s="11" t="str">
        <f t="shared" si="10"/>
        <v>07:31</v>
      </c>
      <c r="E684" s="9">
        <v>44050.613888888889</v>
      </c>
      <c r="F684" s="10">
        <f>INT(Cardiac_Table[[#This Row],[Procedure Start Date and Time]])</f>
        <v>44050</v>
      </c>
      <c r="G684" s="12">
        <f>MOD(Cardiac_Table[[#This Row],[Procedure Start Date and Time]],1)</f>
        <v>0.61388888888905058</v>
      </c>
      <c r="H684">
        <v>4</v>
      </c>
      <c r="I684" t="s">
        <v>4</v>
      </c>
      <c r="J684" t="s">
        <v>10</v>
      </c>
      <c r="K684" t="s">
        <v>26</v>
      </c>
      <c r="L684">
        <v>75</v>
      </c>
      <c r="M684">
        <v>2.52</v>
      </c>
      <c r="N684">
        <v>1.1499999999999999</v>
      </c>
      <c r="O684" t="s">
        <v>15</v>
      </c>
      <c r="P684">
        <v>75</v>
      </c>
      <c r="Q684">
        <v>152</v>
      </c>
      <c r="R684">
        <v>104</v>
      </c>
      <c r="S684">
        <v>48</v>
      </c>
      <c r="T684" t="s">
        <v>50</v>
      </c>
      <c r="U684">
        <f>IF(Cardiac_Table[[#This Row],[Patient Status at Discharge]]="Died", 1,0)</f>
        <v>0</v>
      </c>
      <c r="V684">
        <f>Cardiac_Table[[#This Row],[Risk of Death % (Model 1)]]/100</f>
        <v>2.52E-2</v>
      </c>
      <c r="W684">
        <f>Cardiac_Table[[#This Row],[Risk of Death % (Model 2)]]/100</f>
        <v>1.15E-2</v>
      </c>
      <c r="X684" s="18">
        <f>Cardiac_Table[[#This Row],[Procedure Start Date and Time]]-Cardiac_Table[[#This Row],[Hospital Admit Date ]]</f>
        <v>0.3006944444423425</v>
      </c>
    </row>
    <row r="685" spans="1:24" x14ac:dyDescent="0.35">
      <c r="A685">
        <v>692</v>
      </c>
      <c r="B685" s="9">
        <v>44050.576388888891</v>
      </c>
      <c r="C685" s="10">
        <f>INT(Cardiac_Table[[#This Row],[Hospital Admit Date ]])</f>
        <v>44050</v>
      </c>
      <c r="D685" s="11" t="str">
        <f t="shared" si="10"/>
        <v>13:50</v>
      </c>
      <c r="E685" s="9">
        <v>44051.340277777781</v>
      </c>
      <c r="F685" s="10">
        <f>INT(Cardiac_Table[[#This Row],[Procedure Start Date and Time]])</f>
        <v>44051</v>
      </c>
      <c r="G685" s="12">
        <f>MOD(Cardiac_Table[[#This Row],[Procedure Start Date and Time]],1)</f>
        <v>0.34027777778101154</v>
      </c>
      <c r="H685">
        <v>5</v>
      </c>
      <c r="I685" t="s">
        <v>4</v>
      </c>
      <c r="J685" t="s">
        <v>3</v>
      </c>
      <c r="K685" t="s">
        <v>35</v>
      </c>
      <c r="L685">
        <v>41</v>
      </c>
      <c r="M685">
        <v>1.33</v>
      </c>
      <c r="N685">
        <v>0.76</v>
      </c>
      <c r="O685" t="s">
        <v>15</v>
      </c>
      <c r="P685">
        <v>77</v>
      </c>
      <c r="Q685">
        <v>193</v>
      </c>
      <c r="R685">
        <v>110</v>
      </c>
      <c r="S685">
        <v>52</v>
      </c>
      <c r="T685" t="s">
        <v>48</v>
      </c>
      <c r="U685">
        <f>IF(Cardiac_Table[[#This Row],[Patient Status at Discharge]]="Died", 1,0)</f>
        <v>0</v>
      </c>
      <c r="V685">
        <f>Cardiac_Table[[#This Row],[Risk of Death % (Model 1)]]/100</f>
        <v>1.3300000000000001E-2</v>
      </c>
      <c r="W685">
        <f>Cardiac_Table[[#This Row],[Risk of Death % (Model 2)]]/100</f>
        <v>7.6E-3</v>
      </c>
      <c r="X685" s="18">
        <f>Cardiac_Table[[#This Row],[Procedure Start Date and Time]]-Cardiac_Table[[#This Row],[Hospital Admit Date ]]</f>
        <v>0.76388888889050577</v>
      </c>
    </row>
    <row r="686" spans="1:24" x14ac:dyDescent="0.35">
      <c r="A686">
        <v>694</v>
      </c>
      <c r="B686" s="9">
        <v>44050.588194444441</v>
      </c>
      <c r="C686" s="10">
        <f>INT(Cardiac_Table[[#This Row],[Hospital Admit Date ]])</f>
        <v>44050</v>
      </c>
      <c r="D686" s="11" t="str">
        <f t="shared" si="10"/>
        <v>14:07</v>
      </c>
      <c r="E686" s="9">
        <v>44051.548611111109</v>
      </c>
      <c r="F686" s="10">
        <f>INT(Cardiac_Table[[#This Row],[Procedure Start Date and Time]])</f>
        <v>44051</v>
      </c>
      <c r="G686" s="12">
        <f>MOD(Cardiac_Table[[#This Row],[Procedure Start Date and Time]],1)</f>
        <v>0.54861111110949423</v>
      </c>
      <c r="H686">
        <v>5</v>
      </c>
      <c r="I686" t="s">
        <v>4</v>
      </c>
      <c r="J686" t="s">
        <v>3</v>
      </c>
      <c r="K686" t="s">
        <v>35</v>
      </c>
      <c r="L686">
        <v>71</v>
      </c>
      <c r="M686">
        <v>4.5199999999999996</v>
      </c>
      <c r="N686">
        <v>0.95</v>
      </c>
      <c r="O686" t="s">
        <v>15</v>
      </c>
      <c r="P686">
        <v>95</v>
      </c>
      <c r="Q686">
        <v>170</v>
      </c>
      <c r="R686">
        <v>70</v>
      </c>
      <c r="S686">
        <v>55</v>
      </c>
      <c r="T686" t="s">
        <v>48</v>
      </c>
      <c r="U686">
        <f>IF(Cardiac_Table[[#This Row],[Patient Status at Discharge]]="Died", 1,0)</f>
        <v>0</v>
      </c>
      <c r="V686">
        <f>Cardiac_Table[[#This Row],[Risk of Death % (Model 1)]]/100</f>
        <v>4.5199999999999997E-2</v>
      </c>
      <c r="W686">
        <f>Cardiac_Table[[#This Row],[Risk of Death % (Model 2)]]/100</f>
        <v>9.4999999999999998E-3</v>
      </c>
      <c r="X686" s="18">
        <f>Cardiac_Table[[#This Row],[Procedure Start Date and Time]]-Cardiac_Table[[#This Row],[Hospital Admit Date ]]</f>
        <v>0.96041666666860692</v>
      </c>
    </row>
    <row r="687" spans="1:24" x14ac:dyDescent="0.35">
      <c r="A687">
        <v>695</v>
      </c>
      <c r="B687" s="9">
        <v>44052.472916666666</v>
      </c>
      <c r="C687" s="10">
        <f>INT(Cardiac_Table[[#This Row],[Hospital Admit Date ]])</f>
        <v>44052</v>
      </c>
      <c r="D687" s="11" t="str">
        <f t="shared" si="10"/>
        <v>11:21</v>
      </c>
      <c r="E687" s="9">
        <v>44052.503472222219</v>
      </c>
      <c r="F687" s="10">
        <f>INT(Cardiac_Table[[#This Row],[Procedure Start Date and Time]])</f>
        <v>44052</v>
      </c>
      <c r="G687" s="12">
        <f>MOD(Cardiac_Table[[#This Row],[Procedure Start Date and Time]],1)</f>
        <v>0.50347222221898846</v>
      </c>
      <c r="H687">
        <v>1</v>
      </c>
      <c r="I687" t="s">
        <v>2</v>
      </c>
      <c r="J687" t="s">
        <v>1</v>
      </c>
      <c r="K687" t="s">
        <v>31</v>
      </c>
      <c r="L687">
        <v>55</v>
      </c>
      <c r="M687">
        <v>9.0399999999999991</v>
      </c>
      <c r="N687">
        <v>4.8499999999999996</v>
      </c>
      <c r="O687" t="s">
        <v>13</v>
      </c>
      <c r="P687">
        <v>93</v>
      </c>
      <c r="Q687">
        <v>169</v>
      </c>
      <c r="R687">
        <v>74</v>
      </c>
      <c r="S687">
        <v>60</v>
      </c>
      <c r="T687" t="s">
        <v>48</v>
      </c>
      <c r="U687">
        <f>IF(Cardiac_Table[[#This Row],[Patient Status at Discharge]]="Died", 1,0)</f>
        <v>1</v>
      </c>
      <c r="V687">
        <f>Cardiac_Table[[#This Row],[Risk of Death % (Model 1)]]/100</f>
        <v>9.0399999999999994E-2</v>
      </c>
      <c r="W687">
        <f>Cardiac_Table[[#This Row],[Risk of Death % (Model 2)]]/100</f>
        <v>4.8499999999999995E-2</v>
      </c>
      <c r="X687" s="18">
        <f>Cardiac_Table[[#This Row],[Procedure Start Date and Time]]-Cardiac_Table[[#This Row],[Hospital Admit Date ]]</f>
        <v>3.0555555553291924E-2</v>
      </c>
    </row>
    <row r="688" spans="1:24" x14ac:dyDescent="0.35">
      <c r="A688">
        <v>696</v>
      </c>
      <c r="B688" s="9">
        <v>44052.592361111114</v>
      </c>
      <c r="C688" s="10">
        <f>INT(Cardiac_Table[[#This Row],[Hospital Admit Date ]])</f>
        <v>44052</v>
      </c>
      <c r="D688" s="11" t="str">
        <f t="shared" si="10"/>
        <v>14:13</v>
      </c>
      <c r="E688" s="9">
        <v>44053.313194444447</v>
      </c>
      <c r="F688" s="10">
        <f>INT(Cardiac_Table[[#This Row],[Procedure Start Date and Time]])</f>
        <v>44053</v>
      </c>
      <c r="G688" s="12">
        <f>MOD(Cardiac_Table[[#This Row],[Procedure Start Date and Time]],1)</f>
        <v>0.31319444444670808</v>
      </c>
      <c r="H688">
        <v>5</v>
      </c>
      <c r="I688" t="s">
        <v>4</v>
      </c>
      <c r="J688" t="s">
        <v>1</v>
      </c>
      <c r="K688" t="s">
        <v>29</v>
      </c>
      <c r="L688">
        <v>71</v>
      </c>
      <c r="M688">
        <v>34.22</v>
      </c>
      <c r="N688">
        <v>10.18</v>
      </c>
      <c r="O688" t="s">
        <v>15</v>
      </c>
      <c r="P688">
        <v>82</v>
      </c>
      <c r="Q688">
        <v>168</v>
      </c>
      <c r="R688">
        <v>84</v>
      </c>
      <c r="S688">
        <v>55</v>
      </c>
      <c r="T688" t="s">
        <v>48</v>
      </c>
      <c r="U688">
        <f>IF(Cardiac_Table[[#This Row],[Patient Status at Discharge]]="Died", 1,0)</f>
        <v>0</v>
      </c>
      <c r="V688">
        <f>Cardiac_Table[[#This Row],[Risk of Death % (Model 1)]]/100</f>
        <v>0.3422</v>
      </c>
      <c r="W688">
        <f>Cardiac_Table[[#This Row],[Risk of Death % (Model 2)]]/100</f>
        <v>0.1018</v>
      </c>
      <c r="X688" s="18">
        <f>Cardiac_Table[[#This Row],[Procedure Start Date and Time]]-Cardiac_Table[[#This Row],[Hospital Admit Date ]]</f>
        <v>0.72083333333284827</v>
      </c>
    </row>
    <row r="689" spans="1:24" x14ac:dyDescent="0.35">
      <c r="A689">
        <v>697</v>
      </c>
      <c r="B689" s="9">
        <v>44052.580555555556</v>
      </c>
      <c r="C689" s="10">
        <f>INT(Cardiac_Table[[#This Row],[Hospital Admit Date ]])</f>
        <v>44052</v>
      </c>
      <c r="D689" s="11" t="str">
        <f t="shared" si="10"/>
        <v>13:56</v>
      </c>
      <c r="E689" s="9">
        <v>44053.340277777781</v>
      </c>
      <c r="F689" s="10">
        <f>INT(Cardiac_Table[[#This Row],[Procedure Start Date and Time]])</f>
        <v>44053</v>
      </c>
      <c r="G689" s="12">
        <f>MOD(Cardiac_Table[[#This Row],[Procedure Start Date and Time]],1)</f>
        <v>0.34027777778101154</v>
      </c>
      <c r="H689">
        <v>3</v>
      </c>
      <c r="I689" t="s">
        <v>4</v>
      </c>
      <c r="J689" t="s">
        <v>11</v>
      </c>
      <c r="K689" t="s">
        <v>30</v>
      </c>
      <c r="L689">
        <v>79</v>
      </c>
      <c r="M689">
        <v>5.48</v>
      </c>
      <c r="N689">
        <v>2.3199999999999998</v>
      </c>
      <c r="O689" t="s">
        <v>15</v>
      </c>
      <c r="P689">
        <v>74</v>
      </c>
      <c r="Q689">
        <v>160</v>
      </c>
      <c r="R689">
        <v>54</v>
      </c>
      <c r="S689">
        <v>50</v>
      </c>
      <c r="T689" t="s">
        <v>50</v>
      </c>
      <c r="U689">
        <f>IF(Cardiac_Table[[#This Row],[Patient Status at Discharge]]="Died", 1,0)</f>
        <v>0</v>
      </c>
      <c r="V689">
        <f>Cardiac_Table[[#This Row],[Risk of Death % (Model 1)]]/100</f>
        <v>5.4800000000000001E-2</v>
      </c>
      <c r="W689">
        <f>Cardiac_Table[[#This Row],[Risk of Death % (Model 2)]]/100</f>
        <v>2.3199999999999998E-2</v>
      </c>
      <c r="X689" s="18">
        <f>Cardiac_Table[[#This Row],[Procedure Start Date and Time]]-Cardiac_Table[[#This Row],[Hospital Admit Date ]]</f>
        <v>0.75972222222480923</v>
      </c>
    </row>
    <row r="690" spans="1:24" x14ac:dyDescent="0.35">
      <c r="A690">
        <v>698</v>
      </c>
      <c r="B690" s="9">
        <v>44052.666666666664</v>
      </c>
      <c r="C690" s="10">
        <f>INT(Cardiac_Table[[#This Row],[Hospital Admit Date ]])</f>
        <v>44052</v>
      </c>
      <c r="D690" s="11" t="str">
        <f t="shared" si="10"/>
        <v>16:00</v>
      </c>
      <c r="E690" s="9">
        <v>44053.341666666667</v>
      </c>
      <c r="F690" s="10">
        <f>INT(Cardiac_Table[[#This Row],[Procedure Start Date and Time]])</f>
        <v>44053</v>
      </c>
      <c r="G690" s="12">
        <f>MOD(Cardiac_Table[[#This Row],[Procedure Start Date and Time]],1)</f>
        <v>0.34166666666715173</v>
      </c>
      <c r="H690">
        <v>4</v>
      </c>
      <c r="I690" t="s">
        <v>4</v>
      </c>
      <c r="J690" t="s">
        <v>11</v>
      </c>
      <c r="K690" t="s">
        <v>32</v>
      </c>
      <c r="L690">
        <v>77</v>
      </c>
      <c r="M690">
        <v>6.59</v>
      </c>
      <c r="N690">
        <v>6.58</v>
      </c>
      <c r="O690" t="s">
        <v>15</v>
      </c>
      <c r="P690">
        <v>65</v>
      </c>
      <c r="Q690">
        <v>175</v>
      </c>
      <c r="R690">
        <v>78</v>
      </c>
      <c r="S690">
        <v>55</v>
      </c>
      <c r="T690" t="s">
        <v>48</v>
      </c>
      <c r="U690">
        <f>IF(Cardiac_Table[[#This Row],[Patient Status at Discharge]]="Died", 1,0)</f>
        <v>0</v>
      </c>
      <c r="V690">
        <f>Cardiac_Table[[#This Row],[Risk of Death % (Model 1)]]/100</f>
        <v>6.59E-2</v>
      </c>
      <c r="W690">
        <f>Cardiac_Table[[#This Row],[Risk of Death % (Model 2)]]/100</f>
        <v>6.5799999999999997E-2</v>
      </c>
      <c r="X690" s="18">
        <f>Cardiac_Table[[#This Row],[Procedure Start Date and Time]]-Cardiac_Table[[#This Row],[Hospital Admit Date ]]</f>
        <v>0.67500000000291038</v>
      </c>
    </row>
    <row r="691" spans="1:24" x14ac:dyDescent="0.35">
      <c r="A691">
        <v>699</v>
      </c>
      <c r="B691" s="9">
        <v>44053.291666666664</v>
      </c>
      <c r="C691" s="10">
        <f>INT(Cardiac_Table[[#This Row],[Hospital Admit Date ]])</f>
        <v>44053</v>
      </c>
      <c r="D691" s="11" t="str">
        <f t="shared" si="10"/>
        <v>07:00</v>
      </c>
      <c r="E691" s="9">
        <v>44053.509722222225</v>
      </c>
      <c r="F691" s="10">
        <f>INT(Cardiac_Table[[#This Row],[Procedure Start Date and Time]])</f>
        <v>44053</v>
      </c>
      <c r="G691" s="12">
        <f>MOD(Cardiac_Table[[#This Row],[Procedure Start Date and Time]],1)</f>
        <v>0.50972222222480923</v>
      </c>
      <c r="H691">
        <v>4</v>
      </c>
      <c r="I691" t="s">
        <v>4</v>
      </c>
      <c r="J691" t="s">
        <v>3</v>
      </c>
      <c r="K691" t="s">
        <v>32</v>
      </c>
      <c r="L691">
        <v>71</v>
      </c>
      <c r="M691">
        <v>7.81</v>
      </c>
      <c r="N691">
        <v>2.91</v>
      </c>
      <c r="O691" t="s">
        <v>15</v>
      </c>
      <c r="P691">
        <v>76</v>
      </c>
      <c r="Q691">
        <v>169</v>
      </c>
      <c r="R691">
        <v>96</v>
      </c>
      <c r="S691">
        <v>60</v>
      </c>
      <c r="T691" t="s">
        <v>48</v>
      </c>
      <c r="U691">
        <f>IF(Cardiac_Table[[#This Row],[Patient Status at Discharge]]="Died", 1,0)</f>
        <v>0</v>
      </c>
      <c r="V691">
        <f>Cardiac_Table[[#This Row],[Risk of Death % (Model 1)]]/100</f>
        <v>7.8100000000000003E-2</v>
      </c>
      <c r="W691">
        <f>Cardiac_Table[[#This Row],[Risk of Death % (Model 2)]]/100</f>
        <v>2.9100000000000001E-2</v>
      </c>
      <c r="X691" s="18">
        <f>Cardiac_Table[[#This Row],[Procedure Start Date and Time]]-Cardiac_Table[[#This Row],[Hospital Admit Date ]]</f>
        <v>0.21805555556056788</v>
      </c>
    </row>
    <row r="692" spans="1:24" x14ac:dyDescent="0.35">
      <c r="A692">
        <v>700</v>
      </c>
      <c r="B692" s="9">
        <v>44052.607638888891</v>
      </c>
      <c r="C692" s="10">
        <f>INT(Cardiac_Table[[#This Row],[Hospital Admit Date ]])</f>
        <v>44052</v>
      </c>
      <c r="D692" s="11" t="str">
        <f t="shared" si="10"/>
        <v>14:35</v>
      </c>
      <c r="E692" s="9">
        <v>44053.532638888886</v>
      </c>
      <c r="F692" s="10">
        <f>INT(Cardiac_Table[[#This Row],[Procedure Start Date and Time]])</f>
        <v>44053</v>
      </c>
      <c r="G692" s="12">
        <f>MOD(Cardiac_Table[[#This Row],[Procedure Start Date and Time]],1)</f>
        <v>0.53263888888614019</v>
      </c>
      <c r="H692">
        <v>2</v>
      </c>
      <c r="I692" t="s">
        <v>4</v>
      </c>
      <c r="J692" t="s">
        <v>1</v>
      </c>
      <c r="K692" t="s">
        <v>23</v>
      </c>
      <c r="L692">
        <v>49</v>
      </c>
      <c r="M692">
        <v>6.9</v>
      </c>
      <c r="N692">
        <v>1.31</v>
      </c>
      <c r="O692" t="s">
        <v>15</v>
      </c>
      <c r="P692">
        <v>81</v>
      </c>
      <c r="Q692">
        <v>174</v>
      </c>
      <c r="R692">
        <v>83</v>
      </c>
      <c r="S692">
        <v>40</v>
      </c>
      <c r="T692" t="s">
        <v>50</v>
      </c>
      <c r="U692">
        <f>IF(Cardiac_Table[[#This Row],[Patient Status at Discharge]]="Died", 1,0)</f>
        <v>0</v>
      </c>
      <c r="V692">
        <f>Cardiac_Table[[#This Row],[Risk of Death % (Model 1)]]/100</f>
        <v>6.9000000000000006E-2</v>
      </c>
      <c r="W692">
        <f>Cardiac_Table[[#This Row],[Risk of Death % (Model 2)]]/100</f>
        <v>1.3100000000000001E-2</v>
      </c>
      <c r="X692" s="18">
        <f>Cardiac_Table[[#This Row],[Procedure Start Date and Time]]-Cardiac_Table[[#This Row],[Hospital Admit Date ]]</f>
        <v>0.92499999999563443</v>
      </c>
    </row>
    <row r="693" spans="1:24" x14ac:dyDescent="0.35">
      <c r="A693">
        <v>701</v>
      </c>
      <c r="B693" s="9">
        <v>44048.538888888892</v>
      </c>
      <c r="C693" s="10">
        <f>INT(Cardiac_Table[[#This Row],[Hospital Admit Date ]])</f>
        <v>44048</v>
      </c>
      <c r="D693" s="11" t="str">
        <f t="shared" si="10"/>
        <v>12:56</v>
      </c>
      <c r="E693" s="9">
        <v>44053.555555555555</v>
      </c>
      <c r="F693" s="10">
        <f>INT(Cardiac_Table[[#This Row],[Procedure Start Date and Time]])</f>
        <v>44053</v>
      </c>
      <c r="G693" s="12">
        <f>MOD(Cardiac_Table[[#This Row],[Procedure Start Date and Time]],1)</f>
        <v>0.55555555555474712</v>
      </c>
      <c r="H693">
        <v>3</v>
      </c>
      <c r="I693" t="s">
        <v>6</v>
      </c>
      <c r="J693" t="s">
        <v>10</v>
      </c>
      <c r="K693" t="s">
        <v>30</v>
      </c>
      <c r="L693">
        <v>75</v>
      </c>
      <c r="M693">
        <v>5.84</v>
      </c>
      <c r="N693">
        <v>2.39</v>
      </c>
      <c r="O693" t="s">
        <v>15</v>
      </c>
      <c r="P693">
        <v>77</v>
      </c>
      <c r="Q693">
        <v>150</v>
      </c>
      <c r="R693">
        <v>63</v>
      </c>
      <c r="S693">
        <v>55</v>
      </c>
      <c r="T693" t="s">
        <v>48</v>
      </c>
      <c r="U693">
        <f>IF(Cardiac_Table[[#This Row],[Patient Status at Discharge]]="Died", 1,0)</f>
        <v>0</v>
      </c>
      <c r="V693">
        <f>Cardiac_Table[[#This Row],[Risk of Death % (Model 1)]]/100</f>
        <v>5.8400000000000001E-2</v>
      </c>
      <c r="W693">
        <f>Cardiac_Table[[#This Row],[Risk of Death % (Model 2)]]/100</f>
        <v>2.3900000000000001E-2</v>
      </c>
      <c r="X693" s="18">
        <f>Cardiac_Table[[#This Row],[Procedure Start Date and Time]]-Cardiac_Table[[#This Row],[Hospital Admit Date ]]</f>
        <v>5.0166666666627862</v>
      </c>
    </row>
    <row r="694" spans="1:24" x14ac:dyDescent="0.35">
      <c r="A694">
        <v>702</v>
      </c>
      <c r="B694" s="9">
        <v>44053.288194444445</v>
      </c>
      <c r="C694" s="10">
        <f>INT(Cardiac_Table[[#This Row],[Hospital Admit Date ]])</f>
        <v>44053</v>
      </c>
      <c r="D694" s="11" t="str">
        <f t="shared" si="10"/>
        <v>06:55</v>
      </c>
      <c r="E694" s="9">
        <v>44053.666666666664</v>
      </c>
      <c r="F694" s="10">
        <f>INT(Cardiac_Table[[#This Row],[Procedure Start Date and Time]])</f>
        <v>44053</v>
      </c>
      <c r="G694" s="12">
        <f>MOD(Cardiac_Table[[#This Row],[Procedure Start Date and Time]],1)</f>
        <v>0.66666666666424135</v>
      </c>
      <c r="H694">
        <v>5</v>
      </c>
      <c r="I694" t="s">
        <v>4</v>
      </c>
      <c r="J694" t="s">
        <v>10</v>
      </c>
      <c r="K694" t="s">
        <v>29</v>
      </c>
      <c r="L694">
        <v>82</v>
      </c>
      <c r="M694">
        <v>10.76</v>
      </c>
      <c r="N694">
        <v>4.9800000000000004</v>
      </c>
      <c r="O694" t="s">
        <v>15</v>
      </c>
      <c r="P694">
        <v>72</v>
      </c>
      <c r="Q694">
        <v>178</v>
      </c>
      <c r="R694">
        <v>63</v>
      </c>
      <c r="S694">
        <v>70</v>
      </c>
      <c r="T694" t="s">
        <v>48</v>
      </c>
      <c r="U694">
        <f>IF(Cardiac_Table[[#This Row],[Patient Status at Discharge]]="Died", 1,0)</f>
        <v>0</v>
      </c>
      <c r="V694">
        <f>Cardiac_Table[[#This Row],[Risk of Death % (Model 1)]]/100</f>
        <v>0.1076</v>
      </c>
      <c r="W694">
        <f>Cardiac_Table[[#This Row],[Risk of Death % (Model 2)]]/100</f>
        <v>4.9800000000000004E-2</v>
      </c>
      <c r="X694" s="18">
        <f>Cardiac_Table[[#This Row],[Procedure Start Date and Time]]-Cardiac_Table[[#This Row],[Hospital Admit Date ]]</f>
        <v>0.37847222221898846</v>
      </c>
    </row>
    <row r="695" spans="1:24" x14ac:dyDescent="0.35">
      <c r="A695">
        <v>703</v>
      </c>
      <c r="B695" s="9">
        <v>44051.511805555558</v>
      </c>
      <c r="C695" s="10">
        <f>INT(Cardiac_Table[[#This Row],[Hospital Admit Date ]])</f>
        <v>44051</v>
      </c>
      <c r="D695" s="11" t="str">
        <f t="shared" si="10"/>
        <v>12:17</v>
      </c>
      <c r="E695" s="9">
        <v>44053.669444444444</v>
      </c>
      <c r="F695" s="10">
        <f>INT(Cardiac_Table[[#This Row],[Procedure Start Date and Time]])</f>
        <v>44053</v>
      </c>
      <c r="G695" s="12">
        <f>MOD(Cardiac_Table[[#This Row],[Procedure Start Date and Time]],1)</f>
        <v>0.66944444444379769</v>
      </c>
      <c r="H695">
        <v>6</v>
      </c>
      <c r="I695" t="s">
        <v>6</v>
      </c>
      <c r="J695" t="s">
        <v>10</v>
      </c>
      <c r="K695" t="s">
        <v>31</v>
      </c>
      <c r="L695">
        <v>58</v>
      </c>
      <c r="M695">
        <v>1.51</v>
      </c>
      <c r="N695">
        <v>0.89</v>
      </c>
      <c r="O695" t="s">
        <v>15</v>
      </c>
      <c r="P695">
        <v>85</v>
      </c>
      <c r="Q695">
        <v>180</v>
      </c>
      <c r="R695">
        <v>125</v>
      </c>
      <c r="S695">
        <v>34</v>
      </c>
      <c r="T695" t="s">
        <v>50</v>
      </c>
      <c r="U695">
        <f>IF(Cardiac_Table[[#This Row],[Patient Status at Discharge]]="Died", 1,0)</f>
        <v>0</v>
      </c>
      <c r="V695">
        <f>Cardiac_Table[[#This Row],[Risk of Death % (Model 1)]]/100</f>
        <v>1.5100000000000001E-2</v>
      </c>
      <c r="W695">
        <f>Cardiac_Table[[#This Row],[Risk of Death % (Model 2)]]/100</f>
        <v>8.8999999999999999E-3</v>
      </c>
      <c r="X695" s="18">
        <f>Cardiac_Table[[#This Row],[Procedure Start Date and Time]]-Cardiac_Table[[#This Row],[Hospital Admit Date ]]</f>
        <v>2.1576388888861402</v>
      </c>
    </row>
    <row r="696" spans="1:24" x14ac:dyDescent="0.35">
      <c r="A696">
        <v>704</v>
      </c>
      <c r="B696" s="9">
        <v>44053.734722222223</v>
      </c>
      <c r="C696" s="10">
        <f>INT(Cardiac_Table[[#This Row],[Hospital Admit Date ]])</f>
        <v>44053</v>
      </c>
      <c r="D696" s="11" t="str">
        <f t="shared" si="10"/>
        <v>17:38</v>
      </c>
      <c r="E696" s="9">
        <v>44054.328472222223</v>
      </c>
      <c r="F696" s="10">
        <f>INT(Cardiac_Table[[#This Row],[Procedure Start Date and Time]])</f>
        <v>44054</v>
      </c>
      <c r="G696" s="12">
        <f>MOD(Cardiac_Table[[#This Row],[Procedure Start Date and Time]],1)</f>
        <v>0.32847222222335404</v>
      </c>
      <c r="H696">
        <v>4</v>
      </c>
      <c r="I696" t="s">
        <v>4</v>
      </c>
      <c r="J696" t="s">
        <v>3</v>
      </c>
      <c r="K696" t="s">
        <v>35</v>
      </c>
      <c r="L696">
        <v>64</v>
      </c>
      <c r="M696">
        <v>2.88</v>
      </c>
      <c r="N696">
        <v>0.94</v>
      </c>
      <c r="O696" t="s">
        <v>15</v>
      </c>
      <c r="P696">
        <v>88</v>
      </c>
      <c r="Q696">
        <v>168</v>
      </c>
      <c r="R696">
        <v>81</v>
      </c>
      <c r="S696">
        <v>65</v>
      </c>
      <c r="T696" t="s">
        <v>48</v>
      </c>
      <c r="U696">
        <f>IF(Cardiac_Table[[#This Row],[Patient Status at Discharge]]="Died", 1,0)</f>
        <v>0</v>
      </c>
      <c r="V696">
        <f>Cardiac_Table[[#This Row],[Risk of Death % (Model 1)]]/100</f>
        <v>2.8799999999999999E-2</v>
      </c>
      <c r="W696">
        <f>Cardiac_Table[[#This Row],[Risk of Death % (Model 2)]]/100</f>
        <v>9.3999999999999986E-3</v>
      </c>
      <c r="X696" s="18">
        <f>Cardiac_Table[[#This Row],[Procedure Start Date and Time]]-Cardiac_Table[[#This Row],[Hospital Admit Date ]]</f>
        <v>0.59375</v>
      </c>
    </row>
    <row r="697" spans="1:24" x14ac:dyDescent="0.35">
      <c r="A697">
        <v>705</v>
      </c>
      <c r="B697" s="9">
        <v>44052.458333333336</v>
      </c>
      <c r="C697" s="10">
        <f>INT(Cardiac_Table[[#This Row],[Hospital Admit Date ]])</f>
        <v>44052</v>
      </c>
      <c r="D697" s="11" t="str">
        <f t="shared" si="10"/>
        <v>11:00</v>
      </c>
      <c r="E697" s="9">
        <v>44054.331250000003</v>
      </c>
      <c r="F697" s="10">
        <f>INT(Cardiac_Table[[#This Row],[Procedure Start Date and Time]])</f>
        <v>44054</v>
      </c>
      <c r="G697" s="12">
        <f>MOD(Cardiac_Table[[#This Row],[Procedure Start Date and Time]],1)</f>
        <v>0.33125000000291038</v>
      </c>
      <c r="H697">
        <v>3</v>
      </c>
      <c r="I697" t="s">
        <v>6</v>
      </c>
      <c r="J697" t="s">
        <v>3</v>
      </c>
      <c r="K697" t="s">
        <v>21</v>
      </c>
      <c r="L697">
        <v>72</v>
      </c>
      <c r="M697">
        <v>5.24</v>
      </c>
      <c r="N697">
        <v>2.29</v>
      </c>
      <c r="O697" t="s">
        <v>15</v>
      </c>
      <c r="P697">
        <v>105</v>
      </c>
      <c r="Q697">
        <v>171</v>
      </c>
      <c r="R697">
        <v>80</v>
      </c>
      <c r="S697">
        <v>60</v>
      </c>
      <c r="T697" t="s">
        <v>48</v>
      </c>
      <c r="U697">
        <f>IF(Cardiac_Table[[#This Row],[Patient Status at Discharge]]="Died", 1,0)</f>
        <v>0</v>
      </c>
      <c r="V697">
        <f>Cardiac_Table[[#This Row],[Risk of Death % (Model 1)]]/100</f>
        <v>5.2400000000000002E-2</v>
      </c>
      <c r="W697">
        <f>Cardiac_Table[[#This Row],[Risk of Death % (Model 2)]]/100</f>
        <v>2.29E-2</v>
      </c>
      <c r="X697" s="18">
        <f>Cardiac_Table[[#This Row],[Procedure Start Date and Time]]-Cardiac_Table[[#This Row],[Hospital Admit Date ]]</f>
        <v>1.8729166666671517</v>
      </c>
    </row>
    <row r="698" spans="1:24" x14ac:dyDescent="0.35">
      <c r="A698">
        <v>706</v>
      </c>
      <c r="B698" s="9">
        <v>44036.411805555559</v>
      </c>
      <c r="C698" s="10">
        <f>INT(Cardiac_Table[[#This Row],[Hospital Admit Date ]])</f>
        <v>44036</v>
      </c>
      <c r="D698" s="11" t="str">
        <f t="shared" si="10"/>
        <v>09:53</v>
      </c>
      <c r="E698" s="9">
        <v>44054.333333333336</v>
      </c>
      <c r="F698" s="10">
        <f>INT(Cardiac_Table[[#This Row],[Procedure Start Date and Time]])</f>
        <v>44054</v>
      </c>
      <c r="G698" s="12">
        <f>MOD(Cardiac_Table[[#This Row],[Procedure Start Date and Time]],1)</f>
        <v>0.33333333333575865</v>
      </c>
      <c r="H698">
        <v>5</v>
      </c>
      <c r="I698" t="s">
        <v>6</v>
      </c>
      <c r="J698" t="s">
        <v>3</v>
      </c>
      <c r="K698" t="s">
        <v>28</v>
      </c>
      <c r="L698">
        <v>40</v>
      </c>
      <c r="M698">
        <v>4.4000000000000004</v>
      </c>
      <c r="N698">
        <v>1.27</v>
      </c>
      <c r="O698" t="s">
        <v>15</v>
      </c>
      <c r="P698">
        <v>103</v>
      </c>
      <c r="Q698">
        <v>164</v>
      </c>
      <c r="R698">
        <v>50</v>
      </c>
      <c r="S698">
        <v>24</v>
      </c>
      <c r="T698" t="s">
        <v>49</v>
      </c>
      <c r="U698">
        <f>IF(Cardiac_Table[[#This Row],[Patient Status at Discharge]]="Died", 1,0)</f>
        <v>0</v>
      </c>
      <c r="V698">
        <f>Cardiac_Table[[#This Row],[Risk of Death % (Model 1)]]/100</f>
        <v>4.4000000000000004E-2</v>
      </c>
      <c r="W698">
        <f>Cardiac_Table[[#This Row],[Risk of Death % (Model 2)]]/100</f>
        <v>1.2699999999999999E-2</v>
      </c>
      <c r="X698" s="18">
        <f>Cardiac_Table[[#This Row],[Procedure Start Date and Time]]-Cardiac_Table[[#This Row],[Hospital Admit Date ]]</f>
        <v>17.921527777776646</v>
      </c>
    </row>
    <row r="699" spans="1:24" x14ac:dyDescent="0.35">
      <c r="A699">
        <v>707</v>
      </c>
      <c r="B699" s="9">
        <v>44053.670138888891</v>
      </c>
      <c r="C699" s="10">
        <f>INT(Cardiac_Table[[#This Row],[Hospital Admit Date ]])</f>
        <v>44053</v>
      </c>
      <c r="D699" s="11" t="str">
        <f t="shared" si="10"/>
        <v>16:05</v>
      </c>
      <c r="E699" s="9">
        <v>44054.340277777781</v>
      </c>
      <c r="F699" s="10">
        <f>INT(Cardiac_Table[[#This Row],[Procedure Start Date and Time]])</f>
        <v>44054</v>
      </c>
      <c r="G699" s="12">
        <f>MOD(Cardiac_Table[[#This Row],[Procedure Start Date and Time]],1)</f>
        <v>0.34027777778101154</v>
      </c>
      <c r="H699">
        <v>2</v>
      </c>
      <c r="I699" t="s">
        <v>4</v>
      </c>
      <c r="J699" t="s">
        <v>3</v>
      </c>
      <c r="K699" t="s">
        <v>26</v>
      </c>
      <c r="L699">
        <v>66</v>
      </c>
      <c r="M699">
        <v>2.38</v>
      </c>
      <c r="N699">
        <v>0.8</v>
      </c>
      <c r="O699" t="s">
        <v>15</v>
      </c>
      <c r="P699">
        <v>162</v>
      </c>
      <c r="Q699">
        <v>170</v>
      </c>
      <c r="R699">
        <v>60</v>
      </c>
      <c r="S699">
        <v>65</v>
      </c>
      <c r="T699" t="s">
        <v>48</v>
      </c>
      <c r="U699">
        <f>IF(Cardiac_Table[[#This Row],[Patient Status at Discharge]]="Died", 1,0)</f>
        <v>0</v>
      </c>
      <c r="V699">
        <f>Cardiac_Table[[#This Row],[Risk of Death % (Model 1)]]/100</f>
        <v>2.3799999999999998E-2</v>
      </c>
      <c r="W699">
        <f>Cardiac_Table[[#This Row],[Risk of Death % (Model 2)]]/100</f>
        <v>8.0000000000000002E-3</v>
      </c>
      <c r="X699" s="18">
        <f>Cardiac_Table[[#This Row],[Procedure Start Date and Time]]-Cardiac_Table[[#This Row],[Hospital Admit Date ]]</f>
        <v>0.67013888889050577</v>
      </c>
    </row>
    <row r="700" spans="1:24" x14ac:dyDescent="0.35">
      <c r="A700">
        <v>708</v>
      </c>
      <c r="B700" s="9">
        <v>44054.333333333336</v>
      </c>
      <c r="C700" s="10">
        <f>INT(Cardiac_Table[[#This Row],[Hospital Admit Date ]])</f>
        <v>44054</v>
      </c>
      <c r="D700" s="11" t="str">
        <f t="shared" si="10"/>
        <v>08:00</v>
      </c>
      <c r="E700" s="9">
        <v>44054.522916666669</v>
      </c>
      <c r="F700" s="10">
        <f>INT(Cardiac_Table[[#This Row],[Procedure Start Date and Time]])</f>
        <v>44054</v>
      </c>
      <c r="G700" s="12">
        <f>MOD(Cardiac_Table[[#This Row],[Procedure Start Date and Time]],1)</f>
        <v>0.52291666666860692</v>
      </c>
      <c r="H700">
        <v>2</v>
      </c>
      <c r="I700" t="s">
        <v>4</v>
      </c>
      <c r="J700" t="s">
        <v>11</v>
      </c>
      <c r="K700" t="s">
        <v>26</v>
      </c>
      <c r="L700">
        <v>61</v>
      </c>
      <c r="M700">
        <v>1.72</v>
      </c>
      <c r="N700">
        <v>1.48</v>
      </c>
      <c r="O700" t="s">
        <v>15</v>
      </c>
      <c r="P700">
        <v>85</v>
      </c>
      <c r="Q700">
        <v>166</v>
      </c>
      <c r="R700">
        <v>94</v>
      </c>
      <c r="S700">
        <v>40</v>
      </c>
      <c r="T700" t="s">
        <v>50</v>
      </c>
      <c r="U700">
        <f>IF(Cardiac_Table[[#This Row],[Patient Status at Discharge]]="Died", 1,0)</f>
        <v>0</v>
      </c>
      <c r="V700">
        <f>Cardiac_Table[[#This Row],[Risk of Death % (Model 1)]]/100</f>
        <v>1.72E-2</v>
      </c>
      <c r="W700">
        <f>Cardiac_Table[[#This Row],[Risk of Death % (Model 2)]]/100</f>
        <v>1.4800000000000001E-2</v>
      </c>
      <c r="X700" s="18">
        <f>Cardiac_Table[[#This Row],[Procedure Start Date and Time]]-Cardiac_Table[[#This Row],[Hospital Admit Date ]]</f>
        <v>0.18958333333284827</v>
      </c>
    </row>
    <row r="701" spans="1:24" x14ac:dyDescent="0.35">
      <c r="A701">
        <v>709</v>
      </c>
      <c r="B701" s="9">
        <v>44041.458333333336</v>
      </c>
      <c r="C701" s="10">
        <f>INT(Cardiac_Table[[#This Row],[Hospital Admit Date ]])</f>
        <v>44041</v>
      </c>
      <c r="D701" s="11" t="str">
        <f t="shared" si="10"/>
        <v>11:00</v>
      </c>
      <c r="E701" s="9">
        <v>44054.569444444445</v>
      </c>
      <c r="F701" s="10">
        <f>INT(Cardiac_Table[[#This Row],[Procedure Start Date and Time]])</f>
        <v>44054</v>
      </c>
      <c r="G701" s="12">
        <f>MOD(Cardiac_Table[[#This Row],[Procedure Start Date and Time]],1)</f>
        <v>0.56944444444525288</v>
      </c>
      <c r="H701">
        <v>4</v>
      </c>
      <c r="I701" t="s">
        <v>4</v>
      </c>
      <c r="J701" t="s">
        <v>3</v>
      </c>
      <c r="K701" t="s">
        <v>35</v>
      </c>
      <c r="L701">
        <v>77</v>
      </c>
      <c r="M701">
        <v>3.94</v>
      </c>
      <c r="N701">
        <v>3.12</v>
      </c>
      <c r="O701" t="s">
        <v>15</v>
      </c>
      <c r="P701">
        <v>111</v>
      </c>
      <c r="Q701">
        <v>174</v>
      </c>
      <c r="R701">
        <v>84</v>
      </c>
      <c r="S701">
        <v>55</v>
      </c>
      <c r="T701" t="s">
        <v>48</v>
      </c>
      <c r="U701">
        <f>IF(Cardiac_Table[[#This Row],[Patient Status at Discharge]]="Died", 1,0)</f>
        <v>0</v>
      </c>
      <c r="V701">
        <f>Cardiac_Table[[#This Row],[Risk of Death % (Model 1)]]/100</f>
        <v>3.9399999999999998E-2</v>
      </c>
      <c r="W701">
        <f>Cardiac_Table[[#This Row],[Risk of Death % (Model 2)]]/100</f>
        <v>3.1200000000000002E-2</v>
      </c>
      <c r="X701" s="18">
        <f>Cardiac_Table[[#This Row],[Procedure Start Date and Time]]-Cardiac_Table[[#This Row],[Hospital Admit Date ]]</f>
        <v>13.111111111109494</v>
      </c>
    </row>
    <row r="702" spans="1:24" x14ac:dyDescent="0.35">
      <c r="A702">
        <v>710</v>
      </c>
      <c r="B702" s="9">
        <v>44054.299305555556</v>
      </c>
      <c r="C702" s="10">
        <f>INT(Cardiac_Table[[#This Row],[Hospital Admit Date ]])</f>
        <v>44054</v>
      </c>
      <c r="D702" s="11" t="str">
        <f t="shared" si="10"/>
        <v>07:11</v>
      </c>
      <c r="E702" s="9">
        <v>44054.59375</v>
      </c>
      <c r="F702" s="10">
        <f>INT(Cardiac_Table[[#This Row],[Procedure Start Date and Time]])</f>
        <v>44054</v>
      </c>
      <c r="G702" s="12">
        <f>MOD(Cardiac_Table[[#This Row],[Procedure Start Date and Time]],1)</f>
        <v>0.59375</v>
      </c>
      <c r="H702">
        <v>1</v>
      </c>
      <c r="I702" t="s">
        <v>4</v>
      </c>
      <c r="J702" t="s">
        <v>3</v>
      </c>
      <c r="K702" t="s">
        <v>28</v>
      </c>
      <c r="L702">
        <v>77</v>
      </c>
      <c r="M702">
        <v>9.69</v>
      </c>
      <c r="N702">
        <v>3.54</v>
      </c>
      <c r="O702" t="s">
        <v>15</v>
      </c>
      <c r="P702">
        <v>91</v>
      </c>
      <c r="Q702">
        <v>165</v>
      </c>
      <c r="R702">
        <v>100</v>
      </c>
      <c r="S702">
        <v>59</v>
      </c>
      <c r="T702" t="s">
        <v>48</v>
      </c>
      <c r="U702">
        <f>IF(Cardiac_Table[[#This Row],[Patient Status at Discharge]]="Died", 1,0)</f>
        <v>0</v>
      </c>
      <c r="V702">
        <f>Cardiac_Table[[#This Row],[Risk of Death % (Model 1)]]/100</f>
        <v>9.69E-2</v>
      </c>
      <c r="W702">
        <f>Cardiac_Table[[#This Row],[Risk of Death % (Model 2)]]/100</f>
        <v>3.5400000000000001E-2</v>
      </c>
      <c r="X702" s="18">
        <f>Cardiac_Table[[#This Row],[Procedure Start Date and Time]]-Cardiac_Table[[#This Row],[Hospital Admit Date ]]</f>
        <v>0.29444444444379769</v>
      </c>
    </row>
    <row r="703" spans="1:24" x14ac:dyDescent="0.35">
      <c r="A703">
        <v>711</v>
      </c>
      <c r="B703" s="9">
        <v>44054.397222222222</v>
      </c>
      <c r="C703" s="10">
        <f>INT(Cardiac_Table[[#This Row],[Hospital Admit Date ]])</f>
        <v>44054</v>
      </c>
      <c r="D703" s="11" t="str">
        <f t="shared" si="10"/>
        <v>09:32</v>
      </c>
      <c r="E703" s="9">
        <v>44054.602777777778</v>
      </c>
      <c r="F703" s="10">
        <f>INT(Cardiac_Table[[#This Row],[Procedure Start Date and Time]])</f>
        <v>44054</v>
      </c>
      <c r="G703" s="12">
        <f>MOD(Cardiac_Table[[#This Row],[Procedure Start Date and Time]],1)</f>
        <v>0.60277777777810115</v>
      </c>
      <c r="H703">
        <v>5</v>
      </c>
      <c r="I703" t="s">
        <v>2</v>
      </c>
      <c r="J703" t="s">
        <v>10</v>
      </c>
      <c r="K703" t="s">
        <v>24</v>
      </c>
      <c r="L703">
        <v>60</v>
      </c>
      <c r="M703">
        <v>7.3</v>
      </c>
      <c r="N703">
        <v>5.26</v>
      </c>
      <c r="O703" t="s">
        <v>15</v>
      </c>
      <c r="P703">
        <v>90</v>
      </c>
      <c r="Q703">
        <v>171</v>
      </c>
      <c r="R703">
        <v>80</v>
      </c>
      <c r="S703">
        <v>51</v>
      </c>
      <c r="T703" t="s">
        <v>48</v>
      </c>
      <c r="U703">
        <f>IF(Cardiac_Table[[#This Row],[Patient Status at Discharge]]="Died", 1,0)</f>
        <v>0</v>
      </c>
      <c r="V703">
        <f>Cardiac_Table[[#This Row],[Risk of Death % (Model 1)]]/100</f>
        <v>7.2999999999999995E-2</v>
      </c>
      <c r="W703">
        <f>Cardiac_Table[[#This Row],[Risk of Death % (Model 2)]]/100</f>
        <v>5.2600000000000001E-2</v>
      </c>
      <c r="X703" s="18">
        <f>Cardiac_Table[[#This Row],[Procedure Start Date and Time]]-Cardiac_Table[[#This Row],[Hospital Admit Date ]]</f>
        <v>0.20555555555620231</v>
      </c>
    </row>
    <row r="704" spans="1:24" x14ac:dyDescent="0.35">
      <c r="A704">
        <v>712</v>
      </c>
      <c r="B704" s="9">
        <v>44054.629166666666</v>
      </c>
      <c r="C704" s="10">
        <f>INT(Cardiac_Table[[#This Row],[Hospital Admit Date ]])</f>
        <v>44054</v>
      </c>
      <c r="D704" s="11" t="str">
        <f t="shared" si="10"/>
        <v>15:06</v>
      </c>
      <c r="E704" s="9">
        <v>44055.34375</v>
      </c>
      <c r="F704" s="10">
        <f>INT(Cardiac_Table[[#This Row],[Procedure Start Date and Time]])</f>
        <v>44055</v>
      </c>
      <c r="G704" s="12">
        <f>MOD(Cardiac_Table[[#This Row],[Procedure Start Date and Time]],1)</f>
        <v>0.34375</v>
      </c>
      <c r="H704">
        <v>4</v>
      </c>
      <c r="I704" t="s">
        <v>4</v>
      </c>
      <c r="J704" t="s">
        <v>11</v>
      </c>
      <c r="K704" t="s">
        <v>24</v>
      </c>
      <c r="L704">
        <v>72</v>
      </c>
      <c r="M704">
        <v>3.51</v>
      </c>
      <c r="N704">
        <v>2.37</v>
      </c>
      <c r="O704" t="s">
        <v>15</v>
      </c>
      <c r="P704">
        <v>73</v>
      </c>
      <c r="Q704">
        <v>180</v>
      </c>
      <c r="R704">
        <v>95</v>
      </c>
      <c r="S704">
        <v>59</v>
      </c>
      <c r="T704" t="s">
        <v>48</v>
      </c>
      <c r="U704">
        <f>IF(Cardiac_Table[[#This Row],[Patient Status at Discharge]]="Died", 1,0)</f>
        <v>0</v>
      </c>
      <c r="V704">
        <f>Cardiac_Table[[#This Row],[Risk of Death % (Model 1)]]/100</f>
        <v>3.5099999999999999E-2</v>
      </c>
      <c r="W704">
        <f>Cardiac_Table[[#This Row],[Risk of Death % (Model 2)]]/100</f>
        <v>2.3700000000000002E-2</v>
      </c>
      <c r="X704" s="18">
        <f>Cardiac_Table[[#This Row],[Procedure Start Date and Time]]-Cardiac_Table[[#This Row],[Hospital Admit Date ]]</f>
        <v>0.71458333333430346</v>
      </c>
    </row>
    <row r="705" spans="1:24" x14ac:dyDescent="0.35">
      <c r="A705">
        <v>713</v>
      </c>
      <c r="B705" s="9">
        <v>44054.666666666664</v>
      </c>
      <c r="C705" s="10">
        <f>INT(Cardiac_Table[[#This Row],[Hospital Admit Date ]])</f>
        <v>44054</v>
      </c>
      <c r="D705" s="11" t="str">
        <f t="shared" si="10"/>
        <v>16:00</v>
      </c>
      <c r="E705" s="9">
        <v>44055.344444444447</v>
      </c>
      <c r="F705" s="10">
        <f>INT(Cardiac_Table[[#This Row],[Procedure Start Date and Time]])</f>
        <v>44055</v>
      </c>
      <c r="G705" s="12">
        <f>MOD(Cardiac_Table[[#This Row],[Procedure Start Date and Time]],1)</f>
        <v>0.34444444444670808</v>
      </c>
      <c r="H705">
        <v>1</v>
      </c>
      <c r="I705" t="s">
        <v>4</v>
      </c>
      <c r="J705" t="s">
        <v>3</v>
      </c>
      <c r="K705" t="s">
        <v>32</v>
      </c>
      <c r="L705">
        <v>75</v>
      </c>
      <c r="M705">
        <v>8.59</v>
      </c>
      <c r="N705">
        <v>3.72</v>
      </c>
      <c r="O705" t="s">
        <v>15</v>
      </c>
      <c r="P705">
        <v>16.100000000000001</v>
      </c>
      <c r="Q705">
        <v>173</v>
      </c>
      <c r="R705">
        <v>83</v>
      </c>
      <c r="S705">
        <v>60</v>
      </c>
      <c r="T705" t="s">
        <v>48</v>
      </c>
      <c r="U705">
        <f>IF(Cardiac_Table[[#This Row],[Patient Status at Discharge]]="Died", 1,0)</f>
        <v>0</v>
      </c>
      <c r="V705">
        <f>Cardiac_Table[[#This Row],[Risk of Death % (Model 1)]]/100</f>
        <v>8.5900000000000004E-2</v>
      </c>
      <c r="W705">
        <f>Cardiac_Table[[#This Row],[Risk of Death % (Model 2)]]/100</f>
        <v>3.7200000000000004E-2</v>
      </c>
      <c r="X705" s="18">
        <f>Cardiac_Table[[#This Row],[Procedure Start Date and Time]]-Cardiac_Table[[#This Row],[Hospital Admit Date ]]</f>
        <v>0.67777777778246673</v>
      </c>
    </row>
    <row r="706" spans="1:24" x14ac:dyDescent="0.35">
      <c r="A706">
        <v>714</v>
      </c>
      <c r="B706" s="9">
        <v>44053.465277777781</v>
      </c>
      <c r="C706" s="10">
        <f>INT(Cardiac_Table[[#This Row],[Hospital Admit Date ]])</f>
        <v>44053</v>
      </c>
      <c r="D706" s="11" t="str">
        <f t="shared" ref="D706:D769" si="11">TEXT(B706,"HH:MM")</f>
        <v>11:10</v>
      </c>
      <c r="E706" s="9">
        <v>44055.345138888886</v>
      </c>
      <c r="F706" s="10">
        <f>INT(Cardiac_Table[[#This Row],[Procedure Start Date and Time]])</f>
        <v>44055</v>
      </c>
      <c r="G706" s="12">
        <f>MOD(Cardiac_Table[[#This Row],[Procedure Start Date and Time]],1)</f>
        <v>0.34513888888614019</v>
      </c>
      <c r="H706">
        <v>2</v>
      </c>
      <c r="I706" t="s">
        <v>6</v>
      </c>
      <c r="J706" t="s">
        <v>10</v>
      </c>
      <c r="K706" t="s">
        <v>31</v>
      </c>
      <c r="L706">
        <v>70</v>
      </c>
      <c r="M706">
        <v>3.09</v>
      </c>
      <c r="N706">
        <v>1.06</v>
      </c>
      <c r="O706" t="s">
        <v>15</v>
      </c>
      <c r="P706">
        <v>64</v>
      </c>
      <c r="Q706">
        <v>172</v>
      </c>
      <c r="R706">
        <v>71</v>
      </c>
      <c r="S706">
        <v>55</v>
      </c>
      <c r="T706" t="s">
        <v>48</v>
      </c>
      <c r="U706">
        <f>IF(Cardiac_Table[[#This Row],[Patient Status at Discharge]]="Died", 1,0)</f>
        <v>0</v>
      </c>
      <c r="V706">
        <f>Cardiac_Table[[#This Row],[Risk of Death % (Model 1)]]/100</f>
        <v>3.0899999999999997E-2</v>
      </c>
      <c r="W706">
        <f>Cardiac_Table[[#This Row],[Risk of Death % (Model 2)]]/100</f>
        <v>1.06E-2</v>
      </c>
      <c r="X706" s="18">
        <f>Cardiac_Table[[#This Row],[Procedure Start Date and Time]]-Cardiac_Table[[#This Row],[Hospital Admit Date ]]</f>
        <v>1.8798611111051287</v>
      </c>
    </row>
    <row r="707" spans="1:24" x14ac:dyDescent="0.35">
      <c r="A707">
        <v>715</v>
      </c>
      <c r="B707" s="9">
        <v>44054.659722222219</v>
      </c>
      <c r="C707" s="10">
        <f>INT(Cardiac_Table[[#This Row],[Hospital Admit Date ]])</f>
        <v>44054</v>
      </c>
      <c r="D707" s="11" t="str">
        <f t="shared" si="11"/>
        <v>15:50</v>
      </c>
      <c r="E707" s="9">
        <v>44055.349305555559</v>
      </c>
      <c r="F707" s="10">
        <f>INT(Cardiac_Table[[#This Row],[Procedure Start Date and Time]])</f>
        <v>44055</v>
      </c>
      <c r="G707" s="12">
        <f>MOD(Cardiac_Table[[#This Row],[Procedure Start Date and Time]],1)</f>
        <v>0.34930555555911269</v>
      </c>
      <c r="H707">
        <v>5</v>
      </c>
      <c r="I707" t="s">
        <v>4</v>
      </c>
      <c r="J707" t="s">
        <v>3</v>
      </c>
      <c r="K707" t="s">
        <v>28</v>
      </c>
      <c r="L707">
        <v>73</v>
      </c>
      <c r="M707">
        <v>3.74</v>
      </c>
      <c r="N707">
        <v>0.73</v>
      </c>
      <c r="O707" t="s">
        <v>15</v>
      </c>
      <c r="P707">
        <v>101</v>
      </c>
      <c r="Q707">
        <v>177</v>
      </c>
      <c r="R707">
        <v>84</v>
      </c>
      <c r="S707">
        <v>55</v>
      </c>
      <c r="T707" t="s">
        <v>48</v>
      </c>
      <c r="U707">
        <f>IF(Cardiac_Table[[#This Row],[Patient Status at Discharge]]="Died", 1,0)</f>
        <v>0</v>
      </c>
      <c r="V707">
        <f>Cardiac_Table[[#This Row],[Risk of Death % (Model 1)]]/100</f>
        <v>3.7400000000000003E-2</v>
      </c>
      <c r="W707">
        <f>Cardiac_Table[[#This Row],[Risk of Death % (Model 2)]]/100</f>
        <v>7.3000000000000001E-3</v>
      </c>
      <c r="X707" s="18">
        <f>Cardiac_Table[[#This Row],[Procedure Start Date and Time]]-Cardiac_Table[[#This Row],[Hospital Admit Date ]]</f>
        <v>0.68958333334012423</v>
      </c>
    </row>
    <row r="708" spans="1:24" x14ac:dyDescent="0.35">
      <c r="A708">
        <v>716</v>
      </c>
      <c r="B708" s="9">
        <v>44055.293055555558</v>
      </c>
      <c r="C708" s="10">
        <f>INT(Cardiac_Table[[#This Row],[Hospital Admit Date ]])</f>
        <v>44055</v>
      </c>
      <c r="D708" s="11" t="str">
        <f t="shared" si="11"/>
        <v>07:02</v>
      </c>
      <c r="E708" s="9">
        <v>44055.470833333333</v>
      </c>
      <c r="F708" s="10">
        <f>INT(Cardiac_Table[[#This Row],[Procedure Start Date and Time]])</f>
        <v>44055</v>
      </c>
      <c r="G708" s="12">
        <f>MOD(Cardiac_Table[[#This Row],[Procedure Start Date and Time]],1)</f>
        <v>0.47083333333284827</v>
      </c>
      <c r="H708">
        <v>1</v>
      </c>
      <c r="I708" t="s">
        <v>4</v>
      </c>
      <c r="J708" t="s">
        <v>11</v>
      </c>
      <c r="K708" t="s">
        <v>32</v>
      </c>
      <c r="L708">
        <v>70</v>
      </c>
      <c r="M708">
        <v>4.24</v>
      </c>
      <c r="N708">
        <v>2.56</v>
      </c>
      <c r="O708" t="s">
        <v>15</v>
      </c>
      <c r="P708">
        <v>111</v>
      </c>
      <c r="Q708">
        <v>174</v>
      </c>
      <c r="R708">
        <v>85</v>
      </c>
      <c r="S708">
        <v>40</v>
      </c>
      <c r="T708" t="s">
        <v>50</v>
      </c>
      <c r="U708">
        <f>IF(Cardiac_Table[[#This Row],[Patient Status at Discharge]]="Died", 1,0)</f>
        <v>0</v>
      </c>
      <c r="V708">
        <f>Cardiac_Table[[#This Row],[Risk of Death % (Model 1)]]/100</f>
        <v>4.24E-2</v>
      </c>
      <c r="W708">
        <f>Cardiac_Table[[#This Row],[Risk of Death % (Model 2)]]/100</f>
        <v>2.5600000000000001E-2</v>
      </c>
      <c r="X708" s="18">
        <f>Cardiac_Table[[#This Row],[Procedure Start Date and Time]]-Cardiac_Table[[#This Row],[Hospital Admit Date ]]</f>
        <v>0.17777777777519077</v>
      </c>
    </row>
    <row r="709" spans="1:24" x14ac:dyDescent="0.35">
      <c r="A709">
        <v>717</v>
      </c>
      <c r="B709" s="9">
        <v>44055.29583333333</v>
      </c>
      <c r="C709" s="10">
        <f>INT(Cardiac_Table[[#This Row],[Hospital Admit Date ]])</f>
        <v>44055</v>
      </c>
      <c r="D709" s="11" t="str">
        <f t="shared" si="11"/>
        <v>07:06</v>
      </c>
      <c r="E709" s="9">
        <v>44055.569444444445</v>
      </c>
      <c r="F709" s="10">
        <f>INT(Cardiac_Table[[#This Row],[Procedure Start Date and Time]])</f>
        <v>44055</v>
      </c>
      <c r="G709" s="12">
        <f>MOD(Cardiac_Table[[#This Row],[Procedure Start Date and Time]],1)</f>
        <v>0.56944444444525288</v>
      </c>
      <c r="H709">
        <v>2</v>
      </c>
      <c r="I709" t="s">
        <v>4</v>
      </c>
      <c r="J709" t="s">
        <v>3</v>
      </c>
      <c r="K709" t="s">
        <v>31</v>
      </c>
      <c r="L709">
        <v>47</v>
      </c>
      <c r="M709">
        <v>1.51</v>
      </c>
      <c r="N709">
        <v>0.56000000000000005</v>
      </c>
      <c r="O709" t="s">
        <v>15</v>
      </c>
      <c r="P709">
        <v>82</v>
      </c>
      <c r="Q709">
        <v>166</v>
      </c>
      <c r="R709">
        <v>94</v>
      </c>
      <c r="S709">
        <v>58</v>
      </c>
      <c r="T709" t="s">
        <v>48</v>
      </c>
      <c r="U709">
        <f>IF(Cardiac_Table[[#This Row],[Patient Status at Discharge]]="Died", 1,0)</f>
        <v>0</v>
      </c>
      <c r="V709">
        <f>Cardiac_Table[[#This Row],[Risk of Death % (Model 1)]]/100</f>
        <v>1.5100000000000001E-2</v>
      </c>
      <c r="W709">
        <f>Cardiac_Table[[#This Row],[Risk of Death % (Model 2)]]/100</f>
        <v>5.6000000000000008E-3</v>
      </c>
      <c r="X709" s="18">
        <f>Cardiac_Table[[#This Row],[Procedure Start Date and Time]]-Cardiac_Table[[#This Row],[Hospital Admit Date ]]</f>
        <v>0.273611111115315</v>
      </c>
    </row>
    <row r="710" spans="1:24" x14ac:dyDescent="0.35">
      <c r="A710">
        <v>718</v>
      </c>
      <c r="B710" s="9">
        <v>44054.34097222222</v>
      </c>
      <c r="C710" s="10">
        <f>INT(Cardiac_Table[[#This Row],[Hospital Admit Date ]])</f>
        <v>44054</v>
      </c>
      <c r="D710" s="11" t="str">
        <f t="shared" si="11"/>
        <v>08:11</v>
      </c>
      <c r="E710" s="9">
        <v>44055.902777777781</v>
      </c>
      <c r="F710" s="10">
        <f>INT(Cardiac_Table[[#This Row],[Procedure Start Date and Time]])</f>
        <v>44055</v>
      </c>
      <c r="G710" s="12">
        <f>MOD(Cardiac_Table[[#This Row],[Procedure Start Date and Time]],1)</f>
        <v>0.90277777778101154</v>
      </c>
      <c r="H710">
        <v>4</v>
      </c>
      <c r="I710" t="s">
        <v>2</v>
      </c>
      <c r="J710" t="s">
        <v>11</v>
      </c>
      <c r="K710" t="s">
        <v>28</v>
      </c>
      <c r="L710">
        <v>75</v>
      </c>
      <c r="M710">
        <v>89.79</v>
      </c>
      <c r="N710">
        <v>43.03</v>
      </c>
      <c r="O710" t="s">
        <v>13</v>
      </c>
      <c r="P710">
        <v>125</v>
      </c>
      <c r="Q710">
        <v>157</v>
      </c>
      <c r="R710">
        <v>56</v>
      </c>
      <c r="S710">
        <v>60</v>
      </c>
      <c r="T710" t="s">
        <v>48</v>
      </c>
      <c r="U710">
        <f>IF(Cardiac_Table[[#This Row],[Patient Status at Discharge]]="Died", 1,0)</f>
        <v>1</v>
      </c>
      <c r="V710">
        <f>Cardiac_Table[[#This Row],[Risk of Death % (Model 1)]]/100</f>
        <v>0.89790000000000003</v>
      </c>
      <c r="W710">
        <f>Cardiac_Table[[#This Row],[Risk of Death % (Model 2)]]/100</f>
        <v>0.43030000000000002</v>
      </c>
      <c r="X710" s="18">
        <f>Cardiac_Table[[#This Row],[Procedure Start Date and Time]]-Cardiac_Table[[#This Row],[Hospital Admit Date ]]</f>
        <v>1.5618055555605679</v>
      </c>
    </row>
    <row r="711" spans="1:24" x14ac:dyDescent="0.35">
      <c r="A711">
        <v>719</v>
      </c>
      <c r="B711" s="9">
        <v>44054.550694444442</v>
      </c>
      <c r="C711" s="10">
        <f>INT(Cardiac_Table[[#This Row],[Hospital Admit Date ]])</f>
        <v>44054</v>
      </c>
      <c r="D711" s="11" t="str">
        <f t="shared" si="11"/>
        <v>13:13</v>
      </c>
      <c r="E711" s="9">
        <v>44056.332638888889</v>
      </c>
      <c r="F711" s="10">
        <f>INT(Cardiac_Table[[#This Row],[Procedure Start Date and Time]])</f>
        <v>44056</v>
      </c>
      <c r="G711" s="12">
        <f>MOD(Cardiac_Table[[#This Row],[Procedure Start Date and Time]],1)</f>
        <v>0.33263888888905058</v>
      </c>
      <c r="H711">
        <v>2</v>
      </c>
      <c r="I711" t="s">
        <v>6</v>
      </c>
      <c r="J711" t="s">
        <v>10</v>
      </c>
      <c r="K711" t="s">
        <v>24</v>
      </c>
      <c r="L711">
        <v>74</v>
      </c>
      <c r="M711">
        <v>5.48</v>
      </c>
      <c r="N711">
        <v>2.04</v>
      </c>
      <c r="O711" t="s">
        <v>15</v>
      </c>
      <c r="P711">
        <v>123</v>
      </c>
      <c r="Q711">
        <v>180</v>
      </c>
      <c r="R711">
        <v>109</v>
      </c>
      <c r="S711">
        <v>31</v>
      </c>
      <c r="T711" t="s">
        <v>50</v>
      </c>
      <c r="U711">
        <f>IF(Cardiac_Table[[#This Row],[Patient Status at Discharge]]="Died", 1,0)</f>
        <v>0</v>
      </c>
      <c r="V711">
        <f>Cardiac_Table[[#This Row],[Risk of Death % (Model 1)]]/100</f>
        <v>5.4800000000000001E-2</v>
      </c>
      <c r="W711">
        <f>Cardiac_Table[[#This Row],[Risk of Death % (Model 2)]]/100</f>
        <v>2.0400000000000001E-2</v>
      </c>
      <c r="X711" s="18">
        <f>Cardiac_Table[[#This Row],[Procedure Start Date and Time]]-Cardiac_Table[[#This Row],[Hospital Admit Date ]]</f>
        <v>1.7819444444467081</v>
      </c>
    </row>
    <row r="712" spans="1:24" x14ac:dyDescent="0.35">
      <c r="A712">
        <v>720</v>
      </c>
      <c r="B712" s="9">
        <v>44054.296527777777</v>
      </c>
      <c r="C712" s="10">
        <f>INT(Cardiac_Table[[#This Row],[Hospital Admit Date ]])</f>
        <v>44054</v>
      </c>
      <c r="D712" s="11" t="str">
        <f t="shared" si="11"/>
        <v>07:07</v>
      </c>
      <c r="E712" s="9">
        <v>44056.340277777781</v>
      </c>
      <c r="F712" s="10">
        <f>INT(Cardiac_Table[[#This Row],[Procedure Start Date and Time]])</f>
        <v>44056</v>
      </c>
      <c r="G712" s="12">
        <f>MOD(Cardiac_Table[[#This Row],[Procedure Start Date and Time]],1)</f>
        <v>0.34027777778101154</v>
      </c>
      <c r="H712">
        <v>4</v>
      </c>
      <c r="I712" t="s">
        <v>4</v>
      </c>
      <c r="J712" t="s">
        <v>10</v>
      </c>
      <c r="K712" t="s">
        <v>21</v>
      </c>
      <c r="L712">
        <v>71</v>
      </c>
      <c r="M712">
        <v>1.94</v>
      </c>
      <c r="N712">
        <v>0.76</v>
      </c>
      <c r="O712" t="s">
        <v>15</v>
      </c>
      <c r="P712">
        <v>108</v>
      </c>
      <c r="Q712">
        <v>184</v>
      </c>
      <c r="R712">
        <v>95</v>
      </c>
      <c r="S712">
        <v>55</v>
      </c>
      <c r="T712" t="s">
        <v>48</v>
      </c>
      <c r="U712">
        <f>IF(Cardiac_Table[[#This Row],[Patient Status at Discharge]]="Died", 1,0)</f>
        <v>0</v>
      </c>
      <c r="V712">
        <f>Cardiac_Table[[#This Row],[Risk of Death % (Model 1)]]/100</f>
        <v>1.9400000000000001E-2</v>
      </c>
      <c r="W712">
        <f>Cardiac_Table[[#This Row],[Risk of Death % (Model 2)]]/100</f>
        <v>7.6E-3</v>
      </c>
      <c r="X712" s="18">
        <f>Cardiac_Table[[#This Row],[Procedure Start Date and Time]]-Cardiac_Table[[#This Row],[Hospital Admit Date ]]</f>
        <v>2.0437500000043656</v>
      </c>
    </row>
    <row r="713" spans="1:24" x14ac:dyDescent="0.35">
      <c r="A713">
        <v>721</v>
      </c>
      <c r="B713" s="9">
        <v>44052.666666666664</v>
      </c>
      <c r="C713" s="10">
        <f>INT(Cardiac_Table[[#This Row],[Hospital Admit Date ]])</f>
        <v>44052</v>
      </c>
      <c r="D713" s="11" t="str">
        <f t="shared" si="11"/>
        <v>16:00</v>
      </c>
      <c r="E713" s="9">
        <v>44056.342361111114</v>
      </c>
      <c r="F713" s="10">
        <f>INT(Cardiac_Table[[#This Row],[Procedure Start Date and Time]])</f>
        <v>44056</v>
      </c>
      <c r="G713" s="12">
        <f>MOD(Cardiac_Table[[#This Row],[Procedure Start Date and Time]],1)</f>
        <v>0.34236111111385981</v>
      </c>
      <c r="H713">
        <v>5</v>
      </c>
      <c r="I713" t="s">
        <v>4</v>
      </c>
      <c r="J713" t="s">
        <v>3</v>
      </c>
      <c r="K713" t="s">
        <v>32</v>
      </c>
      <c r="L713">
        <v>78</v>
      </c>
      <c r="M713">
        <v>5.14</v>
      </c>
      <c r="N713">
        <v>2.17</v>
      </c>
      <c r="O713" t="s">
        <v>15</v>
      </c>
      <c r="P713">
        <v>78</v>
      </c>
      <c r="Q713">
        <v>171</v>
      </c>
      <c r="R713">
        <v>98</v>
      </c>
      <c r="S713">
        <v>55</v>
      </c>
      <c r="T713" t="s">
        <v>48</v>
      </c>
      <c r="U713">
        <f>IF(Cardiac_Table[[#This Row],[Patient Status at Discharge]]="Died", 1,0)</f>
        <v>0</v>
      </c>
      <c r="V713">
        <f>Cardiac_Table[[#This Row],[Risk of Death % (Model 1)]]/100</f>
        <v>5.1399999999999994E-2</v>
      </c>
      <c r="W713">
        <f>Cardiac_Table[[#This Row],[Risk of Death % (Model 2)]]/100</f>
        <v>2.1700000000000001E-2</v>
      </c>
      <c r="X713" s="18">
        <f>Cardiac_Table[[#This Row],[Procedure Start Date and Time]]-Cardiac_Table[[#This Row],[Hospital Admit Date ]]</f>
        <v>3.6756944444496185</v>
      </c>
    </row>
    <row r="714" spans="1:24" x14ac:dyDescent="0.35">
      <c r="A714">
        <v>722</v>
      </c>
      <c r="B714" s="9">
        <v>44056.293749999997</v>
      </c>
      <c r="C714" s="10">
        <f>INT(Cardiac_Table[[#This Row],[Hospital Admit Date ]])</f>
        <v>44056</v>
      </c>
      <c r="D714" s="11" t="str">
        <f t="shared" si="11"/>
        <v>07:03</v>
      </c>
      <c r="E714" s="9">
        <v>44056.481944444444</v>
      </c>
      <c r="F714" s="10">
        <f>INT(Cardiac_Table[[#This Row],[Procedure Start Date and Time]])</f>
        <v>44056</v>
      </c>
      <c r="G714" s="12">
        <f>MOD(Cardiac_Table[[#This Row],[Procedure Start Date and Time]],1)</f>
        <v>0.48194444444379769</v>
      </c>
      <c r="H714">
        <v>5</v>
      </c>
      <c r="I714" t="s">
        <v>4</v>
      </c>
      <c r="J714" t="s">
        <v>3</v>
      </c>
      <c r="K714" t="s">
        <v>32</v>
      </c>
      <c r="L714">
        <v>77</v>
      </c>
      <c r="M714">
        <v>7.67</v>
      </c>
      <c r="N714">
        <v>3.84</v>
      </c>
      <c r="O714" t="s">
        <v>15</v>
      </c>
      <c r="P714">
        <v>87</v>
      </c>
      <c r="Q714">
        <v>153</v>
      </c>
      <c r="R714">
        <v>86</v>
      </c>
      <c r="S714">
        <v>55</v>
      </c>
      <c r="T714" t="s">
        <v>48</v>
      </c>
      <c r="U714">
        <f>IF(Cardiac_Table[[#This Row],[Patient Status at Discharge]]="Died", 1,0)</f>
        <v>0</v>
      </c>
      <c r="V714">
        <f>Cardiac_Table[[#This Row],[Risk of Death % (Model 1)]]/100</f>
        <v>7.6700000000000004E-2</v>
      </c>
      <c r="W714">
        <f>Cardiac_Table[[#This Row],[Risk of Death % (Model 2)]]/100</f>
        <v>3.8399999999999997E-2</v>
      </c>
      <c r="X714" s="18">
        <f>Cardiac_Table[[#This Row],[Procedure Start Date and Time]]-Cardiac_Table[[#This Row],[Hospital Admit Date ]]</f>
        <v>0.18819444444670808</v>
      </c>
    </row>
    <row r="715" spans="1:24" x14ac:dyDescent="0.35">
      <c r="A715">
        <v>723</v>
      </c>
      <c r="B715" s="9">
        <v>44054.666666666664</v>
      </c>
      <c r="C715" s="10">
        <f>INT(Cardiac_Table[[#This Row],[Hospital Admit Date ]])</f>
        <v>44054</v>
      </c>
      <c r="D715" s="11" t="str">
        <f t="shared" si="11"/>
        <v>16:00</v>
      </c>
      <c r="E715" s="9">
        <v>44057.34375</v>
      </c>
      <c r="F715" s="10">
        <f>INT(Cardiac_Table[[#This Row],[Procedure Start Date and Time]])</f>
        <v>44057</v>
      </c>
      <c r="G715" s="12">
        <f>MOD(Cardiac_Table[[#This Row],[Procedure Start Date and Time]],1)</f>
        <v>0.34375</v>
      </c>
      <c r="H715">
        <v>5</v>
      </c>
      <c r="I715" t="s">
        <v>4</v>
      </c>
      <c r="J715" t="s">
        <v>3</v>
      </c>
      <c r="K715" t="s">
        <v>24</v>
      </c>
      <c r="L715">
        <v>74</v>
      </c>
      <c r="M715">
        <v>3.99</v>
      </c>
      <c r="N715">
        <v>1</v>
      </c>
      <c r="O715" t="s">
        <v>15</v>
      </c>
      <c r="P715">
        <v>87</v>
      </c>
      <c r="Q715">
        <v>175</v>
      </c>
      <c r="R715">
        <v>106</v>
      </c>
      <c r="S715">
        <v>55</v>
      </c>
      <c r="T715" t="s">
        <v>48</v>
      </c>
      <c r="U715">
        <f>IF(Cardiac_Table[[#This Row],[Patient Status at Discharge]]="Died", 1,0)</f>
        <v>0</v>
      </c>
      <c r="V715">
        <f>Cardiac_Table[[#This Row],[Risk of Death % (Model 1)]]/100</f>
        <v>3.9900000000000005E-2</v>
      </c>
      <c r="W715">
        <f>Cardiac_Table[[#This Row],[Risk of Death % (Model 2)]]/100</f>
        <v>0.01</v>
      </c>
      <c r="X715" s="18">
        <f>Cardiac_Table[[#This Row],[Procedure Start Date and Time]]-Cardiac_Table[[#This Row],[Hospital Admit Date ]]</f>
        <v>2.6770833333357587</v>
      </c>
    </row>
    <row r="716" spans="1:24" x14ac:dyDescent="0.35">
      <c r="A716">
        <v>724</v>
      </c>
      <c r="B716" s="9">
        <v>44056.648611111108</v>
      </c>
      <c r="C716" s="10">
        <f>INT(Cardiac_Table[[#This Row],[Hospital Admit Date ]])</f>
        <v>44056</v>
      </c>
      <c r="D716" s="11" t="str">
        <f t="shared" si="11"/>
        <v>15:34</v>
      </c>
      <c r="E716" s="9">
        <v>44057.347222222219</v>
      </c>
      <c r="F716" s="10">
        <f>INT(Cardiac_Table[[#This Row],[Procedure Start Date and Time]])</f>
        <v>44057</v>
      </c>
      <c r="G716" s="12">
        <f>MOD(Cardiac_Table[[#This Row],[Procedure Start Date and Time]],1)</f>
        <v>0.34722222221898846</v>
      </c>
      <c r="H716">
        <v>4</v>
      </c>
      <c r="I716" t="s">
        <v>4</v>
      </c>
      <c r="J716" t="s">
        <v>3</v>
      </c>
      <c r="K716" t="s">
        <v>21</v>
      </c>
      <c r="L716">
        <v>72</v>
      </c>
      <c r="M716">
        <v>4.8099999999999996</v>
      </c>
      <c r="N716">
        <v>2.0099999999999998</v>
      </c>
      <c r="O716" t="s">
        <v>15</v>
      </c>
      <c r="P716">
        <v>75</v>
      </c>
      <c r="Q716">
        <v>165</v>
      </c>
      <c r="R716">
        <v>52</v>
      </c>
      <c r="S716">
        <v>55</v>
      </c>
      <c r="T716" t="s">
        <v>48</v>
      </c>
      <c r="U716">
        <f>IF(Cardiac_Table[[#This Row],[Patient Status at Discharge]]="Died", 1,0)</f>
        <v>0</v>
      </c>
      <c r="V716">
        <f>Cardiac_Table[[#This Row],[Risk of Death % (Model 1)]]/100</f>
        <v>4.8099999999999997E-2</v>
      </c>
      <c r="W716">
        <f>Cardiac_Table[[#This Row],[Risk of Death % (Model 2)]]/100</f>
        <v>2.0099999999999996E-2</v>
      </c>
      <c r="X716" s="18">
        <f>Cardiac_Table[[#This Row],[Procedure Start Date and Time]]-Cardiac_Table[[#This Row],[Hospital Admit Date ]]</f>
        <v>0.69861111111094942</v>
      </c>
    </row>
    <row r="717" spans="1:24" x14ac:dyDescent="0.35">
      <c r="A717">
        <v>725</v>
      </c>
      <c r="B717" s="9">
        <v>44056.292361111111</v>
      </c>
      <c r="C717" s="10">
        <f>INT(Cardiac_Table[[#This Row],[Hospital Admit Date ]])</f>
        <v>44056</v>
      </c>
      <c r="D717" s="11" t="str">
        <f t="shared" si="11"/>
        <v>07:01</v>
      </c>
      <c r="E717" s="9">
        <v>44057.512499999997</v>
      </c>
      <c r="F717" s="10">
        <f>INT(Cardiac_Table[[#This Row],[Procedure Start Date and Time]])</f>
        <v>44057</v>
      </c>
      <c r="G717" s="12">
        <f>MOD(Cardiac_Table[[#This Row],[Procedure Start Date and Time]],1)</f>
        <v>0.51249999999708962</v>
      </c>
      <c r="H717">
        <v>5</v>
      </c>
      <c r="I717" t="s">
        <v>4</v>
      </c>
      <c r="J717" t="s">
        <v>10</v>
      </c>
      <c r="K717" t="s">
        <v>24</v>
      </c>
      <c r="L717">
        <v>80</v>
      </c>
      <c r="M717">
        <v>4.7699999999999996</v>
      </c>
      <c r="N717">
        <v>1.22</v>
      </c>
      <c r="O717" t="s">
        <v>15</v>
      </c>
      <c r="P717">
        <v>78</v>
      </c>
      <c r="Q717">
        <v>174</v>
      </c>
      <c r="R717">
        <v>100</v>
      </c>
      <c r="S717">
        <v>65</v>
      </c>
      <c r="T717" t="s">
        <v>48</v>
      </c>
      <c r="U717">
        <f>IF(Cardiac_Table[[#This Row],[Patient Status at Discharge]]="Died", 1,0)</f>
        <v>0</v>
      </c>
      <c r="V717">
        <f>Cardiac_Table[[#This Row],[Risk of Death % (Model 1)]]/100</f>
        <v>4.7699999999999992E-2</v>
      </c>
      <c r="W717">
        <f>Cardiac_Table[[#This Row],[Risk of Death % (Model 2)]]/100</f>
        <v>1.2199999999999999E-2</v>
      </c>
      <c r="X717" s="18">
        <f>Cardiac_Table[[#This Row],[Procedure Start Date and Time]]-Cardiac_Table[[#This Row],[Hospital Admit Date ]]</f>
        <v>1.2201388888861402</v>
      </c>
    </row>
    <row r="718" spans="1:24" x14ac:dyDescent="0.35">
      <c r="A718">
        <v>726</v>
      </c>
      <c r="B718" s="9">
        <v>44056.296527777777</v>
      </c>
      <c r="C718" s="10">
        <f>INT(Cardiac_Table[[#This Row],[Hospital Admit Date ]])</f>
        <v>44056</v>
      </c>
      <c r="D718" s="11" t="str">
        <f t="shared" si="11"/>
        <v>07:07</v>
      </c>
      <c r="E718" s="9">
        <v>44057.54583333333</v>
      </c>
      <c r="F718" s="10">
        <f>INT(Cardiac_Table[[#This Row],[Procedure Start Date and Time]])</f>
        <v>44057</v>
      </c>
      <c r="G718" s="12">
        <f>MOD(Cardiac_Table[[#This Row],[Procedure Start Date and Time]],1)</f>
        <v>0.54583333332993789</v>
      </c>
      <c r="H718">
        <v>4</v>
      </c>
      <c r="I718" t="s">
        <v>4</v>
      </c>
      <c r="J718" t="s">
        <v>3</v>
      </c>
      <c r="K718" t="s">
        <v>21</v>
      </c>
      <c r="L718">
        <v>73</v>
      </c>
      <c r="M718">
        <v>7.6</v>
      </c>
      <c r="N718">
        <v>4.71</v>
      </c>
      <c r="O718" t="s">
        <v>15</v>
      </c>
      <c r="P718">
        <v>76</v>
      </c>
      <c r="Q718">
        <v>183</v>
      </c>
      <c r="R718">
        <v>94</v>
      </c>
      <c r="S718">
        <v>45</v>
      </c>
      <c r="T718" t="s">
        <v>50</v>
      </c>
      <c r="U718">
        <f>IF(Cardiac_Table[[#This Row],[Patient Status at Discharge]]="Died", 1,0)</f>
        <v>0</v>
      </c>
      <c r="V718">
        <f>Cardiac_Table[[#This Row],[Risk of Death % (Model 1)]]/100</f>
        <v>7.5999999999999998E-2</v>
      </c>
      <c r="W718">
        <f>Cardiac_Table[[#This Row],[Risk of Death % (Model 2)]]/100</f>
        <v>4.7100000000000003E-2</v>
      </c>
      <c r="X718" s="18">
        <f>Cardiac_Table[[#This Row],[Procedure Start Date and Time]]-Cardiac_Table[[#This Row],[Hospital Admit Date ]]</f>
        <v>1.2493055555532919</v>
      </c>
    </row>
    <row r="719" spans="1:24" x14ac:dyDescent="0.35">
      <c r="A719">
        <v>727</v>
      </c>
      <c r="B719" s="9">
        <v>44057.583333333336</v>
      </c>
      <c r="C719" s="10">
        <f>INT(Cardiac_Table[[#This Row],[Hospital Admit Date ]])</f>
        <v>44057</v>
      </c>
      <c r="D719" s="11" t="str">
        <f t="shared" si="11"/>
        <v>14:00</v>
      </c>
      <c r="E719" s="9">
        <v>44058.333333333336</v>
      </c>
      <c r="F719" s="10">
        <f>INT(Cardiac_Table[[#This Row],[Procedure Start Date and Time]])</f>
        <v>44058</v>
      </c>
      <c r="G719" s="12">
        <f>MOD(Cardiac_Table[[#This Row],[Procedure Start Date and Time]],1)</f>
        <v>0.33333333333575865</v>
      </c>
      <c r="H719">
        <v>5</v>
      </c>
      <c r="I719" t="s">
        <v>4</v>
      </c>
      <c r="J719" t="s">
        <v>11</v>
      </c>
      <c r="K719" t="s">
        <v>23</v>
      </c>
      <c r="L719">
        <v>74</v>
      </c>
      <c r="M719">
        <v>3.99</v>
      </c>
      <c r="N719">
        <v>2.2200000000000002</v>
      </c>
      <c r="O719" t="s">
        <v>15</v>
      </c>
      <c r="P719">
        <v>64</v>
      </c>
      <c r="Q719">
        <v>184</v>
      </c>
      <c r="R719">
        <v>85</v>
      </c>
      <c r="S719">
        <v>40</v>
      </c>
      <c r="T719" t="s">
        <v>50</v>
      </c>
      <c r="U719">
        <f>IF(Cardiac_Table[[#This Row],[Patient Status at Discharge]]="Died", 1,0)</f>
        <v>0</v>
      </c>
      <c r="V719">
        <f>Cardiac_Table[[#This Row],[Risk of Death % (Model 1)]]/100</f>
        <v>3.9900000000000005E-2</v>
      </c>
      <c r="W719">
        <f>Cardiac_Table[[#This Row],[Risk of Death % (Model 2)]]/100</f>
        <v>2.2200000000000001E-2</v>
      </c>
      <c r="X719" s="18">
        <f>Cardiac_Table[[#This Row],[Procedure Start Date and Time]]-Cardiac_Table[[#This Row],[Hospital Admit Date ]]</f>
        <v>0.75</v>
      </c>
    </row>
    <row r="720" spans="1:24" x14ac:dyDescent="0.35">
      <c r="A720">
        <v>728</v>
      </c>
      <c r="B720" s="9">
        <v>44057.429166666669</v>
      </c>
      <c r="C720" s="10">
        <f>INT(Cardiac_Table[[#This Row],[Hospital Admit Date ]])</f>
        <v>44057</v>
      </c>
      <c r="D720" s="11" t="str">
        <f t="shared" si="11"/>
        <v>10:18</v>
      </c>
      <c r="E720" s="9">
        <v>44058.341666666667</v>
      </c>
      <c r="F720" s="10">
        <f>INT(Cardiac_Table[[#This Row],[Procedure Start Date and Time]])</f>
        <v>44058</v>
      </c>
      <c r="G720" s="12">
        <f>MOD(Cardiac_Table[[#This Row],[Procedure Start Date and Time]],1)</f>
        <v>0.34166666666715173</v>
      </c>
      <c r="H720">
        <v>4</v>
      </c>
      <c r="I720" t="s">
        <v>4</v>
      </c>
      <c r="J720" t="s">
        <v>3</v>
      </c>
      <c r="K720" t="s">
        <v>33</v>
      </c>
      <c r="L720">
        <v>76</v>
      </c>
      <c r="M720">
        <v>6.19</v>
      </c>
      <c r="N720">
        <v>4.3600000000000003</v>
      </c>
      <c r="O720" t="s">
        <v>15</v>
      </c>
      <c r="P720">
        <v>86</v>
      </c>
      <c r="Q720">
        <v>185</v>
      </c>
      <c r="R720">
        <v>118</v>
      </c>
      <c r="S720">
        <v>60</v>
      </c>
      <c r="T720" t="s">
        <v>48</v>
      </c>
      <c r="U720">
        <f>IF(Cardiac_Table[[#This Row],[Patient Status at Discharge]]="Died", 1,0)</f>
        <v>0</v>
      </c>
      <c r="V720">
        <f>Cardiac_Table[[#This Row],[Risk of Death % (Model 1)]]/100</f>
        <v>6.1900000000000004E-2</v>
      </c>
      <c r="W720">
        <f>Cardiac_Table[[#This Row],[Risk of Death % (Model 2)]]/100</f>
        <v>4.36E-2</v>
      </c>
      <c r="X720" s="18">
        <f>Cardiac_Table[[#This Row],[Procedure Start Date and Time]]-Cardiac_Table[[#This Row],[Hospital Admit Date ]]</f>
        <v>0.91249999999854481</v>
      </c>
    </row>
    <row r="721" spans="1:24" x14ac:dyDescent="0.35">
      <c r="A721">
        <v>729</v>
      </c>
      <c r="B721" s="9">
        <v>44057.661111111112</v>
      </c>
      <c r="C721" s="10">
        <f>INT(Cardiac_Table[[#This Row],[Hospital Admit Date ]])</f>
        <v>44057</v>
      </c>
      <c r="D721" s="11" t="str">
        <f t="shared" si="11"/>
        <v>15:52</v>
      </c>
      <c r="E721" s="9">
        <v>44058.461805555555</v>
      </c>
      <c r="F721" s="10">
        <f>INT(Cardiac_Table[[#This Row],[Procedure Start Date and Time]])</f>
        <v>44058</v>
      </c>
      <c r="G721" s="12">
        <f>MOD(Cardiac_Table[[#This Row],[Procedure Start Date and Time]],1)</f>
        <v>0.46180555555474712</v>
      </c>
      <c r="H721">
        <v>4</v>
      </c>
      <c r="I721" t="s">
        <v>4</v>
      </c>
      <c r="J721" t="s">
        <v>3</v>
      </c>
      <c r="K721" t="s">
        <v>32</v>
      </c>
      <c r="L721">
        <v>83</v>
      </c>
      <c r="M721">
        <v>9.52</v>
      </c>
      <c r="N721">
        <v>2.16</v>
      </c>
      <c r="O721" t="s">
        <v>15</v>
      </c>
      <c r="P721">
        <v>83</v>
      </c>
      <c r="Q721">
        <v>162</v>
      </c>
      <c r="R721">
        <v>66</v>
      </c>
      <c r="S721">
        <v>40</v>
      </c>
      <c r="T721" t="s">
        <v>50</v>
      </c>
      <c r="U721">
        <f>IF(Cardiac_Table[[#This Row],[Patient Status at Discharge]]="Died", 1,0)</f>
        <v>0</v>
      </c>
      <c r="V721">
        <f>Cardiac_Table[[#This Row],[Risk of Death % (Model 1)]]/100</f>
        <v>9.5199999999999993E-2</v>
      </c>
      <c r="W721">
        <f>Cardiac_Table[[#This Row],[Risk of Death % (Model 2)]]/100</f>
        <v>2.1600000000000001E-2</v>
      </c>
      <c r="X721" s="18">
        <f>Cardiac_Table[[#This Row],[Procedure Start Date and Time]]-Cardiac_Table[[#This Row],[Hospital Admit Date ]]</f>
        <v>0.8006944444423425</v>
      </c>
    </row>
    <row r="722" spans="1:24" x14ac:dyDescent="0.35">
      <c r="A722">
        <v>730</v>
      </c>
      <c r="B722" s="9">
        <v>44057.578472222223</v>
      </c>
      <c r="C722" s="10">
        <f>INT(Cardiac_Table[[#This Row],[Hospital Admit Date ]])</f>
        <v>44057</v>
      </c>
      <c r="D722" s="11" t="str">
        <f t="shared" si="11"/>
        <v>13:53</v>
      </c>
      <c r="E722" s="9">
        <v>44058.520833333336</v>
      </c>
      <c r="F722" s="10">
        <f>INT(Cardiac_Table[[#This Row],[Procedure Start Date and Time]])</f>
        <v>44058</v>
      </c>
      <c r="G722" s="12">
        <f>MOD(Cardiac_Table[[#This Row],[Procedure Start Date and Time]],1)</f>
        <v>0.52083333333575865</v>
      </c>
      <c r="H722">
        <v>5</v>
      </c>
      <c r="I722" t="s">
        <v>4</v>
      </c>
      <c r="J722" t="s">
        <v>1</v>
      </c>
      <c r="K722" t="s">
        <v>23</v>
      </c>
      <c r="L722">
        <v>71</v>
      </c>
      <c r="M722">
        <v>13.11</v>
      </c>
      <c r="N722">
        <v>4.16</v>
      </c>
      <c r="O722" t="s">
        <v>15</v>
      </c>
      <c r="P722">
        <v>77</v>
      </c>
      <c r="Q722">
        <v>169</v>
      </c>
      <c r="R722">
        <v>95</v>
      </c>
      <c r="S722">
        <v>65</v>
      </c>
      <c r="T722" t="s">
        <v>48</v>
      </c>
      <c r="U722">
        <f>IF(Cardiac_Table[[#This Row],[Patient Status at Discharge]]="Died", 1,0)</f>
        <v>0</v>
      </c>
      <c r="V722">
        <f>Cardiac_Table[[#This Row],[Risk of Death % (Model 1)]]/100</f>
        <v>0.13109999999999999</v>
      </c>
      <c r="W722">
        <f>Cardiac_Table[[#This Row],[Risk of Death % (Model 2)]]/100</f>
        <v>4.1599999999999998E-2</v>
      </c>
      <c r="X722" s="18">
        <f>Cardiac_Table[[#This Row],[Procedure Start Date and Time]]-Cardiac_Table[[#This Row],[Hospital Admit Date ]]</f>
        <v>0.94236111111240461</v>
      </c>
    </row>
    <row r="723" spans="1:24" x14ac:dyDescent="0.35">
      <c r="A723">
        <v>731</v>
      </c>
      <c r="B723" s="9">
        <v>44058.677777777775</v>
      </c>
      <c r="C723" s="10">
        <f>INT(Cardiac_Table[[#This Row],[Hospital Admit Date ]])</f>
        <v>44058</v>
      </c>
      <c r="D723" s="11" t="str">
        <f t="shared" si="11"/>
        <v>16:16</v>
      </c>
      <c r="E723" s="9">
        <v>44059.390972222223</v>
      </c>
      <c r="F723" s="10">
        <f>INT(Cardiac_Table[[#This Row],[Procedure Start Date and Time]])</f>
        <v>44059</v>
      </c>
      <c r="G723" s="12">
        <f>MOD(Cardiac_Table[[#This Row],[Procedure Start Date and Time]],1)</f>
        <v>0.39097222222335404</v>
      </c>
      <c r="H723">
        <v>2</v>
      </c>
      <c r="I723" t="s">
        <v>2</v>
      </c>
      <c r="J723" t="s">
        <v>11</v>
      </c>
      <c r="K723" t="s">
        <v>23</v>
      </c>
      <c r="L723">
        <v>83</v>
      </c>
      <c r="M723">
        <v>50.05</v>
      </c>
      <c r="N723">
        <v>25.98</v>
      </c>
      <c r="O723" t="s">
        <v>15</v>
      </c>
      <c r="P723">
        <v>63</v>
      </c>
      <c r="Q723">
        <v>170</v>
      </c>
      <c r="R723">
        <v>80</v>
      </c>
      <c r="S723">
        <v>20</v>
      </c>
      <c r="T723" t="s">
        <v>51</v>
      </c>
      <c r="U723">
        <f>IF(Cardiac_Table[[#This Row],[Patient Status at Discharge]]="Died", 1,0)</f>
        <v>0</v>
      </c>
      <c r="V723">
        <f>Cardiac_Table[[#This Row],[Risk of Death % (Model 1)]]/100</f>
        <v>0.50049999999999994</v>
      </c>
      <c r="W723">
        <f>Cardiac_Table[[#This Row],[Risk of Death % (Model 2)]]/100</f>
        <v>0.25980000000000003</v>
      </c>
      <c r="X723" s="18">
        <f>Cardiac_Table[[#This Row],[Procedure Start Date and Time]]-Cardiac_Table[[#This Row],[Hospital Admit Date ]]</f>
        <v>0.71319444444816327</v>
      </c>
    </row>
    <row r="724" spans="1:24" x14ac:dyDescent="0.35">
      <c r="A724">
        <v>732</v>
      </c>
      <c r="B724" s="9">
        <v>44059.666666666664</v>
      </c>
      <c r="C724" s="10">
        <f>INT(Cardiac_Table[[#This Row],[Hospital Admit Date ]])</f>
        <v>44059</v>
      </c>
      <c r="D724" s="11" t="str">
        <f t="shared" si="11"/>
        <v>16:00</v>
      </c>
      <c r="E724" s="9">
        <v>44060.333333333336</v>
      </c>
      <c r="F724" s="10">
        <f>INT(Cardiac_Table[[#This Row],[Procedure Start Date and Time]])</f>
        <v>44060</v>
      </c>
      <c r="G724" s="12">
        <f>MOD(Cardiac_Table[[#This Row],[Procedure Start Date and Time]],1)</f>
        <v>0.33333333333575865</v>
      </c>
      <c r="H724">
        <v>2</v>
      </c>
      <c r="I724" t="s">
        <v>4</v>
      </c>
      <c r="J724" t="s">
        <v>11</v>
      </c>
      <c r="K724" t="s">
        <v>27</v>
      </c>
      <c r="L724">
        <v>72</v>
      </c>
      <c r="M724">
        <v>3.51</v>
      </c>
      <c r="N724">
        <v>1.35</v>
      </c>
      <c r="O724" t="s">
        <v>15</v>
      </c>
      <c r="P724">
        <v>73</v>
      </c>
      <c r="Q724">
        <v>190</v>
      </c>
      <c r="R724">
        <v>138</v>
      </c>
      <c r="S724">
        <v>51</v>
      </c>
      <c r="T724" t="s">
        <v>48</v>
      </c>
      <c r="U724">
        <f>IF(Cardiac_Table[[#This Row],[Patient Status at Discharge]]="Died", 1,0)</f>
        <v>0</v>
      </c>
      <c r="V724">
        <f>Cardiac_Table[[#This Row],[Risk of Death % (Model 1)]]/100</f>
        <v>3.5099999999999999E-2</v>
      </c>
      <c r="W724">
        <f>Cardiac_Table[[#This Row],[Risk of Death % (Model 2)]]/100</f>
        <v>1.3500000000000002E-2</v>
      </c>
      <c r="X724" s="18">
        <f>Cardiac_Table[[#This Row],[Procedure Start Date and Time]]-Cardiac_Table[[#This Row],[Hospital Admit Date ]]</f>
        <v>0.66666666667151731</v>
      </c>
    </row>
    <row r="725" spans="1:24" x14ac:dyDescent="0.35">
      <c r="A725">
        <v>733</v>
      </c>
      <c r="B725" s="9">
        <v>44055.645833333336</v>
      </c>
      <c r="C725" s="10">
        <f>INT(Cardiac_Table[[#This Row],[Hospital Admit Date ]])</f>
        <v>44055</v>
      </c>
      <c r="D725" s="11" t="str">
        <f t="shared" si="11"/>
        <v>15:30</v>
      </c>
      <c r="E725" s="9">
        <v>44060.336805555555</v>
      </c>
      <c r="F725" s="10">
        <f>INT(Cardiac_Table[[#This Row],[Procedure Start Date and Time]])</f>
        <v>44060</v>
      </c>
      <c r="G725" s="12">
        <f>MOD(Cardiac_Table[[#This Row],[Procedure Start Date and Time]],1)</f>
        <v>0.33680555555474712</v>
      </c>
      <c r="H725">
        <v>4</v>
      </c>
      <c r="I725" t="s">
        <v>4</v>
      </c>
      <c r="J725" t="s">
        <v>3</v>
      </c>
      <c r="K725" t="s">
        <v>32</v>
      </c>
      <c r="L725">
        <v>61</v>
      </c>
      <c r="M725">
        <v>2.37</v>
      </c>
      <c r="N725">
        <v>1.23</v>
      </c>
      <c r="O725" t="s">
        <v>15</v>
      </c>
      <c r="P725">
        <v>63</v>
      </c>
      <c r="Q725">
        <v>170</v>
      </c>
      <c r="R725">
        <v>81</v>
      </c>
      <c r="S725">
        <v>57</v>
      </c>
      <c r="T725" t="s">
        <v>48</v>
      </c>
      <c r="U725">
        <f>IF(Cardiac_Table[[#This Row],[Patient Status at Discharge]]="Died", 1,0)</f>
        <v>0</v>
      </c>
      <c r="V725">
        <f>Cardiac_Table[[#This Row],[Risk of Death % (Model 1)]]/100</f>
        <v>2.3700000000000002E-2</v>
      </c>
      <c r="W725">
        <f>Cardiac_Table[[#This Row],[Risk of Death % (Model 2)]]/100</f>
        <v>1.23E-2</v>
      </c>
      <c r="X725" s="18">
        <f>Cardiac_Table[[#This Row],[Procedure Start Date and Time]]-Cardiac_Table[[#This Row],[Hospital Admit Date ]]</f>
        <v>4.6909722222189885</v>
      </c>
    </row>
    <row r="726" spans="1:24" x14ac:dyDescent="0.35">
      <c r="A726">
        <v>734</v>
      </c>
      <c r="B726" s="9">
        <v>44059.448611111111</v>
      </c>
      <c r="C726" s="10">
        <f>INT(Cardiac_Table[[#This Row],[Hospital Admit Date ]])</f>
        <v>44059</v>
      </c>
      <c r="D726" s="11" t="str">
        <f t="shared" si="11"/>
        <v>10:46</v>
      </c>
      <c r="E726" s="9">
        <v>44060.338194444441</v>
      </c>
      <c r="F726" s="10">
        <f>INT(Cardiac_Table[[#This Row],[Procedure Start Date and Time]])</f>
        <v>44060</v>
      </c>
      <c r="G726" s="12">
        <f>MOD(Cardiac_Table[[#This Row],[Procedure Start Date and Time]],1)</f>
        <v>0.33819444444088731</v>
      </c>
      <c r="H726">
        <v>5</v>
      </c>
      <c r="I726" t="s">
        <v>4</v>
      </c>
      <c r="J726" t="s">
        <v>10</v>
      </c>
      <c r="K726" t="s">
        <v>24</v>
      </c>
      <c r="L726">
        <v>78</v>
      </c>
      <c r="M726">
        <v>15.36</v>
      </c>
      <c r="N726">
        <v>5.24</v>
      </c>
      <c r="O726" t="s">
        <v>15</v>
      </c>
      <c r="P726">
        <v>67</v>
      </c>
      <c r="Q726">
        <v>186</v>
      </c>
      <c r="R726">
        <v>82</v>
      </c>
      <c r="S726">
        <v>50</v>
      </c>
      <c r="T726" t="s">
        <v>50</v>
      </c>
      <c r="U726">
        <f>IF(Cardiac_Table[[#This Row],[Patient Status at Discharge]]="Died", 1,0)</f>
        <v>0</v>
      </c>
      <c r="V726">
        <f>Cardiac_Table[[#This Row],[Risk of Death % (Model 1)]]/100</f>
        <v>0.15359999999999999</v>
      </c>
      <c r="W726">
        <f>Cardiac_Table[[#This Row],[Risk of Death % (Model 2)]]/100</f>
        <v>5.2400000000000002E-2</v>
      </c>
      <c r="X726" s="18">
        <f>Cardiac_Table[[#This Row],[Procedure Start Date and Time]]-Cardiac_Table[[#This Row],[Hospital Admit Date ]]</f>
        <v>0.88958333332993789</v>
      </c>
    </row>
    <row r="727" spans="1:24" x14ac:dyDescent="0.35">
      <c r="A727">
        <v>735</v>
      </c>
      <c r="B727" s="9">
        <v>44059.666666666664</v>
      </c>
      <c r="C727" s="10">
        <f>INT(Cardiac_Table[[#This Row],[Hospital Admit Date ]])</f>
        <v>44059</v>
      </c>
      <c r="D727" s="11" t="str">
        <f t="shared" si="11"/>
        <v>16:00</v>
      </c>
      <c r="E727" s="9">
        <v>44060.339583333334</v>
      </c>
      <c r="F727" s="10">
        <f>INT(Cardiac_Table[[#This Row],[Procedure Start Date and Time]])</f>
        <v>44060</v>
      </c>
      <c r="G727" s="12">
        <f>MOD(Cardiac_Table[[#This Row],[Procedure Start Date and Time]],1)</f>
        <v>0.33958333333430346</v>
      </c>
      <c r="H727">
        <v>3</v>
      </c>
      <c r="I727" t="s">
        <v>4</v>
      </c>
      <c r="J727" t="s">
        <v>3</v>
      </c>
      <c r="K727" t="s">
        <v>30</v>
      </c>
      <c r="L727">
        <v>71</v>
      </c>
      <c r="M727">
        <v>3.29</v>
      </c>
      <c r="N727">
        <v>0.76</v>
      </c>
      <c r="O727" t="s">
        <v>15</v>
      </c>
      <c r="P727">
        <v>89</v>
      </c>
      <c r="Q727">
        <v>174</v>
      </c>
      <c r="R727">
        <v>76</v>
      </c>
      <c r="S727">
        <v>55</v>
      </c>
      <c r="T727" t="s">
        <v>48</v>
      </c>
      <c r="U727">
        <f>IF(Cardiac_Table[[#This Row],[Patient Status at Discharge]]="Died", 1,0)</f>
        <v>0</v>
      </c>
      <c r="V727">
        <f>Cardiac_Table[[#This Row],[Risk of Death % (Model 1)]]/100</f>
        <v>3.2899999999999999E-2</v>
      </c>
      <c r="W727">
        <f>Cardiac_Table[[#This Row],[Risk of Death % (Model 2)]]/100</f>
        <v>7.6E-3</v>
      </c>
      <c r="X727" s="18">
        <f>Cardiac_Table[[#This Row],[Procedure Start Date and Time]]-Cardiac_Table[[#This Row],[Hospital Admit Date ]]</f>
        <v>0.67291666667006211</v>
      </c>
    </row>
    <row r="728" spans="1:24" x14ac:dyDescent="0.35">
      <c r="A728">
        <v>736</v>
      </c>
      <c r="B728" s="9">
        <v>44059.625</v>
      </c>
      <c r="C728" s="10">
        <f>INT(Cardiac_Table[[#This Row],[Hospital Admit Date ]])</f>
        <v>44059</v>
      </c>
      <c r="D728" s="11" t="str">
        <f t="shared" si="11"/>
        <v>15:00</v>
      </c>
      <c r="E728" s="9">
        <v>44060.45</v>
      </c>
      <c r="F728" s="10">
        <f>INT(Cardiac_Table[[#This Row],[Procedure Start Date and Time]])</f>
        <v>44060</v>
      </c>
      <c r="G728" s="12">
        <f>MOD(Cardiac_Table[[#This Row],[Procedure Start Date and Time]],1)</f>
        <v>0.44999999999708962</v>
      </c>
      <c r="H728">
        <v>6</v>
      </c>
      <c r="I728" t="s">
        <v>4</v>
      </c>
      <c r="J728" t="s">
        <v>1</v>
      </c>
      <c r="K728" t="s">
        <v>23</v>
      </c>
      <c r="L728">
        <v>53</v>
      </c>
      <c r="M728">
        <v>4.6500000000000004</v>
      </c>
      <c r="N728">
        <v>0.96</v>
      </c>
      <c r="O728" t="s">
        <v>15</v>
      </c>
      <c r="P728">
        <v>73</v>
      </c>
      <c r="Q728">
        <v>171</v>
      </c>
      <c r="R728">
        <v>86</v>
      </c>
      <c r="S728">
        <v>49</v>
      </c>
      <c r="T728" t="s">
        <v>50</v>
      </c>
      <c r="U728">
        <f>IF(Cardiac_Table[[#This Row],[Patient Status at Discharge]]="Died", 1,0)</f>
        <v>0</v>
      </c>
      <c r="V728">
        <f>Cardiac_Table[[#This Row],[Risk of Death % (Model 1)]]/100</f>
        <v>4.6500000000000007E-2</v>
      </c>
      <c r="W728">
        <f>Cardiac_Table[[#This Row],[Risk of Death % (Model 2)]]/100</f>
        <v>9.5999999999999992E-3</v>
      </c>
      <c r="X728" s="18">
        <f>Cardiac_Table[[#This Row],[Procedure Start Date and Time]]-Cardiac_Table[[#This Row],[Hospital Admit Date ]]</f>
        <v>0.82499999999708962</v>
      </c>
    </row>
    <row r="729" spans="1:24" x14ac:dyDescent="0.35">
      <c r="A729">
        <v>737</v>
      </c>
      <c r="B729" s="9">
        <v>44054.460416666669</v>
      </c>
      <c r="C729" s="10">
        <f>INT(Cardiac_Table[[#This Row],[Hospital Admit Date ]])</f>
        <v>44054</v>
      </c>
      <c r="D729" s="11" t="str">
        <f t="shared" si="11"/>
        <v>11:03</v>
      </c>
      <c r="E729" s="9">
        <v>44060.484027777777</v>
      </c>
      <c r="F729" s="10">
        <f>INT(Cardiac_Table[[#This Row],[Procedure Start Date and Time]])</f>
        <v>44060</v>
      </c>
      <c r="G729" s="12">
        <f>MOD(Cardiac_Table[[#This Row],[Procedure Start Date and Time]],1)</f>
        <v>0.48402777777664596</v>
      </c>
      <c r="H729">
        <v>3</v>
      </c>
      <c r="I729" t="s">
        <v>6</v>
      </c>
      <c r="J729" t="s">
        <v>11</v>
      </c>
      <c r="K729" t="s">
        <v>30</v>
      </c>
      <c r="L729">
        <v>68</v>
      </c>
      <c r="M729">
        <v>6.81</v>
      </c>
      <c r="N729">
        <v>3.12</v>
      </c>
      <c r="O729" t="s">
        <v>15</v>
      </c>
      <c r="P729">
        <v>81</v>
      </c>
      <c r="Q729">
        <v>160</v>
      </c>
      <c r="R729">
        <v>71</v>
      </c>
      <c r="S729">
        <v>47</v>
      </c>
      <c r="T729" t="s">
        <v>50</v>
      </c>
      <c r="U729">
        <f>IF(Cardiac_Table[[#This Row],[Patient Status at Discharge]]="Died", 1,0)</f>
        <v>0</v>
      </c>
      <c r="V729">
        <f>Cardiac_Table[[#This Row],[Risk of Death % (Model 1)]]/100</f>
        <v>6.8099999999999994E-2</v>
      </c>
      <c r="W729">
        <f>Cardiac_Table[[#This Row],[Risk of Death % (Model 2)]]/100</f>
        <v>3.1200000000000002E-2</v>
      </c>
      <c r="X729" s="18">
        <f>Cardiac_Table[[#This Row],[Procedure Start Date and Time]]-Cardiac_Table[[#This Row],[Hospital Admit Date ]]</f>
        <v>6.023611111108039</v>
      </c>
    </row>
    <row r="730" spans="1:24" x14ac:dyDescent="0.35">
      <c r="A730">
        <v>738</v>
      </c>
      <c r="B730" s="9">
        <v>44060.291666666664</v>
      </c>
      <c r="C730" s="10">
        <f>INT(Cardiac_Table[[#This Row],[Hospital Admit Date ]])</f>
        <v>44060</v>
      </c>
      <c r="D730" s="11" t="str">
        <f t="shared" si="11"/>
        <v>07:00</v>
      </c>
      <c r="E730" s="9">
        <v>44060.530555555553</v>
      </c>
      <c r="F730" s="10">
        <f>INT(Cardiac_Table[[#This Row],[Procedure Start Date and Time]])</f>
        <v>44060</v>
      </c>
      <c r="G730" s="12">
        <f>MOD(Cardiac_Table[[#This Row],[Procedure Start Date and Time]],1)</f>
        <v>0.53055555555329192</v>
      </c>
      <c r="H730">
        <v>4</v>
      </c>
      <c r="I730" t="s">
        <v>4</v>
      </c>
      <c r="J730" t="s">
        <v>11</v>
      </c>
      <c r="K730" t="s">
        <v>32</v>
      </c>
      <c r="L730">
        <v>76</v>
      </c>
      <c r="M730">
        <v>11.29</v>
      </c>
      <c r="N730">
        <v>4.43</v>
      </c>
      <c r="O730" t="s">
        <v>15</v>
      </c>
      <c r="P730">
        <v>106</v>
      </c>
      <c r="Q730">
        <v>163</v>
      </c>
      <c r="R730">
        <v>88</v>
      </c>
      <c r="S730">
        <v>56</v>
      </c>
      <c r="T730" t="s">
        <v>48</v>
      </c>
      <c r="U730">
        <f>IF(Cardiac_Table[[#This Row],[Patient Status at Discharge]]="Died", 1,0)</f>
        <v>0</v>
      </c>
      <c r="V730">
        <f>Cardiac_Table[[#This Row],[Risk of Death % (Model 1)]]/100</f>
        <v>0.11289999999999999</v>
      </c>
      <c r="W730">
        <f>Cardiac_Table[[#This Row],[Risk of Death % (Model 2)]]/100</f>
        <v>4.4299999999999999E-2</v>
      </c>
      <c r="X730" s="18">
        <f>Cardiac_Table[[#This Row],[Procedure Start Date and Time]]-Cardiac_Table[[#This Row],[Hospital Admit Date ]]</f>
        <v>0.23888888888905058</v>
      </c>
    </row>
    <row r="731" spans="1:24" x14ac:dyDescent="0.35">
      <c r="A731">
        <v>739</v>
      </c>
      <c r="B731" s="9">
        <v>44059.456250000003</v>
      </c>
      <c r="C731" s="10">
        <f>INT(Cardiac_Table[[#This Row],[Hospital Admit Date ]])</f>
        <v>44059</v>
      </c>
      <c r="D731" s="11" t="str">
        <f t="shared" si="11"/>
        <v>10:57</v>
      </c>
      <c r="E731" s="9">
        <v>44060.552083333336</v>
      </c>
      <c r="F731" s="10">
        <f>INT(Cardiac_Table[[#This Row],[Procedure Start Date and Time]])</f>
        <v>44060</v>
      </c>
      <c r="G731" s="12">
        <f>MOD(Cardiac_Table[[#This Row],[Procedure Start Date and Time]],1)</f>
        <v>0.55208333333575865</v>
      </c>
      <c r="H731">
        <v>5</v>
      </c>
      <c r="I731" t="s">
        <v>4</v>
      </c>
      <c r="J731" t="s">
        <v>11</v>
      </c>
      <c r="K731" t="s">
        <v>24</v>
      </c>
      <c r="L731">
        <v>80</v>
      </c>
      <c r="M731">
        <v>11.59</v>
      </c>
      <c r="N731">
        <v>5.74</v>
      </c>
      <c r="O731" t="s">
        <v>15</v>
      </c>
      <c r="P731">
        <v>80</v>
      </c>
      <c r="Q731">
        <v>170</v>
      </c>
      <c r="R731">
        <v>98</v>
      </c>
      <c r="S731">
        <v>35</v>
      </c>
      <c r="T731" t="s">
        <v>50</v>
      </c>
      <c r="U731">
        <f>IF(Cardiac_Table[[#This Row],[Patient Status at Discharge]]="Died", 1,0)</f>
        <v>0</v>
      </c>
      <c r="V731">
        <f>Cardiac_Table[[#This Row],[Risk of Death % (Model 1)]]/100</f>
        <v>0.1159</v>
      </c>
      <c r="W731">
        <f>Cardiac_Table[[#This Row],[Risk of Death % (Model 2)]]/100</f>
        <v>5.74E-2</v>
      </c>
      <c r="X731" s="18">
        <f>Cardiac_Table[[#This Row],[Procedure Start Date and Time]]-Cardiac_Table[[#This Row],[Hospital Admit Date ]]</f>
        <v>1.0958333333328483</v>
      </c>
    </row>
    <row r="732" spans="1:24" x14ac:dyDescent="0.35">
      <c r="A732">
        <v>740</v>
      </c>
      <c r="B732" s="9">
        <v>44058.532638888886</v>
      </c>
      <c r="C732" s="10">
        <f>INT(Cardiac_Table[[#This Row],[Hospital Admit Date ]])</f>
        <v>44058</v>
      </c>
      <c r="D732" s="11" t="str">
        <f t="shared" si="11"/>
        <v>12:47</v>
      </c>
      <c r="E732" s="9">
        <v>44060.618055555555</v>
      </c>
      <c r="F732" s="10">
        <f>INT(Cardiac_Table[[#This Row],[Procedure Start Date and Time]])</f>
        <v>44060</v>
      </c>
      <c r="G732" s="12">
        <f>MOD(Cardiac_Table[[#This Row],[Procedure Start Date and Time]],1)</f>
        <v>0.61805555555474712</v>
      </c>
      <c r="H732">
        <v>2</v>
      </c>
      <c r="I732" t="s">
        <v>6</v>
      </c>
      <c r="J732" t="s">
        <v>3</v>
      </c>
      <c r="K732" t="s">
        <v>27</v>
      </c>
      <c r="L732">
        <v>78</v>
      </c>
      <c r="M732">
        <v>18.489999999999998</v>
      </c>
      <c r="N732">
        <v>2.61</v>
      </c>
      <c r="O732" t="s">
        <v>15</v>
      </c>
      <c r="P732">
        <v>114</v>
      </c>
      <c r="Q732">
        <v>167</v>
      </c>
      <c r="R732">
        <v>78</v>
      </c>
      <c r="S732">
        <v>60</v>
      </c>
      <c r="T732" t="s">
        <v>48</v>
      </c>
      <c r="U732">
        <f>IF(Cardiac_Table[[#This Row],[Patient Status at Discharge]]="Died", 1,0)</f>
        <v>0</v>
      </c>
      <c r="V732">
        <f>Cardiac_Table[[#This Row],[Risk of Death % (Model 1)]]/100</f>
        <v>0.18489999999999998</v>
      </c>
      <c r="W732">
        <f>Cardiac_Table[[#This Row],[Risk of Death % (Model 2)]]/100</f>
        <v>2.6099999999999998E-2</v>
      </c>
      <c r="X732" s="18">
        <f>Cardiac_Table[[#This Row],[Procedure Start Date and Time]]-Cardiac_Table[[#This Row],[Hospital Admit Date ]]</f>
        <v>2.0854166666686069</v>
      </c>
    </row>
    <row r="733" spans="1:24" x14ac:dyDescent="0.35">
      <c r="A733">
        <v>741</v>
      </c>
      <c r="B733" s="9">
        <v>44060.670138888891</v>
      </c>
      <c r="C733" s="10">
        <f>INT(Cardiac_Table[[#This Row],[Hospital Admit Date ]])</f>
        <v>44060</v>
      </c>
      <c r="D733" s="11" t="str">
        <f t="shared" si="11"/>
        <v>16:05</v>
      </c>
      <c r="E733" s="9">
        <v>44061.333333333336</v>
      </c>
      <c r="F733" s="10">
        <f>INT(Cardiac_Table[[#This Row],[Procedure Start Date and Time]])</f>
        <v>44061</v>
      </c>
      <c r="G733" s="12">
        <f>MOD(Cardiac_Table[[#This Row],[Procedure Start Date and Time]],1)</f>
        <v>0.33333333333575865</v>
      </c>
      <c r="H733">
        <v>5</v>
      </c>
      <c r="I733" t="s">
        <v>4</v>
      </c>
      <c r="J733" t="s">
        <v>3</v>
      </c>
      <c r="K733" t="s">
        <v>29</v>
      </c>
      <c r="L733">
        <v>71</v>
      </c>
      <c r="M733">
        <v>3.29</v>
      </c>
      <c r="N733">
        <v>0.92</v>
      </c>
      <c r="O733" t="s">
        <v>15</v>
      </c>
      <c r="P733">
        <v>70</v>
      </c>
      <c r="Q733">
        <v>173</v>
      </c>
      <c r="R733">
        <v>115</v>
      </c>
      <c r="S733">
        <v>55</v>
      </c>
      <c r="T733" t="s">
        <v>48</v>
      </c>
      <c r="U733">
        <f>IF(Cardiac_Table[[#This Row],[Patient Status at Discharge]]="Died", 1,0)</f>
        <v>0</v>
      </c>
      <c r="V733">
        <f>Cardiac_Table[[#This Row],[Risk of Death % (Model 1)]]/100</f>
        <v>3.2899999999999999E-2</v>
      </c>
      <c r="W733">
        <f>Cardiac_Table[[#This Row],[Risk of Death % (Model 2)]]/100</f>
        <v>9.1999999999999998E-3</v>
      </c>
      <c r="X733" s="18">
        <f>Cardiac_Table[[#This Row],[Procedure Start Date and Time]]-Cardiac_Table[[#This Row],[Hospital Admit Date ]]</f>
        <v>0.66319444444525288</v>
      </c>
    </row>
    <row r="734" spans="1:24" x14ac:dyDescent="0.35">
      <c r="A734">
        <v>742</v>
      </c>
      <c r="B734" s="9">
        <v>44059.450694444444</v>
      </c>
      <c r="C734" s="10">
        <f>INT(Cardiac_Table[[#This Row],[Hospital Admit Date ]])</f>
        <v>44059</v>
      </c>
      <c r="D734" s="11" t="str">
        <f t="shared" si="11"/>
        <v>10:49</v>
      </c>
      <c r="E734" s="9">
        <v>44061.340277777781</v>
      </c>
      <c r="F734" s="10">
        <f>INT(Cardiac_Table[[#This Row],[Procedure Start Date and Time]])</f>
        <v>44061</v>
      </c>
      <c r="G734" s="12">
        <f>MOD(Cardiac_Table[[#This Row],[Procedure Start Date and Time]],1)</f>
        <v>0.34027777778101154</v>
      </c>
      <c r="H734">
        <v>3</v>
      </c>
      <c r="I734" t="s">
        <v>6</v>
      </c>
      <c r="J734" t="s">
        <v>10</v>
      </c>
      <c r="K734" t="s">
        <v>27</v>
      </c>
      <c r="L734">
        <v>69</v>
      </c>
      <c r="M734">
        <v>2.35</v>
      </c>
      <c r="N734">
        <v>2.57</v>
      </c>
      <c r="O734" t="s">
        <v>15</v>
      </c>
      <c r="P734">
        <v>168</v>
      </c>
      <c r="Q734">
        <v>152</v>
      </c>
      <c r="R734">
        <v>61</v>
      </c>
      <c r="S734">
        <v>55</v>
      </c>
      <c r="T734" t="s">
        <v>48</v>
      </c>
      <c r="U734">
        <f>IF(Cardiac_Table[[#This Row],[Patient Status at Discharge]]="Died", 1,0)</f>
        <v>0</v>
      </c>
      <c r="V734">
        <f>Cardiac_Table[[#This Row],[Risk of Death % (Model 1)]]/100</f>
        <v>2.35E-2</v>
      </c>
      <c r="W734">
        <f>Cardiac_Table[[#This Row],[Risk of Death % (Model 2)]]/100</f>
        <v>2.5699999999999997E-2</v>
      </c>
      <c r="X734" s="18">
        <f>Cardiac_Table[[#This Row],[Procedure Start Date and Time]]-Cardiac_Table[[#This Row],[Hospital Admit Date ]]</f>
        <v>1.8895833333372138</v>
      </c>
    </row>
    <row r="735" spans="1:24" x14ac:dyDescent="0.35">
      <c r="A735">
        <v>743</v>
      </c>
      <c r="B735" s="9">
        <v>44060.659722222219</v>
      </c>
      <c r="C735" s="10">
        <f>INT(Cardiac_Table[[#This Row],[Hospital Admit Date ]])</f>
        <v>44060</v>
      </c>
      <c r="D735" s="11" t="str">
        <f t="shared" si="11"/>
        <v>15:50</v>
      </c>
      <c r="E735" s="9">
        <v>44061.341666666667</v>
      </c>
      <c r="F735" s="10">
        <f>INT(Cardiac_Table[[#This Row],[Procedure Start Date and Time]])</f>
        <v>44061</v>
      </c>
      <c r="G735" s="12">
        <f>MOD(Cardiac_Table[[#This Row],[Procedure Start Date and Time]],1)</f>
        <v>0.34166666666715173</v>
      </c>
      <c r="H735">
        <v>6</v>
      </c>
      <c r="I735" t="s">
        <v>4</v>
      </c>
      <c r="J735" t="s">
        <v>3</v>
      </c>
      <c r="K735" t="s">
        <v>26</v>
      </c>
      <c r="L735">
        <v>79</v>
      </c>
      <c r="M735">
        <v>8.1</v>
      </c>
      <c r="N735">
        <v>2.68</v>
      </c>
      <c r="O735" t="s">
        <v>15</v>
      </c>
      <c r="P735">
        <v>61</v>
      </c>
      <c r="Q735">
        <v>169</v>
      </c>
      <c r="R735">
        <v>81</v>
      </c>
      <c r="S735">
        <v>52</v>
      </c>
      <c r="T735" t="s">
        <v>48</v>
      </c>
      <c r="U735">
        <f>IF(Cardiac_Table[[#This Row],[Patient Status at Discharge]]="Died", 1,0)</f>
        <v>0</v>
      </c>
      <c r="V735">
        <f>Cardiac_Table[[#This Row],[Risk of Death % (Model 1)]]/100</f>
        <v>8.1000000000000003E-2</v>
      </c>
      <c r="W735">
        <f>Cardiac_Table[[#This Row],[Risk of Death % (Model 2)]]/100</f>
        <v>2.6800000000000001E-2</v>
      </c>
      <c r="X735" s="18">
        <f>Cardiac_Table[[#This Row],[Procedure Start Date and Time]]-Cardiac_Table[[#This Row],[Hospital Admit Date ]]</f>
        <v>0.68194444444816327</v>
      </c>
    </row>
    <row r="736" spans="1:24" x14ac:dyDescent="0.35">
      <c r="A736">
        <v>744</v>
      </c>
      <c r="B736" s="9">
        <v>44059.583333333336</v>
      </c>
      <c r="C736" s="10">
        <f>INT(Cardiac_Table[[#This Row],[Hospital Admit Date ]])</f>
        <v>44059</v>
      </c>
      <c r="D736" s="11" t="str">
        <f t="shared" si="11"/>
        <v>14:00</v>
      </c>
      <c r="E736" s="9">
        <v>44061.349305555559</v>
      </c>
      <c r="F736" s="10">
        <f>INT(Cardiac_Table[[#This Row],[Procedure Start Date and Time]])</f>
        <v>44061</v>
      </c>
      <c r="G736" s="12">
        <f>MOD(Cardiac_Table[[#This Row],[Procedure Start Date and Time]],1)</f>
        <v>0.34930555555911269</v>
      </c>
      <c r="H736">
        <v>4</v>
      </c>
      <c r="I736" t="s">
        <v>6</v>
      </c>
      <c r="J736" t="s">
        <v>3</v>
      </c>
      <c r="K736" t="s">
        <v>35</v>
      </c>
      <c r="L736">
        <v>64</v>
      </c>
      <c r="M736">
        <v>2.09</v>
      </c>
      <c r="N736">
        <v>0.77</v>
      </c>
      <c r="O736" t="s">
        <v>15</v>
      </c>
      <c r="P736">
        <v>86</v>
      </c>
      <c r="Q736">
        <v>171</v>
      </c>
      <c r="R736">
        <v>72</v>
      </c>
      <c r="S736">
        <v>55</v>
      </c>
      <c r="T736" t="s">
        <v>48</v>
      </c>
      <c r="U736">
        <f>IF(Cardiac_Table[[#This Row],[Patient Status at Discharge]]="Died", 1,0)</f>
        <v>0</v>
      </c>
      <c r="V736">
        <f>Cardiac_Table[[#This Row],[Risk of Death % (Model 1)]]/100</f>
        <v>2.0899999999999998E-2</v>
      </c>
      <c r="W736">
        <f>Cardiac_Table[[#This Row],[Risk of Death % (Model 2)]]/100</f>
        <v>7.7000000000000002E-3</v>
      </c>
      <c r="X736" s="18">
        <f>Cardiac_Table[[#This Row],[Procedure Start Date and Time]]-Cardiac_Table[[#This Row],[Hospital Admit Date ]]</f>
        <v>1.765972222223354</v>
      </c>
    </row>
    <row r="737" spans="1:24" x14ac:dyDescent="0.35">
      <c r="A737">
        <v>745</v>
      </c>
      <c r="B737" s="9">
        <v>44061.291666666664</v>
      </c>
      <c r="C737" s="10">
        <f>INT(Cardiac_Table[[#This Row],[Hospital Admit Date ]])</f>
        <v>44061</v>
      </c>
      <c r="D737" s="11" t="str">
        <f t="shared" si="11"/>
        <v>07:00</v>
      </c>
      <c r="E737" s="9">
        <v>44061.534722222219</v>
      </c>
      <c r="F737" s="10">
        <f>INT(Cardiac_Table[[#This Row],[Procedure Start Date and Time]])</f>
        <v>44061</v>
      </c>
      <c r="G737" s="12">
        <f>MOD(Cardiac_Table[[#This Row],[Procedure Start Date and Time]],1)</f>
        <v>0.53472222221898846</v>
      </c>
      <c r="H737">
        <v>5</v>
      </c>
      <c r="I737" t="s">
        <v>4</v>
      </c>
      <c r="J737" t="s">
        <v>11</v>
      </c>
      <c r="K737" t="s">
        <v>29</v>
      </c>
      <c r="L737">
        <v>78</v>
      </c>
      <c r="M737">
        <v>9.4600000000000009</v>
      </c>
      <c r="N737">
        <v>4.17</v>
      </c>
      <c r="O737" t="s">
        <v>15</v>
      </c>
      <c r="P737">
        <v>167</v>
      </c>
      <c r="Q737">
        <v>164</v>
      </c>
      <c r="R737">
        <v>89</v>
      </c>
      <c r="S737">
        <v>45</v>
      </c>
      <c r="T737" t="s">
        <v>50</v>
      </c>
      <c r="U737">
        <f>IF(Cardiac_Table[[#This Row],[Patient Status at Discharge]]="Died", 1,0)</f>
        <v>0</v>
      </c>
      <c r="V737">
        <f>Cardiac_Table[[#This Row],[Risk of Death % (Model 1)]]/100</f>
        <v>9.4600000000000004E-2</v>
      </c>
      <c r="W737">
        <f>Cardiac_Table[[#This Row],[Risk of Death % (Model 2)]]/100</f>
        <v>4.1700000000000001E-2</v>
      </c>
      <c r="X737" s="18">
        <f>Cardiac_Table[[#This Row],[Procedure Start Date and Time]]-Cardiac_Table[[#This Row],[Hospital Admit Date ]]</f>
        <v>0.24305555555474712</v>
      </c>
    </row>
    <row r="738" spans="1:24" x14ac:dyDescent="0.35">
      <c r="A738">
        <v>746</v>
      </c>
      <c r="B738" s="9">
        <v>44061.291666666664</v>
      </c>
      <c r="C738" s="10">
        <f>INT(Cardiac_Table[[#This Row],[Hospital Admit Date ]])</f>
        <v>44061</v>
      </c>
      <c r="D738" s="11" t="str">
        <f t="shared" si="11"/>
        <v>07:00</v>
      </c>
      <c r="E738" s="9">
        <v>44061.5625</v>
      </c>
      <c r="F738" s="10">
        <f>INT(Cardiac_Table[[#This Row],[Procedure Start Date and Time]])</f>
        <v>44061</v>
      </c>
      <c r="G738" s="12">
        <f>MOD(Cardiac_Table[[#This Row],[Procedure Start Date and Time]],1)</f>
        <v>0.5625</v>
      </c>
      <c r="H738">
        <v>6</v>
      </c>
      <c r="I738" t="s">
        <v>4</v>
      </c>
      <c r="J738" t="s">
        <v>11</v>
      </c>
      <c r="K738" t="s">
        <v>26</v>
      </c>
      <c r="L738">
        <v>80</v>
      </c>
      <c r="M738">
        <v>7.94</v>
      </c>
      <c r="N738">
        <v>3.37</v>
      </c>
      <c r="O738" t="s">
        <v>15</v>
      </c>
      <c r="P738">
        <v>150</v>
      </c>
      <c r="Q738">
        <v>179</v>
      </c>
      <c r="R738">
        <v>102</v>
      </c>
      <c r="S738">
        <v>17</v>
      </c>
      <c r="T738" t="s">
        <v>51</v>
      </c>
      <c r="U738">
        <f>IF(Cardiac_Table[[#This Row],[Patient Status at Discharge]]="Died", 1,0)</f>
        <v>0</v>
      </c>
      <c r="V738">
        <f>Cardiac_Table[[#This Row],[Risk of Death % (Model 1)]]/100</f>
        <v>7.9399999999999998E-2</v>
      </c>
      <c r="W738">
        <f>Cardiac_Table[[#This Row],[Risk of Death % (Model 2)]]/100</f>
        <v>3.3700000000000001E-2</v>
      </c>
      <c r="X738" s="18">
        <f>Cardiac_Table[[#This Row],[Procedure Start Date and Time]]-Cardiac_Table[[#This Row],[Hospital Admit Date ]]</f>
        <v>0.27083333333575865</v>
      </c>
    </row>
    <row r="739" spans="1:24" x14ac:dyDescent="0.35">
      <c r="A739">
        <v>747</v>
      </c>
      <c r="B739" s="9">
        <v>44060.681944444441</v>
      </c>
      <c r="C739" s="10">
        <f>INT(Cardiac_Table[[#This Row],[Hospital Admit Date ]])</f>
        <v>44060</v>
      </c>
      <c r="D739" s="11" t="str">
        <f t="shared" si="11"/>
        <v>16:22</v>
      </c>
      <c r="E739" s="9">
        <v>44061.583333333336</v>
      </c>
      <c r="F739" s="10">
        <f>INT(Cardiac_Table[[#This Row],[Procedure Start Date and Time]])</f>
        <v>44061</v>
      </c>
      <c r="G739" s="12">
        <f>MOD(Cardiac_Table[[#This Row],[Procedure Start Date and Time]],1)</f>
        <v>0.58333333333575865</v>
      </c>
      <c r="H739">
        <v>4</v>
      </c>
      <c r="I739" t="s">
        <v>6</v>
      </c>
      <c r="J739" t="s">
        <v>10</v>
      </c>
      <c r="K739" t="s">
        <v>35</v>
      </c>
      <c r="L739">
        <v>69</v>
      </c>
      <c r="M739">
        <v>1.7</v>
      </c>
      <c r="N739">
        <v>0.88</v>
      </c>
      <c r="O739" t="s">
        <v>15</v>
      </c>
      <c r="P739">
        <v>86</v>
      </c>
      <c r="Q739">
        <v>181</v>
      </c>
      <c r="R739">
        <v>101</v>
      </c>
      <c r="S739">
        <v>55</v>
      </c>
      <c r="T739" t="s">
        <v>48</v>
      </c>
      <c r="U739">
        <f>IF(Cardiac_Table[[#This Row],[Patient Status at Discharge]]="Died", 1,0)</f>
        <v>0</v>
      </c>
      <c r="V739">
        <f>Cardiac_Table[[#This Row],[Risk of Death % (Model 1)]]/100</f>
        <v>1.7000000000000001E-2</v>
      </c>
      <c r="W739">
        <f>Cardiac_Table[[#This Row],[Risk of Death % (Model 2)]]/100</f>
        <v>8.8000000000000005E-3</v>
      </c>
      <c r="X739" s="18">
        <f>Cardiac_Table[[#This Row],[Procedure Start Date and Time]]-Cardiac_Table[[#This Row],[Hospital Admit Date ]]</f>
        <v>0.90138888889487134</v>
      </c>
    </row>
    <row r="740" spans="1:24" x14ac:dyDescent="0.35">
      <c r="A740">
        <v>748</v>
      </c>
      <c r="B740" s="9">
        <v>44061.675000000003</v>
      </c>
      <c r="C740" s="10">
        <f>INT(Cardiac_Table[[#This Row],[Hospital Admit Date ]])</f>
        <v>44061</v>
      </c>
      <c r="D740" s="11" t="str">
        <f t="shared" si="11"/>
        <v>16:12</v>
      </c>
      <c r="E740" s="9">
        <v>44062.340277777781</v>
      </c>
      <c r="F740" s="10">
        <f>INT(Cardiac_Table[[#This Row],[Procedure Start Date and Time]])</f>
        <v>44062</v>
      </c>
      <c r="G740" s="12">
        <f>MOD(Cardiac_Table[[#This Row],[Procedure Start Date and Time]],1)</f>
        <v>0.34027777778101154</v>
      </c>
      <c r="H740">
        <v>4</v>
      </c>
      <c r="I740" t="s">
        <v>4</v>
      </c>
      <c r="J740" t="s">
        <v>10</v>
      </c>
      <c r="K740" t="s">
        <v>24</v>
      </c>
      <c r="L740">
        <v>73</v>
      </c>
      <c r="M740">
        <v>2.21</v>
      </c>
      <c r="N740">
        <v>2.9</v>
      </c>
      <c r="O740" t="s">
        <v>15</v>
      </c>
      <c r="P740">
        <v>92</v>
      </c>
      <c r="Q740">
        <v>144</v>
      </c>
      <c r="R740">
        <v>60</v>
      </c>
      <c r="S740">
        <v>65</v>
      </c>
      <c r="T740" t="s">
        <v>48</v>
      </c>
      <c r="U740">
        <f>IF(Cardiac_Table[[#This Row],[Patient Status at Discharge]]="Died", 1,0)</f>
        <v>0</v>
      </c>
      <c r="V740">
        <f>Cardiac_Table[[#This Row],[Risk of Death % (Model 1)]]/100</f>
        <v>2.2099999999999998E-2</v>
      </c>
      <c r="W740">
        <f>Cardiac_Table[[#This Row],[Risk of Death % (Model 2)]]/100</f>
        <v>2.8999999999999998E-2</v>
      </c>
      <c r="X740" s="18">
        <f>Cardiac_Table[[#This Row],[Procedure Start Date and Time]]-Cardiac_Table[[#This Row],[Hospital Admit Date ]]</f>
        <v>0.66527777777810115</v>
      </c>
    </row>
    <row r="741" spans="1:24" x14ac:dyDescent="0.35">
      <c r="A741">
        <v>749</v>
      </c>
      <c r="B741" s="9">
        <v>44060.429166666669</v>
      </c>
      <c r="C741" s="10">
        <f>INT(Cardiac_Table[[#This Row],[Hospital Admit Date ]])</f>
        <v>44060</v>
      </c>
      <c r="D741" s="11" t="str">
        <f t="shared" si="11"/>
        <v>10:18</v>
      </c>
      <c r="E741" s="9">
        <v>44062.340277777781</v>
      </c>
      <c r="F741" s="10">
        <f>INT(Cardiac_Table[[#This Row],[Procedure Start Date and Time]])</f>
        <v>44062</v>
      </c>
      <c r="G741" s="12">
        <f>MOD(Cardiac_Table[[#This Row],[Procedure Start Date and Time]],1)</f>
        <v>0.34027777778101154</v>
      </c>
      <c r="H741">
        <v>6</v>
      </c>
      <c r="I741" t="s">
        <v>6</v>
      </c>
      <c r="J741" t="s">
        <v>10</v>
      </c>
      <c r="K741" t="s">
        <v>29</v>
      </c>
      <c r="L741">
        <v>66</v>
      </c>
      <c r="M741">
        <v>2.11</v>
      </c>
      <c r="N741">
        <v>1.1100000000000001</v>
      </c>
      <c r="O741" t="s">
        <v>15</v>
      </c>
      <c r="P741">
        <v>134</v>
      </c>
      <c r="Q741">
        <v>178</v>
      </c>
      <c r="R741">
        <v>70</v>
      </c>
      <c r="S741">
        <v>55</v>
      </c>
      <c r="T741" t="s">
        <v>48</v>
      </c>
      <c r="U741">
        <f>IF(Cardiac_Table[[#This Row],[Patient Status at Discharge]]="Died", 1,0)</f>
        <v>0</v>
      </c>
      <c r="V741">
        <f>Cardiac_Table[[#This Row],[Risk of Death % (Model 1)]]/100</f>
        <v>2.1099999999999997E-2</v>
      </c>
      <c r="W741">
        <f>Cardiac_Table[[#This Row],[Risk of Death % (Model 2)]]/100</f>
        <v>1.11E-2</v>
      </c>
      <c r="X741" s="18">
        <f>Cardiac_Table[[#This Row],[Procedure Start Date and Time]]-Cardiac_Table[[#This Row],[Hospital Admit Date ]]</f>
        <v>1.9111111111124046</v>
      </c>
    </row>
    <row r="742" spans="1:24" x14ac:dyDescent="0.35">
      <c r="A742">
        <v>750</v>
      </c>
      <c r="B742" s="9">
        <v>44060.683333333334</v>
      </c>
      <c r="C742" s="10">
        <f>INT(Cardiac_Table[[#This Row],[Hospital Admit Date ]])</f>
        <v>44060</v>
      </c>
      <c r="D742" s="11" t="str">
        <f t="shared" si="11"/>
        <v>16:24</v>
      </c>
      <c r="E742" s="9">
        <v>44062.347222222219</v>
      </c>
      <c r="F742" s="10">
        <f>INT(Cardiac_Table[[#This Row],[Procedure Start Date and Time]])</f>
        <v>44062</v>
      </c>
      <c r="G742" s="12">
        <f>MOD(Cardiac_Table[[#This Row],[Procedure Start Date and Time]],1)</f>
        <v>0.34722222221898846</v>
      </c>
      <c r="H742">
        <v>2</v>
      </c>
      <c r="I742" t="s">
        <v>6</v>
      </c>
      <c r="J742" t="s">
        <v>11</v>
      </c>
      <c r="K742" t="s">
        <v>30</v>
      </c>
      <c r="L742">
        <v>72</v>
      </c>
      <c r="M742">
        <v>10.75</v>
      </c>
      <c r="N742">
        <v>4.93</v>
      </c>
      <c r="O742" t="s">
        <v>15</v>
      </c>
      <c r="P742">
        <v>95</v>
      </c>
      <c r="Q742">
        <v>170</v>
      </c>
      <c r="R742">
        <v>87</v>
      </c>
      <c r="S742">
        <v>54</v>
      </c>
      <c r="T742" t="s">
        <v>48</v>
      </c>
      <c r="U742">
        <f>IF(Cardiac_Table[[#This Row],[Patient Status at Discharge]]="Died", 1,0)</f>
        <v>0</v>
      </c>
      <c r="V742">
        <f>Cardiac_Table[[#This Row],[Risk of Death % (Model 1)]]/100</f>
        <v>0.1075</v>
      </c>
      <c r="W742">
        <f>Cardiac_Table[[#This Row],[Risk of Death % (Model 2)]]/100</f>
        <v>4.9299999999999997E-2</v>
      </c>
      <c r="X742" s="18">
        <f>Cardiac_Table[[#This Row],[Procedure Start Date and Time]]-Cardiac_Table[[#This Row],[Hospital Admit Date ]]</f>
        <v>1.663888888884685</v>
      </c>
    </row>
    <row r="743" spans="1:24" x14ac:dyDescent="0.35">
      <c r="A743">
        <v>751</v>
      </c>
      <c r="B743" s="9">
        <v>44061.655555555553</v>
      </c>
      <c r="C743" s="10">
        <f>INT(Cardiac_Table[[#This Row],[Hospital Admit Date ]])</f>
        <v>44061</v>
      </c>
      <c r="D743" s="11" t="str">
        <f t="shared" si="11"/>
        <v>15:44</v>
      </c>
      <c r="E743" s="9">
        <v>44062.369444444441</v>
      </c>
      <c r="F743" s="10">
        <f>INT(Cardiac_Table[[#This Row],[Procedure Start Date and Time]])</f>
        <v>44062</v>
      </c>
      <c r="G743" s="12">
        <f>MOD(Cardiac_Table[[#This Row],[Procedure Start Date and Time]],1)</f>
        <v>0.36944444444088731</v>
      </c>
      <c r="H743">
        <v>5</v>
      </c>
      <c r="I743" t="s">
        <v>4</v>
      </c>
      <c r="J743" t="s">
        <v>3</v>
      </c>
      <c r="K743" t="s">
        <v>28</v>
      </c>
      <c r="L743">
        <v>76</v>
      </c>
      <c r="M743">
        <v>6.19</v>
      </c>
      <c r="N743">
        <v>1.77</v>
      </c>
      <c r="O743" t="s">
        <v>15</v>
      </c>
      <c r="P743">
        <v>104</v>
      </c>
      <c r="Q743">
        <v>176</v>
      </c>
      <c r="R743">
        <v>92</v>
      </c>
      <c r="S743">
        <v>43</v>
      </c>
      <c r="T743" t="s">
        <v>50</v>
      </c>
      <c r="U743">
        <f>IF(Cardiac_Table[[#This Row],[Patient Status at Discharge]]="Died", 1,0)</f>
        <v>0</v>
      </c>
      <c r="V743">
        <f>Cardiac_Table[[#This Row],[Risk of Death % (Model 1)]]/100</f>
        <v>6.1900000000000004E-2</v>
      </c>
      <c r="W743">
        <f>Cardiac_Table[[#This Row],[Risk of Death % (Model 2)]]/100</f>
        <v>1.77E-2</v>
      </c>
      <c r="X743" s="18">
        <f>Cardiac_Table[[#This Row],[Procedure Start Date and Time]]-Cardiac_Table[[#This Row],[Hospital Admit Date ]]</f>
        <v>0.71388888888759539</v>
      </c>
    </row>
    <row r="744" spans="1:24" x14ac:dyDescent="0.35">
      <c r="A744">
        <v>752</v>
      </c>
      <c r="B744" s="9">
        <v>44062.769444444442</v>
      </c>
      <c r="C744" s="10">
        <f>INT(Cardiac_Table[[#This Row],[Hospital Admit Date ]])</f>
        <v>44062</v>
      </c>
      <c r="D744" s="11" t="str">
        <f t="shared" si="11"/>
        <v>18:28</v>
      </c>
      <c r="E744" s="9">
        <v>44063.341666666667</v>
      </c>
      <c r="F744" s="10">
        <f>INT(Cardiac_Table[[#This Row],[Procedure Start Date and Time]])</f>
        <v>44063</v>
      </c>
      <c r="G744" s="12">
        <f>MOD(Cardiac_Table[[#This Row],[Procedure Start Date and Time]],1)</f>
        <v>0.34166666666715173</v>
      </c>
      <c r="H744">
        <v>6</v>
      </c>
      <c r="I744" t="s">
        <v>4</v>
      </c>
      <c r="J744" t="s">
        <v>3</v>
      </c>
      <c r="K744" t="s">
        <v>29</v>
      </c>
      <c r="L744">
        <v>81</v>
      </c>
      <c r="M744">
        <v>8.07</v>
      </c>
      <c r="N744">
        <v>1.5</v>
      </c>
      <c r="O744" t="s">
        <v>15</v>
      </c>
      <c r="P744">
        <v>76</v>
      </c>
      <c r="Q744">
        <v>171</v>
      </c>
      <c r="R744">
        <v>86</v>
      </c>
      <c r="S744">
        <v>58</v>
      </c>
      <c r="T744" t="s">
        <v>48</v>
      </c>
      <c r="U744">
        <f>IF(Cardiac_Table[[#This Row],[Patient Status at Discharge]]="Died", 1,0)</f>
        <v>0</v>
      </c>
      <c r="V744">
        <f>Cardiac_Table[[#This Row],[Risk of Death % (Model 1)]]/100</f>
        <v>8.0700000000000008E-2</v>
      </c>
      <c r="W744">
        <f>Cardiac_Table[[#This Row],[Risk of Death % (Model 2)]]/100</f>
        <v>1.4999999999999999E-2</v>
      </c>
      <c r="X744" s="18">
        <f>Cardiac_Table[[#This Row],[Procedure Start Date and Time]]-Cardiac_Table[[#This Row],[Hospital Admit Date ]]</f>
        <v>0.57222222222480923</v>
      </c>
    </row>
    <row r="745" spans="1:24" x14ac:dyDescent="0.35">
      <c r="A745">
        <v>753</v>
      </c>
      <c r="B745" s="9">
        <v>44062.666666666664</v>
      </c>
      <c r="C745" s="10">
        <f>INT(Cardiac_Table[[#This Row],[Hospital Admit Date ]])</f>
        <v>44062</v>
      </c>
      <c r="D745" s="11" t="str">
        <f t="shared" si="11"/>
        <v>16:00</v>
      </c>
      <c r="E745" s="9">
        <v>44063.34375</v>
      </c>
      <c r="F745" s="10">
        <f>INT(Cardiac_Table[[#This Row],[Procedure Start Date and Time]])</f>
        <v>44063</v>
      </c>
      <c r="G745" s="12">
        <f>MOD(Cardiac_Table[[#This Row],[Procedure Start Date and Time]],1)</f>
        <v>0.34375</v>
      </c>
      <c r="H745">
        <v>4</v>
      </c>
      <c r="I745" t="s">
        <v>4</v>
      </c>
      <c r="J745" t="s">
        <v>11</v>
      </c>
      <c r="K745" t="s">
        <v>24</v>
      </c>
      <c r="L745">
        <v>70</v>
      </c>
      <c r="M745">
        <v>5.78</v>
      </c>
      <c r="N745">
        <v>2.59</v>
      </c>
      <c r="O745" t="s">
        <v>15</v>
      </c>
      <c r="P745">
        <v>84</v>
      </c>
      <c r="Q745">
        <v>168</v>
      </c>
      <c r="R745">
        <v>64</v>
      </c>
      <c r="S745">
        <v>40</v>
      </c>
      <c r="T745" t="s">
        <v>50</v>
      </c>
      <c r="U745">
        <f>IF(Cardiac_Table[[#This Row],[Patient Status at Discharge]]="Died", 1,0)</f>
        <v>0</v>
      </c>
      <c r="V745">
        <f>Cardiac_Table[[#This Row],[Risk of Death % (Model 1)]]/100</f>
        <v>5.7800000000000004E-2</v>
      </c>
      <c r="W745">
        <f>Cardiac_Table[[#This Row],[Risk of Death % (Model 2)]]/100</f>
        <v>2.5899999999999999E-2</v>
      </c>
      <c r="X745" s="18">
        <f>Cardiac_Table[[#This Row],[Procedure Start Date and Time]]-Cardiac_Table[[#This Row],[Hospital Admit Date ]]</f>
        <v>0.67708333333575865</v>
      </c>
    </row>
    <row r="746" spans="1:24" x14ac:dyDescent="0.35">
      <c r="A746">
        <v>754</v>
      </c>
      <c r="B746" s="9">
        <v>44062.753472222219</v>
      </c>
      <c r="C746" s="10">
        <f>INT(Cardiac_Table[[#This Row],[Hospital Admit Date ]])</f>
        <v>44062</v>
      </c>
      <c r="D746" s="11" t="str">
        <f t="shared" si="11"/>
        <v>18:05</v>
      </c>
      <c r="E746" s="9">
        <v>44063.34652777778</v>
      </c>
      <c r="F746" s="10">
        <f>INT(Cardiac_Table[[#This Row],[Procedure Start Date and Time]])</f>
        <v>44063</v>
      </c>
      <c r="G746" s="12">
        <f>MOD(Cardiac_Table[[#This Row],[Procedure Start Date and Time]],1)</f>
        <v>0.34652777777955635</v>
      </c>
      <c r="H746">
        <v>5</v>
      </c>
      <c r="I746" t="s">
        <v>4</v>
      </c>
      <c r="J746" t="s">
        <v>10</v>
      </c>
      <c r="K746" t="s">
        <v>23</v>
      </c>
      <c r="L746">
        <v>69</v>
      </c>
      <c r="M746">
        <v>2.35</v>
      </c>
      <c r="N746">
        <v>0.81</v>
      </c>
      <c r="O746" t="s">
        <v>15</v>
      </c>
      <c r="P746">
        <v>113</v>
      </c>
      <c r="Q746">
        <v>159</v>
      </c>
      <c r="R746">
        <v>74</v>
      </c>
      <c r="S746">
        <v>55</v>
      </c>
      <c r="T746" t="s">
        <v>48</v>
      </c>
      <c r="U746">
        <f>IF(Cardiac_Table[[#This Row],[Patient Status at Discharge]]="Died", 1,0)</f>
        <v>0</v>
      </c>
      <c r="V746">
        <f>Cardiac_Table[[#This Row],[Risk of Death % (Model 1)]]/100</f>
        <v>2.35E-2</v>
      </c>
      <c r="W746">
        <f>Cardiac_Table[[#This Row],[Risk of Death % (Model 2)]]/100</f>
        <v>8.1000000000000013E-3</v>
      </c>
      <c r="X746" s="18">
        <f>Cardiac_Table[[#This Row],[Procedure Start Date and Time]]-Cardiac_Table[[#This Row],[Hospital Admit Date ]]</f>
        <v>0.59305555556056788</v>
      </c>
    </row>
    <row r="747" spans="1:24" x14ac:dyDescent="0.35">
      <c r="A747">
        <v>756</v>
      </c>
      <c r="B747" s="9">
        <v>44063.286805555559</v>
      </c>
      <c r="C747" s="10">
        <f>INT(Cardiac_Table[[#This Row],[Hospital Admit Date ]])</f>
        <v>44063</v>
      </c>
      <c r="D747" s="11" t="str">
        <f t="shared" si="11"/>
        <v>06:53</v>
      </c>
      <c r="E747" s="9">
        <v>44063.585416666669</v>
      </c>
      <c r="F747" s="10">
        <f>INT(Cardiac_Table[[#This Row],[Procedure Start Date and Time]])</f>
        <v>44063</v>
      </c>
      <c r="G747" s="12">
        <f>MOD(Cardiac_Table[[#This Row],[Procedure Start Date and Time]],1)</f>
        <v>0.58541666666860692</v>
      </c>
      <c r="H747">
        <v>5</v>
      </c>
      <c r="I747" t="s">
        <v>4</v>
      </c>
      <c r="J747" t="s">
        <v>1</v>
      </c>
      <c r="K747" t="s">
        <v>23</v>
      </c>
      <c r="L747">
        <v>86</v>
      </c>
      <c r="M747">
        <v>29.08</v>
      </c>
      <c r="N747">
        <v>6.24</v>
      </c>
      <c r="O747" t="s">
        <v>15</v>
      </c>
      <c r="P747">
        <v>123</v>
      </c>
      <c r="Q747">
        <v>175</v>
      </c>
      <c r="R747">
        <v>78</v>
      </c>
      <c r="S747">
        <v>25</v>
      </c>
      <c r="T747" t="s">
        <v>49</v>
      </c>
      <c r="U747">
        <f>IF(Cardiac_Table[[#This Row],[Patient Status at Discharge]]="Died", 1,0)</f>
        <v>0</v>
      </c>
      <c r="V747">
        <f>Cardiac_Table[[#This Row],[Risk of Death % (Model 1)]]/100</f>
        <v>0.2908</v>
      </c>
      <c r="W747">
        <f>Cardiac_Table[[#This Row],[Risk of Death % (Model 2)]]/100</f>
        <v>6.2400000000000004E-2</v>
      </c>
      <c r="X747" s="18">
        <f>Cardiac_Table[[#This Row],[Procedure Start Date and Time]]-Cardiac_Table[[#This Row],[Hospital Admit Date ]]</f>
        <v>0.29861111110949423</v>
      </c>
    </row>
    <row r="748" spans="1:24" x14ac:dyDescent="0.35">
      <c r="A748">
        <v>757</v>
      </c>
      <c r="B748" s="9">
        <v>44063.662499999999</v>
      </c>
      <c r="C748" s="10">
        <f>INT(Cardiac_Table[[#This Row],[Hospital Admit Date ]])</f>
        <v>44063</v>
      </c>
      <c r="D748" s="11" t="str">
        <f t="shared" si="11"/>
        <v>15:54</v>
      </c>
      <c r="E748" s="9">
        <v>44064.341666666667</v>
      </c>
      <c r="F748" s="10">
        <f>INT(Cardiac_Table[[#This Row],[Procedure Start Date and Time]])</f>
        <v>44064</v>
      </c>
      <c r="G748" s="12">
        <f>MOD(Cardiac_Table[[#This Row],[Procedure Start Date and Time]],1)</f>
        <v>0.34166666666715173</v>
      </c>
      <c r="H748">
        <v>4</v>
      </c>
      <c r="I748" t="s">
        <v>4</v>
      </c>
      <c r="J748" t="s">
        <v>3</v>
      </c>
      <c r="K748" t="s">
        <v>35</v>
      </c>
      <c r="L748">
        <v>82</v>
      </c>
      <c r="M748">
        <v>17.45</v>
      </c>
      <c r="N748">
        <v>7.31</v>
      </c>
      <c r="O748" t="s">
        <v>15</v>
      </c>
      <c r="P748">
        <v>83</v>
      </c>
      <c r="Q748">
        <v>160</v>
      </c>
      <c r="R748">
        <v>72</v>
      </c>
      <c r="S748">
        <v>33</v>
      </c>
      <c r="T748" t="s">
        <v>50</v>
      </c>
      <c r="U748">
        <f>IF(Cardiac_Table[[#This Row],[Patient Status at Discharge]]="Died", 1,0)</f>
        <v>0</v>
      </c>
      <c r="V748">
        <f>Cardiac_Table[[#This Row],[Risk of Death % (Model 1)]]/100</f>
        <v>0.17449999999999999</v>
      </c>
      <c r="W748">
        <f>Cardiac_Table[[#This Row],[Risk of Death % (Model 2)]]/100</f>
        <v>7.3099999999999998E-2</v>
      </c>
      <c r="X748" s="18">
        <f>Cardiac_Table[[#This Row],[Procedure Start Date and Time]]-Cardiac_Table[[#This Row],[Hospital Admit Date ]]</f>
        <v>0.67916666666860692</v>
      </c>
    </row>
    <row r="749" spans="1:24" x14ac:dyDescent="0.35">
      <c r="A749">
        <v>758</v>
      </c>
      <c r="B749" s="9">
        <v>44060.545138888891</v>
      </c>
      <c r="C749" s="10">
        <f>INT(Cardiac_Table[[#This Row],[Hospital Admit Date ]])</f>
        <v>44060</v>
      </c>
      <c r="D749" s="11" t="str">
        <f t="shared" si="11"/>
        <v>13:05</v>
      </c>
      <c r="E749" s="9">
        <v>44064.34375</v>
      </c>
      <c r="F749" s="10">
        <f>INT(Cardiac_Table[[#This Row],[Procedure Start Date and Time]])</f>
        <v>44064</v>
      </c>
      <c r="G749" s="12">
        <f>MOD(Cardiac_Table[[#This Row],[Procedure Start Date and Time]],1)</f>
        <v>0.34375</v>
      </c>
      <c r="H749">
        <v>5</v>
      </c>
      <c r="I749" t="s">
        <v>4</v>
      </c>
      <c r="J749" t="s">
        <v>10</v>
      </c>
      <c r="K749" t="s">
        <v>27</v>
      </c>
      <c r="L749">
        <v>74</v>
      </c>
      <c r="M749">
        <v>2.36</v>
      </c>
      <c r="N749">
        <v>0.83</v>
      </c>
      <c r="O749" t="s">
        <v>15</v>
      </c>
      <c r="P749">
        <v>117</v>
      </c>
      <c r="Q749">
        <v>178</v>
      </c>
      <c r="R749">
        <v>115</v>
      </c>
      <c r="S749">
        <v>17</v>
      </c>
      <c r="T749" t="s">
        <v>51</v>
      </c>
      <c r="U749">
        <f>IF(Cardiac_Table[[#This Row],[Patient Status at Discharge]]="Died", 1,0)</f>
        <v>0</v>
      </c>
      <c r="V749">
        <f>Cardiac_Table[[#This Row],[Risk of Death % (Model 1)]]/100</f>
        <v>2.3599999999999999E-2</v>
      </c>
      <c r="W749">
        <f>Cardiac_Table[[#This Row],[Risk of Death % (Model 2)]]/100</f>
        <v>8.3000000000000001E-3</v>
      </c>
      <c r="X749" s="18">
        <f>Cardiac_Table[[#This Row],[Procedure Start Date and Time]]-Cardiac_Table[[#This Row],[Hospital Admit Date ]]</f>
        <v>3.7986111111094942</v>
      </c>
    </row>
    <row r="750" spans="1:24" x14ac:dyDescent="0.35">
      <c r="A750">
        <v>759</v>
      </c>
      <c r="B750" s="9">
        <v>44055.708333333336</v>
      </c>
      <c r="C750" s="10">
        <f>INT(Cardiac_Table[[#This Row],[Hospital Admit Date ]])</f>
        <v>44055</v>
      </c>
      <c r="D750" s="11" t="str">
        <f t="shared" si="11"/>
        <v>17:00</v>
      </c>
      <c r="E750" s="9">
        <v>44064.559027777781</v>
      </c>
      <c r="F750" s="10">
        <f>INT(Cardiac_Table[[#This Row],[Procedure Start Date and Time]])</f>
        <v>44064</v>
      </c>
      <c r="G750" s="12">
        <f>MOD(Cardiac_Table[[#This Row],[Procedure Start Date and Time]],1)</f>
        <v>0.55902777778101154</v>
      </c>
      <c r="H750">
        <v>5</v>
      </c>
      <c r="I750" t="s">
        <v>6</v>
      </c>
      <c r="J750" t="s">
        <v>10</v>
      </c>
      <c r="K750" t="s">
        <v>27</v>
      </c>
      <c r="L750">
        <v>59</v>
      </c>
      <c r="M750">
        <v>1.51</v>
      </c>
      <c r="N750">
        <v>0.8</v>
      </c>
      <c r="O750" t="s">
        <v>15</v>
      </c>
      <c r="P750">
        <v>80</v>
      </c>
      <c r="Q750">
        <v>163</v>
      </c>
      <c r="R750">
        <v>66</v>
      </c>
      <c r="S750">
        <v>40</v>
      </c>
      <c r="T750" t="s">
        <v>50</v>
      </c>
      <c r="U750">
        <f>IF(Cardiac_Table[[#This Row],[Patient Status at Discharge]]="Died", 1,0)</f>
        <v>0</v>
      </c>
      <c r="V750">
        <f>Cardiac_Table[[#This Row],[Risk of Death % (Model 1)]]/100</f>
        <v>1.5100000000000001E-2</v>
      </c>
      <c r="W750">
        <f>Cardiac_Table[[#This Row],[Risk of Death % (Model 2)]]/100</f>
        <v>8.0000000000000002E-3</v>
      </c>
      <c r="X750" s="18">
        <f>Cardiac_Table[[#This Row],[Procedure Start Date and Time]]-Cardiac_Table[[#This Row],[Hospital Admit Date ]]</f>
        <v>8.8506944444452529</v>
      </c>
    </row>
    <row r="751" spans="1:24" x14ac:dyDescent="0.35">
      <c r="A751">
        <v>760</v>
      </c>
      <c r="B751" s="9">
        <v>44064.291666666664</v>
      </c>
      <c r="C751" s="10">
        <f>INT(Cardiac_Table[[#This Row],[Hospital Admit Date ]])</f>
        <v>44064</v>
      </c>
      <c r="D751" s="11" t="str">
        <f t="shared" si="11"/>
        <v>07:00</v>
      </c>
      <c r="E751" s="9">
        <v>44064.621527777781</v>
      </c>
      <c r="F751" s="10">
        <f>INT(Cardiac_Table[[#This Row],[Procedure Start Date and Time]])</f>
        <v>44064</v>
      </c>
      <c r="G751" s="12">
        <f>MOD(Cardiac_Table[[#This Row],[Procedure Start Date and Time]],1)</f>
        <v>0.62152777778101154</v>
      </c>
      <c r="H751">
        <v>4</v>
      </c>
      <c r="I751" t="s">
        <v>4</v>
      </c>
      <c r="J751" t="s">
        <v>3</v>
      </c>
      <c r="K751" t="s">
        <v>35</v>
      </c>
      <c r="L751">
        <v>64</v>
      </c>
      <c r="M751">
        <v>2.88</v>
      </c>
      <c r="N751">
        <v>1.05</v>
      </c>
      <c r="O751" t="s">
        <v>15</v>
      </c>
      <c r="P751">
        <v>76</v>
      </c>
      <c r="Q751">
        <v>152</v>
      </c>
      <c r="R751">
        <v>67</v>
      </c>
      <c r="S751">
        <v>40</v>
      </c>
      <c r="T751" t="s">
        <v>50</v>
      </c>
      <c r="U751">
        <f>IF(Cardiac_Table[[#This Row],[Patient Status at Discharge]]="Died", 1,0)</f>
        <v>0</v>
      </c>
      <c r="V751">
        <f>Cardiac_Table[[#This Row],[Risk of Death % (Model 1)]]/100</f>
        <v>2.8799999999999999E-2</v>
      </c>
      <c r="W751">
        <f>Cardiac_Table[[#This Row],[Risk of Death % (Model 2)]]/100</f>
        <v>1.0500000000000001E-2</v>
      </c>
      <c r="X751" s="18">
        <f>Cardiac_Table[[#This Row],[Procedure Start Date and Time]]-Cardiac_Table[[#This Row],[Hospital Admit Date ]]</f>
        <v>0.32986111111677019</v>
      </c>
    </row>
    <row r="752" spans="1:24" x14ac:dyDescent="0.35">
      <c r="A752">
        <v>761</v>
      </c>
      <c r="B752" s="9">
        <v>44064.583333333336</v>
      </c>
      <c r="C752" s="10">
        <f>INT(Cardiac_Table[[#This Row],[Hospital Admit Date ]])</f>
        <v>44064</v>
      </c>
      <c r="D752" s="11" t="str">
        <f t="shared" si="11"/>
        <v>14:00</v>
      </c>
      <c r="E752" s="9">
        <v>44065.336111111108</v>
      </c>
      <c r="F752" s="10">
        <f>INT(Cardiac_Table[[#This Row],[Procedure Start Date and Time]])</f>
        <v>44065</v>
      </c>
      <c r="G752" s="12">
        <f>MOD(Cardiac_Table[[#This Row],[Procedure Start Date and Time]],1)</f>
        <v>0.33611111110803904</v>
      </c>
      <c r="H752">
        <v>5</v>
      </c>
      <c r="I752" t="s">
        <v>4</v>
      </c>
      <c r="J752" t="s">
        <v>3</v>
      </c>
      <c r="K752" t="s">
        <v>35</v>
      </c>
      <c r="L752">
        <v>48</v>
      </c>
      <c r="M752">
        <v>2.08</v>
      </c>
      <c r="N752">
        <v>0.62</v>
      </c>
      <c r="O752" t="s">
        <v>15</v>
      </c>
      <c r="P752">
        <v>92</v>
      </c>
      <c r="Q752">
        <v>163</v>
      </c>
      <c r="R752">
        <v>95</v>
      </c>
      <c r="S752">
        <v>50</v>
      </c>
      <c r="T752" t="s">
        <v>50</v>
      </c>
      <c r="U752">
        <f>IF(Cardiac_Table[[#This Row],[Patient Status at Discharge]]="Died", 1,0)</f>
        <v>0</v>
      </c>
      <c r="V752">
        <f>Cardiac_Table[[#This Row],[Risk of Death % (Model 1)]]/100</f>
        <v>2.0799999999999999E-2</v>
      </c>
      <c r="W752">
        <f>Cardiac_Table[[#This Row],[Risk of Death % (Model 2)]]/100</f>
        <v>6.1999999999999998E-3</v>
      </c>
      <c r="X752" s="18">
        <f>Cardiac_Table[[#This Row],[Procedure Start Date and Time]]-Cardiac_Table[[#This Row],[Hospital Admit Date ]]</f>
        <v>0.75277777777228039</v>
      </c>
    </row>
    <row r="753" spans="1:24" x14ac:dyDescent="0.35">
      <c r="A753">
        <v>762</v>
      </c>
      <c r="B753" s="9">
        <v>44064.576388888891</v>
      </c>
      <c r="C753" s="10">
        <f>INT(Cardiac_Table[[#This Row],[Hospital Admit Date ]])</f>
        <v>44064</v>
      </c>
      <c r="D753" s="11" t="str">
        <f t="shared" si="11"/>
        <v>13:50</v>
      </c>
      <c r="E753" s="9">
        <v>44065.532638888886</v>
      </c>
      <c r="F753" s="10">
        <f>INT(Cardiac_Table[[#This Row],[Procedure Start Date and Time]])</f>
        <v>44065</v>
      </c>
      <c r="G753" s="12">
        <f>MOD(Cardiac_Table[[#This Row],[Procedure Start Date and Time]],1)</f>
        <v>0.53263888888614019</v>
      </c>
      <c r="H753">
        <v>5</v>
      </c>
      <c r="I753" t="s">
        <v>4</v>
      </c>
      <c r="J753" t="s">
        <v>11</v>
      </c>
      <c r="K753" t="s">
        <v>35</v>
      </c>
      <c r="L753">
        <v>78</v>
      </c>
      <c r="M753">
        <v>7.01</v>
      </c>
      <c r="N753">
        <v>1.78</v>
      </c>
      <c r="O753" t="s">
        <v>15</v>
      </c>
      <c r="P753">
        <v>62</v>
      </c>
      <c r="Q753">
        <v>177</v>
      </c>
      <c r="R753">
        <v>76</v>
      </c>
      <c r="S753">
        <v>63</v>
      </c>
      <c r="T753" t="s">
        <v>48</v>
      </c>
      <c r="U753">
        <f>IF(Cardiac_Table[[#This Row],[Patient Status at Discharge]]="Died", 1,0)</f>
        <v>0</v>
      </c>
      <c r="V753">
        <f>Cardiac_Table[[#This Row],[Risk of Death % (Model 1)]]/100</f>
        <v>7.0099999999999996E-2</v>
      </c>
      <c r="W753">
        <f>Cardiac_Table[[#This Row],[Risk of Death % (Model 2)]]/100</f>
        <v>1.78E-2</v>
      </c>
      <c r="X753" s="18">
        <f>Cardiac_Table[[#This Row],[Procedure Start Date and Time]]-Cardiac_Table[[#This Row],[Hospital Admit Date ]]</f>
        <v>0.95624999999563443</v>
      </c>
    </row>
    <row r="754" spans="1:24" x14ac:dyDescent="0.35">
      <c r="A754">
        <v>763</v>
      </c>
      <c r="B754" s="9">
        <v>44066.666666666664</v>
      </c>
      <c r="C754" s="10">
        <f>INT(Cardiac_Table[[#This Row],[Hospital Admit Date ]])</f>
        <v>44066</v>
      </c>
      <c r="D754" s="11" t="str">
        <f t="shared" si="11"/>
        <v>16:00</v>
      </c>
      <c r="E754" s="9">
        <v>44067.338888888888</v>
      </c>
      <c r="F754" s="10">
        <f>INT(Cardiac_Table[[#This Row],[Procedure Start Date and Time]])</f>
        <v>44067</v>
      </c>
      <c r="G754" s="12">
        <f>MOD(Cardiac_Table[[#This Row],[Procedure Start Date and Time]],1)</f>
        <v>0.33888888888759539</v>
      </c>
      <c r="H754">
        <v>4</v>
      </c>
      <c r="I754" t="s">
        <v>4</v>
      </c>
      <c r="J754" t="s">
        <v>3</v>
      </c>
      <c r="K754" t="s">
        <v>32</v>
      </c>
      <c r="L754">
        <v>77</v>
      </c>
      <c r="M754">
        <v>6.59</v>
      </c>
      <c r="N754">
        <v>2.31</v>
      </c>
      <c r="O754" t="s">
        <v>15</v>
      </c>
      <c r="P754">
        <v>95</v>
      </c>
      <c r="Q754">
        <v>175</v>
      </c>
      <c r="R754">
        <v>84</v>
      </c>
      <c r="S754">
        <v>54</v>
      </c>
      <c r="T754" t="s">
        <v>48</v>
      </c>
      <c r="U754">
        <f>IF(Cardiac_Table[[#This Row],[Patient Status at Discharge]]="Died", 1,0)</f>
        <v>0</v>
      </c>
      <c r="V754">
        <f>Cardiac_Table[[#This Row],[Risk of Death % (Model 1)]]/100</f>
        <v>6.59E-2</v>
      </c>
      <c r="W754">
        <f>Cardiac_Table[[#This Row],[Risk of Death % (Model 2)]]/100</f>
        <v>2.3099999999999999E-2</v>
      </c>
      <c r="X754" s="18">
        <f>Cardiac_Table[[#This Row],[Procedure Start Date and Time]]-Cardiac_Table[[#This Row],[Hospital Admit Date ]]</f>
        <v>0.67222222222335404</v>
      </c>
    </row>
    <row r="755" spans="1:24" x14ac:dyDescent="0.35">
      <c r="A755">
        <v>764</v>
      </c>
      <c r="B755" s="9">
        <v>44066.663194444445</v>
      </c>
      <c r="C755" s="10">
        <f>INT(Cardiac_Table[[#This Row],[Hospital Admit Date ]])</f>
        <v>44066</v>
      </c>
      <c r="D755" s="11" t="str">
        <f t="shared" si="11"/>
        <v>15:55</v>
      </c>
      <c r="E755" s="9">
        <v>44067.34097222222</v>
      </c>
      <c r="F755" s="10">
        <f>INT(Cardiac_Table[[#This Row],[Procedure Start Date and Time]])</f>
        <v>44067</v>
      </c>
      <c r="G755" s="12">
        <f>MOD(Cardiac_Table[[#This Row],[Procedure Start Date and Time]],1)</f>
        <v>0.34097222222044365</v>
      </c>
      <c r="H755">
        <v>3</v>
      </c>
      <c r="I755" t="s">
        <v>4</v>
      </c>
      <c r="J755" t="s">
        <v>3</v>
      </c>
      <c r="K755" t="s">
        <v>30</v>
      </c>
      <c r="L755">
        <v>62</v>
      </c>
      <c r="M755">
        <v>1.83</v>
      </c>
      <c r="N755">
        <v>0.59</v>
      </c>
      <c r="O755" t="s">
        <v>15</v>
      </c>
      <c r="P755">
        <v>112</v>
      </c>
      <c r="Q755">
        <v>167</v>
      </c>
      <c r="R755">
        <v>75</v>
      </c>
      <c r="S755">
        <v>55</v>
      </c>
      <c r="T755" t="s">
        <v>48</v>
      </c>
      <c r="U755">
        <f>IF(Cardiac_Table[[#This Row],[Patient Status at Discharge]]="Died", 1,0)</f>
        <v>0</v>
      </c>
      <c r="V755">
        <f>Cardiac_Table[[#This Row],[Risk of Death % (Model 1)]]/100</f>
        <v>1.83E-2</v>
      </c>
      <c r="W755">
        <f>Cardiac_Table[[#This Row],[Risk of Death % (Model 2)]]/100</f>
        <v>5.8999999999999999E-3</v>
      </c>
      <c r="X755" s="18">
        <f>Cardiac_Table[[#This Row],[Procedure Start Date and Time]]-Cardiac_Table[[#This Row],[Hospital Admit Date ]]</f>
        <v>0.67777777777519077</v>
      </c>
    </row>
    <row r="756" spans="1:24" x14ac:dyDescent="0.35">
      <c r="A756">
        <v>765</v>
      </c>
      <c r="B756" s="9">
        <v>44066.666666666664</v>
      </c>
      <c r="C756" s="10">
        <f>INT(Cardiac_Table[[#This Row],[Hospital Admit Date ]])</f>
        <v>44066</v>
      </c>
      <c r="D756" s="11" t="str">
        <f t="shared" si="11"/>
        <v>16:00</v>
      </c>
      <c r="E756" s="9">
        <v>44067.34097222222</v>
      </c>
      <c r="F756" s="10">
        <f>INT(Cardiac_Table[[#This Row],[Procedure Start Date and Time]])</f>
        <v>44067</v>
      </c>
      <c r="G756" s="12">
        <f>MOD(Cardiac_Table[[#This Row],[Procedure Start Date and Time]],1)</f>
        <v>0.34097222222044365</v>
      </c>
      <c r="H756">
        <v>2</v>
      </c>
      <c r="I756" t="s">
        <v>4</v>
      </c>
      <c r="J756" t="s">
        <v>11</v>
      </c>
      <c r="K756" t="s">
        <v>31</v>
      </c>
      <c r="L756">
        <v>81</v>
      </c>
      <c r="M756">
        <v>6.21</v>
      </c>
      <c r="N756">
        <v>2.33</v>
      </c>
      <c r="O756" t="s">
        <v>15</v>
      </c>
      <c r="P756">
        <v>93</v>
      </c>
      <c r="Q756">
        <v>151</v>
      </c>
      <c r="R756">
        <v>60</v>
      </c>
      <c r="S756">
        <v>45</v>
      </c>
      <c r="T756" t="s">
        <v>50</v>
      </c>
      <c r="U756">
        <f>IF(Cardiac_Table[[#This Row],[Patient Status at Discharge]]="Died", 1,0)</f>
        <v>0</v>
      </c>
      <c r="V756">
        <f>Cardiac_Table[[#This Row],[Risk of Death % (Model 1)]]/100</f>
        <v>6.2100000000000002E-2</v>
      </c>
      <c r="W756">
        <f>Cardiac_Table[[#This Row],[Risk of Death % (Model 2)]]/100</f>
        <v>2.3300000000000001E-2</v>
      </c>
      <c r="X756" s="18">
        <f>Cardiac_Table[[#This Row],[Procedure Start Date and Time]]-Cardiac_Table[[#This Row],[Hospital Admit Date ]]</f>
        <v>0.67430555555620231</v>
      </c>
    </row>
    <row r="757" spans="1:24" x14ac:dyDescent="0.35">
      <c r="A757">
        <v>766</v>
      </c>
      <c r="B757" s="9">
        <v>44066.666666666664</v>
      </c>
      <c r="C757" s="10">
        <f>INT(Cardiac_Table[[#This Row],[Hospital Admit Date ]])</f>
        <v>44066</v>
      </c>
      <c r="D757" s="11" t="str">
        <f t="shared" si="11"/>
        <v>16:00</v>
      </c>
      <c r="E757" s="9">
        <v>44067.342361111114</v>
      </c>
      <c r="F757" s="10">
        <f>INT(Cardiac_Table[[#This Row],[Procedure Start Date and Time]])</f>
        <v>44067</v>
      </c>
      <c r="G757" s="12">
        <f>MOD(Cardiac_Table[[#This Row],[Procedure Start Date and Time]],1)</f>
        <v>0.34236111111385981</v>
      </c>
      <c r="H757">
        <v>5</v>
      </c>
      <c r="I757" t="s">
        <v>4</v>
      </c>
      <c r="J757" t="s">
        <v>11</v>
      </c>
      <c r="K757" t="s">
        <v>29</v>
      </c>
      <c r="L757">
        <v>66</v>
      </c>
      <c r="M757">
        <v>6.64</v>
      </c>
      <c r="N757">
        <v>8.91</v>
      </c>
      <c r="O757" t="s">
        <v>15</v>
      </c>
      <c r="P757">
        <v>162</v>
      </c>
      <c r="Q757">
        <v>178</v>
      </c>
      <c r="R757">
        <v>70</v>
      </c>
      <c r="S757">
        <v>65</v>
      </c>
      <c r="T757" t="s">
        <v>48</v>
      </c>
      <c r="U757">
        <f>IF(Cardiac_Table[[#This Row],[Patient Status at Discharge]]="Died", 1,0)</f>
        <v>0</v>
      </c>
      <c r="V757">
        <f>Cardiac_Table[[#This Row],[Risk of Death % (Model 1)]]/100</f>
        <v>6.6400000000000001E-2</v>
      </c>
      <c r="W757">
        <f>Cardiac_Table[[#This Row],[Risk of Death % (Model 2)]]/100</f>
        <v>8.9099999999999999E-2</v>
      </c>
      <c r="X757" s="18">
        <f>Cardiac_Table[[#This Row],[Procedure Start Date and Time]]-Cardiac_Table[[#This Row],[Hospital Admit Date ]]</f>
        <v>0.67569444444961846</v>
      </c>
    </row>
    <row r="758" spans="1:24" x14ac:dyDescent="0.35">
      <c r="A758">
        <v>767</v>
      </c>
      <c r="B758" s="9">
        <v>44066.666666666664</v>
      </c>
      <c r="C758" s="10">
        <f>INT(Cardiac_Table[[#This Row],[Hospital Admit Date ]])</f>
        <v>44066</v>
      </c>
      <c r="D758" s="11" t="str">
        <f t="shared" si="11"/>
        <v>16:00</v>
      </c>
      <c r="E758" s="9">
        <v>44067.361111111109</v>
      </c>
      <c r="F758" s="10">
        <f>INT(Cardiac_Table[[#This Row],[Procedure Start Date and Time]])</f>
        <v>44067</v>
      </c>
      <c r="G758" s="12">
        <f>MOD(Cardiac_Table[[#This Row],[Procedure Start Date and Time]],1)</f>
        <v>0.36111111110949423</v>
      </c>
      <c r="H758">
        <v>6</v>
      </c>
      <c r="I758" t="s">
        <v>4</v>
      </c>
      <c r="J758" t="s">
        <v>11</v>
      </c>
      <c r="K758" t="s">
        <v>23</v>
      </c>
      <c r="L758">
        <v>68</v>
      </c>
      <c r="M758">
        <v>4.0599999999999996</v>
      </c>
      <c r="N758">
        <v>2.48</v>
      </c>
      <c r="O758" t="s">
        <v>15</v>
      </c>
      <c r="P758">
        <v>89</v>
      </c>
      <c r="Q758">
        <v>191</v>
      </c>
      <c r="R758">
        <v>99</v>
      </c>
      <c r="S758">
        <v>59</v>
      </c>
      <c r="T758" t="s">
        <v>48</v>
      </c>
      <c r="U758">
        <f>IF(Cardiac_Table[[#This Row],[Patient Status at Discharge]]="Died", 1,0)</f>
        <v>0</v>
      </c>
      <c r="V758">
        <f>Cardiac_Table[[#This Row],[Risk of Death % (Model 1)]]/100</f>
        <v>4.0599999999999997E-2</v>
      </c>
      <c r="W758">
        <f>Cardiac_Table[[#This Row],[Risk of Death % (Model 2)]]/100</f>
        <v>2.4799999999999999E-2</v>
      </c>
      <c r="X758" s="18">
        <f>Cardiac_Table[[#This Row],[Procedure Start Date and Time]]-Cardiac_Table[[#This Row],[Hospital Admit Date ]]</f>
        <v>0.69444444444525288</v>
      </c>
    </row>
    <row r="759" spans="1:24" x14ac:dyDescent="0.35">
      <c r="A759">
        <v>768</v>
      </c>
      <c r="B759" s="9">
        <v>44066.666666666664</v>
      </c>
      <c r="C759" s="10">
        <f>INT(Cardiac_Table[[#This Row],[Hospital Admit Date ]])</f>
        <v>44066</v>
      </c>
      <c r="D759" s="11" t="str">
        <f t="shared" si="11"/>
        <v>16:00</v>
      </c>
      <c r="E759" s="9">
        <v>44067.479166666664</v>
      </c>
      <c r="F759" s="10">
        <f>INT(Cardiac_Table[[#This Row],[Procedure Start Date and Time]])</f>
        <v>44067</v>
      </c>
      <c r="G759" s="12">
        <f>MOD(Cardiac_Table[[#This Row],[Procedure Start Date and Time]],1)</f>
        <v>0.47916666666424135</v>
      </c>
      <c r="H759">
        <v>4</v>
      </c>
      <c r="I759" t="s">
        <v>4</v>
      </c>
      <c r="J759" t="s">
        <v>11</v>
      </c>
      <c r="K759" t="s">
        <v>32</v>
      </c>
      <c r="L759">
        <v>47</v>
      </c>
      <c r="M759">
        <v>6.98</v>
      </c>
      <c r="N759">
        <v>4.3</v>
      </c>
      <c r="O759" t="s">
        <v>15</v>
      </c>
      <c r="P759">
        <v>66</v>
      </c>
      <c r="Q759">
        <v>180</v>
      </c>
      <c r="R759">
        <v>85</v>
      </c>
      <c r="S759">
        <v>30</v>
      </c>
      <c r="T759" t="s">
        <v>49</v>
      </c>
      <c r="U759">
        <f>IF(Cardiac_Table[[#This Row],[Patient Status at Discharge]]="Died", 1,0)</f>
        <v>0</v>
      </c>
      <c r="V759">
        <f>Cardiac_Table[[#This Row],[Risk of Death % (Model 1)]]/100</f>
        <v>6.9800000000000001E-2</v>
      </c>
      <c r="W759">
        <f>Cardiac_Table[[#This Row],[Risk of Death % (Model 2)]]/100</f>
        <v>4.2999999999999997E-2</v>
      </c>
      <c r="X759" s="18">
        <f>Cardiac_Table[[#This Row],[Procedure Start Date and Time]]-Cardiac_Table[[#This Row],[Hospital Admit Date ]]</f>
        <v>0.8125</v>
      </c>
    </row>
    <row r="760" spans="1:24" x14ac:dyDescent="0.35">
      <c r="A760">
        <v>769</v>
      </c>
      <c r="B760" s="9">
        <v>44064.666666666664</v>
      </c>
      <c r="C760" s="10">
        <f>INT(Cardiac_Table[[#This Row],[Hospital Admit Date ]])</f>
        <v>44064</v>
      </c>
      <c r="D760" s="11" t="str">
        <f t="shared" si="11"/>
        <v>16:00</v>
      </c>
      <c r="E760" s="9">
        <v>44067.510416666664</v>
      </c>
      <c r="F760" s="10">
        <f>INT(Cardiac_Table[[#This Row],[Procedure Start Date and Time]])</f>
        <v>44067</v>
      </c>
      <c r="G760" s="12">
        <f>MOD(Cardiac_Table[[#This Row],[Procedure Start Date and Time]],1)</f>
        <v>0.51041666666424135</v>
      </c>
      <c r="H760">
        <v>3</v>
      </c>
      <c r="I760" t="s">
        <v>6</v>
      </c>
      <c r="J760" t="s">
        <v>3</v>
      </c>
      <c r="K760" t="s">
        <v>30</v>
      </c>
      <c r="L760">
        <v>70</v>
      </c>
      <c r="M760">
        <v>35.56</v>
      </c>
      <c r="N760">
        <v>11.88</v>
      </c>
      <c r="O760" t="s">
        <v>15</v>
      </c>
      <c r="P760">
        <v>65</v>
      </c>
      <c r="Q760">
        <v>175</v>
      </c>
      <c r="R760">
        <v>89</v>
      </c>
      <c r="S760">
        <v>25</v>
      </c>
      <c r="T760" t="s">
        <v>49</v>
      </c>
      <c r="U760">
        <f>IF(Cardiac_Table[[#This Row],[Patient Status at Discharge]]="Died", 1,0)</f>
        <v>0</v>
      </c>
      <c r="V760">
        <f>Cardiac_Table[[#This Row],[Risk of Death % (Model 1)]]/100</f>
        <v>0.35560000000000003</v>
      </c>
      <c r="W760">
        <f>Cardiac_Table[[#This Row],[Risk of Death % (Model 2)]]/100</f>
        <v>0.1188</v>
      </c>
      <c r="X760" s="18">
        <f>Cardiac_Table[[#This Row],[Procedure Start Date and Time]]-Cardiac_Table[[#This Row],[Hospital Admit Date ]]</f>
        <v>2.84375</v>
      </c>
    </row>
    <row r="761" spans="1:24" x14ac:dyDescent="0.35">
      <c r="A761">
        <v>770</v>
      </c>
      <c r="B761" s="9">
        <v>44065.572916666664</v>
      </c>
      <c r="C761" s="10">
        <f>INT(Cardiac_Table[[#This Row],[Hospital Admit Date ]])</f>
        <v>44065</v>
      </c>
      <c r="D761" s="11" t="str">
        <f t="shared" si="11"/>
        <v>13:45</v>
      </c>
      <c r="E761" s="9">
        <v>44067.580555555556</v>
      </c>
      <c r="F761" s="10">
        <f>INT(Cardiac_Table[[#This Row],[Procedure Start Date and Time]])</f>
        <v>44067</v>
      </c>
      <c r="G761" s="12">
        <f>MOD(Cardiac_Table[[#This Row],[Procedure Start Date and Time]],1)</f>
        <v>0.58055555555620231</v>
      </c>
      <c r="H761">
        <v>2</v>
      </c>
      <c r="I761" t="s">
        <v>6</v>
      </c>
      <c r="J761" t="s">
        <v>11</v>
      </c>
      <c r="K761" t="s">
        <v>31</v>
      </c>
      <c r="L761">
        <v>82</v>
      </c>
      <c r="M761">
        <v>17.45</v>
      </c>
      <c r="N761">
        <v>7.92</v>
      </c>
      <c r="O761" t="s">
        <v>15</v>
      </c>
      <c r="P761">
        <v>86</v>
      </c>
      <c r="Q761">
        <v>178</v>
      </c>
      <c r="R761">
        <v>82</v>
      </c>
      <c r="S761">
        <v>30</v>
      </c>
      <c r="T761" t="s">
        <v>49</v>
      </c>
      <c r="U761">
        <f>IF(Cardiac_Table[[#This Row],[Patient Status at Discharge]]="Died", 1,0)</f>
        <v>0</v>
      </c>
      <c r="V761">
        <f>Cardiac_Table[[#This Row],[Risk of Death % (Model 1)]]/100</f>
        <v>0.17449999999999999</v>
      </c>
      <c r="W761">
        <f>Cardiac_Table[[#This Row],[Risk of Death % (Model 2)]]/100</f>
        <v>7.9199999999999993E-2</v>
      </c>
      <c r="X761" s="18">
        <f>Cardiac_Table[[#This Row],[Procedure Start Date and Time]]-Cardiac_Table[[#This Row],[Hospital Admit Date ]]</f>
        <v>2.007638888891961</v>
      </c>
    </row>
    <row r="762" spans="1:24" x14ac:dyDescent="0.35">
      <c r="A762">
        <v>771</v>
      </c>
      <c r="B762" s="9">
        <v>44067.288888888892</v>
      </c>
      <c r="C762" s="10">
        <f>INT(Cardiac_Table[[#This Row],[Hospital Admit Date ]])</f>
        <v>44067</v>
      </c>
      <c r="D762" s="11" t="str">
        <f t="shared" si="11"/>
        <v>06:56</v>
      </c>
      <c r="E762" s="9">
        <v>44067.649305555555</v>
      </c>
      <c r="F762" s="10">
        <f>INT(Cardiac_Table[[#This Row],[Procedure Start Date and Time]])</f>
        <v>44067</v>
      </c>
      <c r="G762" s="12">
        <f>MOD(Cardiac_Table[[#This Row],[Procedure Start Date and Time]],1)</f>
        <v>0.64930555555474712</v>
      </c>
      <c r="H762">
        <v>6</v>
      </c>
      <c r="I762" t="s">
        <v>4</v>
      </c>
      <c r="J762" t="s">
        <v>10</v>
      </c>
      <c r="K762" t="s">
        <v>23</v>
      </c>
      <c r="L762">
        <v>70</v>
      </c>
      <c r="M762">
        <v>2.74</v>
      </c>
      <c r="N762">
        <v>1.65</v>
      </c>
      <c r="O762" t="s">
        <v>15</v>
      </c>
      <c r="P762">
        <v>92</v>
      </c>
      <c r="Q762">
        <v>180</v>
      </c>
      <c r="R762">
        <v>94</v>
      </c>
      <c r="S762">
        <v>55</v>
      </c>
      <c r="T762" t="s">
        <v>48</v>
      </c>
      <c r="U762">
        <f>IF(Cardiac_Table[[#This Row],[Patient Status at Discharge]]="Died", 1,0)</f>
        <v>0</v>
      </c>
      <c r="V762">
        <f>Cardiac_Table[[#This Row],[Risk of Death % (Model 1)]]/100</f>
        <v>2.7400000000000001E-2</v>
      </c>
      <c r="W762">
        <f>Cardiac_Table[[#This Row],[Risk of Death % (Model 2)]]/100</f>
        <v>1.6500000000000001E-2</v>
      </c>
      <c r="X762" s="18">
        <f>Cardiac_Table[[#This Row],[Procedure Start Date and Time]]-Cardiac_Table[[#This Row],[Hospital Admit Date ]]</f>
        <v>0.36041666666278616</v>
      </c>
    </row>
    <row r="763" spans="1:24" x14ac:dyDescent="0.35">
      <c r="A763">
        <v>772</v>
      </c>
      <c r="B763" s="9">
        <v>44068.301388888889</v>
      </c>
      <c r="C763" s="10">
        <f>INT(Cardiac_Table[[#This Row],[Hospital Admit Date ]])</f>
        <v>44068</v>
      </c>
      <c r="D763" s="11" t="str">
        <f t="shared" si="11"/>
        <v>07:14</v>
      </c>
      <c r="E763" s="9">
        <v>44068.427083333336</v>
      </c>
      <c r="F763" s="10">
        <f>INT(Cardiac_Table[[#This Row],[Procedure Start Date and Time]])</f>
        <v>44068</v>
      </c>
      <c r="G763" s="12">
        <f>MOD(Cardiac_Table[[#This Row],[Procedure Start Date and Time]],1)</f>
        <v>0.42708333333575865</v>
      </c>
      <c r="H763">
        <v>3</v>
      </c>
      <c r="I763" t="s">
        <v>4</v>
      </c>
      <c r="J763" t="s">
        <v>3</v>
      </c>
      <c r="K763" t="s">
        <v>27</v>
      </c>
      <c r="L763">
        <v>73</v>
      </c>
      <c r="M763">
        <v>5.13</v>
      </c>
      <c r="N763">
        <v>2.81</v>
      </c>
      <c r="O763" t="s">
        <v>15</v>
      </c>
      <c r="P763">
        <v>101</v>
      </c>
      <c r="Q763">
        <v>180</v>
      </c>
      <c r="R763">
        <v>79</v>
      </c>
      <c r="S763">
        <v>55</v>
      </c>
      <c r="T763" t="s">
        <v>48</v>
      </c>
      <c r="U763">
        <f>IF(Cardiac_Table[[#This Row],[Patient Status at Discharge]]="Died", 1,0)</f>
        <v>0</v>
      </c>
      <c r="V763">
        <f>Cardiac_Table[[#This Row],[Risk of Death % (Model 1)]]/100</f>
        <v>5.1299999999999998E-2</v>
      </c>
      <c r="W763">
        <f>Cardiac_Table[[#This Row],[Risk of Death % (Model 2)]]/100</f>
        <v>2.81E-2</v>
      </c>
      <c r="X763" s="18">
        <f>Cardiac_Table[[#This Row],[Procedure Start Date and Time]]-Cardiac_Table[[#This Row],[Hospital Admit Date ]]</f>
        <v>0.12569444444670808</v>
      </c>
    </row>
    <row r="764" spans="1:24" x14ac:dyDescent="0.35">
      <c r="A764">
        <v>773</v>
      </c>
      <c r="B764" s="9">
        <v>44068.291666666664</v>
      </c>
      <c r="C764" s="10">
        <f>INT(Cardiac_Table[[#This Row],[Hospital Admit Date ]])</f>
        <v>44068</v>
      </c>
      <c r="D764" s="11" t="str">
        <f t="shared" si="11"/>
        <v>07:00</v>
      </c>
      <c r="E764" s="9">
        <v>44068.503472222219</v>
      </c>
      <c r="F764" s="10">
        <f>INT(Cardiac_Table[[#This Row],[Procedure Start Date and Time]])</f>
        <v>44068</v>
      </c>
      <c r="G764" s="12">
        <f>MOD(Cardiac_Table[[#This Row],[Procedure Start Date and Time]],1)</f>
        <v>0.50347222221898846</v>
      </c>
      <c r="H764">
        <v>4</v>
      </c>
      <c r="I764" t="s">
        <v>4</v>
      </c>
      <c r="J764" t="s">
        <v>11</v>
      </c>
      <c r="K764" t="s">
        <v>35</v>
      </c>
      <c r="L764">
        <v>76</v>
      </c>
      <c r="M764">
        <v>6.73</v>
      </c>
      <c r="N764">
        <v>2.4900000000000002</v>
      </c>
      <c r="O764" t="s">
        <v>15</v>
      </c>
      <c r="P764">
        <v>105</v>
      </c>
      <c r="Q764">
        <v>190</v>
      </c>
      <c r="R764">
        <v>94</v>
      </c>
      <c r="S764">
        <v>46</v>
      </c>
      <c r="T764" t="s">
        <v>50</v>
      </c>
      <c r="U764">
        <f>IF(Cardiac_Table[[#This Row],[Patient Status at Discharge]]="Died", 1,0)</f>
        <v>0</v>
      </c>
      <c r="V764">
        <f>Cardiac_Table[[#This Row],[Risk of Death % (Model 1)]]/100</f>
        <v>6.7299999999999999E-2</v>
      </c>
      <c r="W764">
        <f>Cardiac_Table[[#This Row],[Risk of Death % (Model 2)]]/100</f>
        <v>2.4900000000000002E-2</v>
      </c>
      <c r="X764" s="18">
        <f>Cardiac_Table[[#This Row],[Procedure Start Date and Time]]-Cardiac_Table[[#This Row],[Hospital Admit Date ]]</f>
        <v>0.21180555555474712</v>
      </c>
    </row>
    <row r="765" spans="1:24" x14ac:dyDescent="0.35">
      <c r="A765">
        <v>774</v>
      </c>
      <c r="B765" s="9">
        <v>44062.270833333336</v>
      </c>
      <c r="C765" s="10">
        <f>INT(Cardiac_Table[[#This Row],[Hospital Admit Date ]])</f>
        <v>44062</v>
      </c>
      <c r="D765" s="11" t="str">
        <f t="shared" si="11"/>
        <v>06:30</v>
      </c>
      <c r="E765" s="9">
        <v>44068.51458333333</v>
      </c>
      <c r="F765" s="10">
        <f>INT(Cardiac_Table[[#This Row],[Procedure Start Date and Time]])</f>
        <v>44068</v>
      </c>
      <c r="G765" s="12">
        <f>MOD(Cardiac_Table[[#This Row],[Procedure Start Date and Time]],1)</f>
        <v>0.51458333332993789</v>
      </c>
      <c r="H765">
        <v>5</v>
      </c>
      <c r="I765" t="s">
        <v>4</v>
      </c>
      <c r="J765" t="s">
        <v>11</v>
      </c>
      <c r="K765" t="s">
        <v>32</v>
      </c>
      <c r="L765">
        <v>77</v>
      </c>
      <c r="M765">
        <v>4.83</v>
      </c>
      <c r="N765">
        <v>1.55</v>
      </c>
      <c r="O765" t="s">
        <v>15</v>
      </c>
      <c r="P765">
        <v>104</v>
      </c>
      <c r="Q765">
        <v>164</v>
      </c>
      <c r="R765">
        <v>74</v>
      </c>
      <c r="S765">
        <v>69</v>
      </c>
      <c r="T765" t="s">
        <v>48</v>
      </c>
      <c r="U765">
        <f>IF(Cardiac_Table[[#This Row],[Patient Status at Discharge]]="Died", 1,0)</f>
        <v>0</v>
      </c>
      <c r="V765">
        <f>Cardiac_Table[[#This Row],[Risk of Death % (Model 1)]]/100</f>
        <v>4.8300000000000003E-2</v>
      </c>
      <c r="W765">
        <f>Cardiac_Table[[#This Row],[Risk of Death % (Model 2)]]/100</f>
        <v>1.55E-2</v>
      </c>
      <c r="X765" s="18">
        <f>Cardiac_Table[[#This Row],[Procedure Start Date and Time]]-Cardiac_Table[[#This Row],[Hospital Admit Date ]]</f>
        <v>6.2437499999941792</v>
      </c>
    </row>
    <row r="766" spans="1:24" x14ac:dyDescent="0.35">
      <c r="A766">
        <v>775</v>
      </c>
      <c r="B766" s="9">
        <v>44068.302083333336</v>
      </c>
      <c r="C766" s="10">
        <f>INT(Cardiac_Table[[#This Row],[Hospital Admit Date ]])</f>
        <v>44068</v>
      </c>
      <c r="D766" s="11" t="str">
        <f t="shared" si="11"/>
        <v>07:15</v>
      </c>
      <c r="E766" s="9">
        <v>44068.520833333336</v>
      </c>
      <c r="F766" s="10">
        <f>INT(Cardiac_Table[[#This Row],[Procedure Start Date and Time]])</f>
        <v>44068</v>
      </c>
      <c r="G766" s="12">
        <f>MOD(Cardiac_Table[[#This Row],[Procedure Start Date and Time]],1)</f>
        <v>0.52083333333575865</v>
      </c>
      <c r="H766">
        <v>6</v>
      </c>
      <c r="I766" t="s">
        <v>4</v>
      </c>
      <c r="J766" t="s">
        <v>10</v>
      </c>
      <c r="K766" t="s">
        <v>26</v>
      </c>
      <c r="L766">
        <v>64</v>
      </c>
      <c r="M766">
        <v>1.23</v>
      </c>
      <c r="N766">
        <v>1.18</v>
      </c>
      <c r="O766" t="s">
        <v>15</v>
      </c>
      <c r="P766">
        <v>84</v>
      </c>
      <c r="Q766">
        <v>163</v>
      </c>
      <c r="R766">
        <v>59</v>
      </c>
      <c r="S766">
        <v>45</v>
      </c>
      <c r="T766" t="s">
        <v>50</v>
      </c>
      <c r="U766">
        <f>IF(Cardiac_Table[[#This Row],[Patient Status at Discharge]]="Died", 1,0)</f>
        <v>0</v>
      </c>
      <c r="V766">
        <f>Cardiac_Table[[#This Row],[Risk of Death % (Model 1)]]/100</f>
        <v>1.23E-2</v>
      </c>
      <c r="W766">
        <f>Cardiac_Table[[#This Row],[Risk of Death % (Model 2)]]/100</f>
        <v>1.18E-2</v>
      </c>
      <c r="X766" s="18">
        <f>Cardiac_Table[[#This Row],[Procedure Start Date and Time]]-Cardiac_Table[[#This Row],[Hospital Admit Date ]]</f>
        <v>0.21875</v>
      </c>
    </row>
    <row r="767" spans="1:24" x14ac:dyDescent="0.35">
      <c r="A767">
        <v>776</v>
      </c>
      <c r="B767" s="9">
        <v>44068.298611111109</v>
      </c>
      <c r="C767" s="10">
        <f>INT(Cardiac_Table[[#This Row],[Hospital Admit Date ]])</f>
        <v>44068</v>
      </c>
      <c r="D767" s="11" t="str">
        <f t="shared" si="11"/>
        <v>07:10</v>
      </c>
      <c r="E767" s="9">
        <v>44068.680555555555</v>
      </c>
      <c r="F767" s="10">
        <f>INT(Cardiac_Table[[#This Row],[Procedure Start Date and Time]])</f>
        <v>44068</v>
      </c>
      <c r="G767" s="12">
        <f>MOD(Cardiac_Table[[#This Row],[Procedure Start Date and Time]],1)</f>
        <v>0.68055555555474712</v>
      </c>
      <c r="H767">
        <v>5</v>
      </c>
      <c r="I767" t="s">
        <v>4</v>
      </c>
      <c r="J767" t="s">
        <v>11</v>
      </c>
      <c r="K767" t="s">
        <v>32</v>
      </c>
      <c r="L767">
        <v>65</v>
      </c>
      <c r="M767">
        <v>2.23</v>
      </c>
      <c r="N767">
        <v>1.1000000000000001</v>
      </c>
      <c r="O767" t="s">
        <v>15</v>
      </c>
      <c r="P767">
        <v>113</v>
      </c>
      <c r="Q767">
        <v>168</v>
      </c>
      <c r="R767">
        <v>79</v>
      </c>
      <c r="S767">
        <v>10</v>
      </c>
      <c r="T767" t="s">
        <v>51</v>
      </c>
      <c r="U767">
        <f>IF(Cardiac_Table[[#This Row],[Patient Status at Discharge]]="Died", 1,0)</f>
        <v>0</v>
      </c>
      <c r="V767">
        <f>Cardiac_Table[[#This Row],[Risk of Death % (Model 1)]]/100</f>
        <v>2.23E-2</v>
      </c>
      <c r="W767">
        <f>Cardiac_Table[[#This Row],[Risk of Death % (Model 2)]]/100</f>
        <v>1.1000000000000001E-2</v>
      </c>
      <c r="X767" s="18">
        <f>Cardiac_Table[[#This Row],[Procedure Start Date and Time]]-Cardiac_Table[[#This Row],[Hospital Admit Date ]]</f>
        <v>0.38194444444525288</v>
      </c>
    </row>
    <row r="768" spans="1:24" x14ac:dyDescent="0.35">
      <c r="A768">
        <v>777</v>
      </c>
      <c r="B768" s="9">
        <v>44068.67291666667</v>
      </c>
      <c r="C768" s="10">
        <f>INT(Cardiac_Table[[#This Row],[Hospital Admit Date ]])</f>
        <v>44068</v>
      </c>
      <c r="D768" s="11" t="str">
        <f t="shared" si="11"/>
        <v>16:09</v>
      </c>
      <c r="E768" s="9">
        <v>44069.341666666667</v>
      </c>
      <c r="F768" s="10">
        <f>INT(Cardiac_Table[[#This Row],[Procedure Start Date and Time]])</f>
        <v>44069</v>
      </c>
      <c r="G768" s="12">
        <f>MOD(Cardiac_Table[[#This Row],[Procedure Start Date and Time]],1)</f>
        <v>0.34166666666715173</v>
      </c>
      <c r="H768">
        <v>4</v>
      </c>
      <c r="I768" t="s">
        <v>4</v>
      </c>
      <c r="J768" t="s">
        <v>10</v>
      </c>
      <c r="K768" t="s">
        <v>24</v>
      </c>
      <c r="L768">
        <v>66</v>
      </c>
      <c r="M768">
        <v>1.4</v>
      </c>
      <c r="N768">
        <v>1.1100000000000001</v>
      </c>
      <c r="O768" t="s">
        <v>15</v>
      </c>
      <c r="P768">
        <v>81</v>
      </c>
      <c r="Q768">
        <v>151</v>
      </c>
      <c r="R768">
        <v>62</v>
      </c>
      <c r="S768">
        <v>45</v>
      </c>
      <c r="T768" t="s">
        <v>50</v>
      </c>
      <c r="U768">
        <f>IF(Cardiac_Table[[#This Row],[Patient Status at Discharge]]="Died", 1,0)</f>
        <v>0</v>
      </c>
      <c r="V768">
        <f>Cardiac_Table[[#This Row],[Risk of Death % (Model 1)]]/100</f>
        <v>1.3999999999999999E-2</v>
      </c>
      <c r="W768">
        <f>Cardiac_Table[[#This Row],[Risk of Death % (Model 2)]]/100</f>
        <v>1.11E-2</v>
      </c>
      <c r="X768" s="18">
        <f>Cardiac_Table[[#This Row],[Procedure Start Date and Time]]-Cardiac_Table[[#This Row],[Hospital Admit Date ]]</f>
        <v>0.66874999999708962</v>
      </c>
    </row>
    <row r="769" spans="1:24" x14ac:dyDescent="0.35">
      <c r="A769">
        <v>778</v>
      </c>
      <c r="B769" s="9">
        <v>44059.665972222225</v>
      </c>
      <c r="C769" s="10">
        <f>INT(Cardiac_Table[[#This Row],[Hospital Admit Date ]])</f>
        <v>44059</v>
      </c>
      <c r="D769" s="11" t="str">
        <f t="shared" si="11"/>
        <v>15:59</v>
      </c>
      <c r="E769" s="9">
        <v>44069.34375</v>
      </c>
      <c r="F769" s="10">
        <f>INT(Cardiac_Table[[#This Row],[Procedure Start Date and Time]])</f>
        <v>44069</v>
      </c>
      <c r="G769" s="12">
        <f>MOD(Cardiac_Table[[#This Row],[Procedure Start Date and Time]],1)</f>
        <v>0.34375</v>
      </c>
      <c r="H769">
        <v>6</v>
      </c>
      <c r="I769" t="s">
        <v>4</v>
      </c>
      <c r="J769" t="s">
        <v>10</v>
      </c>
      <c r="K769" t="s">
        <v>31</v>
      </c>
      <c r="L769">
        <v>55</v>
      </c>
      <c r="M769">
        <v>2.2799999999999998</v>
      </c>
      <c r="N769">
        <v>0.8</v>
      </c>
      <c r="O769" t="s">
        <v>15</v>
      </c>
      <c r="P769">
        <v>100</v>
      </c>
      <c r="Q769">
        <v>175</v>
      </c>
      <c r="R769">
        <v>73</v>
      </c>
      <c r="S769">
        <v>45</v>
      </c>
      <c r="T769" t="s">
        <v>50</v>
      </c>
      <c r="U769">
        <f>IF(Cardiac_Table[[#This Row],[Patient Status at Discharge]]="Died", 1,0)</f>
        <v>0</v>
      </c>
      <c r="V769">
        <f>Cardiac_Table[[#This Row],[Risk of Death % (Model 1)]]/100</f>
        <v>2.2799999999999997E-2</v>
      </c>
      <c r="W769">
        <f>Cardiac_Table[[#This Row],[Risk of Death % (Model 2)]]/100</f>
        <v>8.0000000000000002E-3</v>
      </c>
      <c r="X769" s="18">
        <f>Cardiac_Table[[#This Row],[Procedure Start Date and Time]]-Cardiac_Table[[#This Row],[Hospital Admit Date ]]</f>
        <v>9.6777777777751908</v>
      </c>
    </row>
    <row r="770" spans="1:24" x14ac:dyDescent="0.35">
      <c r="A770">
        <v>779</v>
      </c>
      <c r="B770" s="9">
        <v>44068.650694444441</v>
      </c>
      <c r="C770" s="10">
        <f>INT(Cardiac_Table[[#This Row],[Hospital Admit Date ]])</f>
        <v>44068</v>
      </c>
      <c r="D770" s="11" t="str">
        <f t="shared" ref="D770:D833" si="12">TEXT(B770,"HH:MM")</f>
        <v>15:37</v>
      </c>
      <c r="E770" s="9">
        <v>44069.347222222219</v>
      </c>
      <c r="F770" s="10">
        <f>INT(Cardiac_Table[[#This Row],[Procedure Start Date and Time]])</f>
        <v>44069</v>
      </c>
      <c r="G770" s="12">
        <f>MOD(Cardiac_Table[[#This Row],[Procedure Start Date and Time]],1)</f>
        <v>0.34722222221898846</v>
      </c>
      <c r="H770">
        <v>5</v>
      </c>
      <c r="I770" t="s">
        <v>4</v>
      </c>
      <c r="J770" t="s">
        <v>3</v>
      </c>
      <c r="K770" t="s">
        <v>35</v>
      </c>
      <c r="L770">
        <v>73</v>
      </c>
      <c r="M770">
        <v>2.21</v>
      </c>
      <c r="N770">
        <v>0.8</v>
      </c>
      <c r="O770" t="s">
        <v>15</v>
      </c>
      <c r="P770">
        <v>99</v>
      </c>
      <c r="Q770">
        <v>172</v>
      </c>
      <c r="R770">
        <v>98</v>
      </c>
      <c r="S770">
        <v>40</v>
      </c>
      <c r="T770" t="s">
        <v>50</v>
      </c>
      <c r="U770">
        <f>IF(Cardiac_Table[[#This Row],[Patient Status at Discharge]]="Died", 1,0)</f>
        <v>0</v>
      </c>
      <c r="V770">
        <f>Cardiac_Table[[#This Row],[Risk of Death % (Model 1)]]/100</f>
        <v>2.2099999999999998E-2</v>
      </c>
      <c r="W770">
        <f>Cardiac_Table[[#This Row],[Risk of Death % (Model 2)]]/100</f>
        <v>8.0000000000000002E-3</v>
      </c>
      <c r="X770" s="18">
        <f>Cardiac_Table[[#This Row],[Procedure Start Date and Time]]-Cardiac_Table[[#This Row],[Hospital Admit Date ]]</f>
        <v>0.69652777777810115</v>
      </c>
    </row>
    <row r="771" spans="1:24" x14ac:dyDescent="0.35">
      <c r="A771">
        <v>780</v>
      </c>
      <c r="B771" s="9">
        <v>44068.648611111108</v>
      </c>
      <c r="C771" s="10">
        <f>INT(Cardiac_Table[[#This Row],[Hospital Admit Date ]])</f>
        <v>44068</v>
      </c>
      <c r="D771" s="11" t="str">
        <f t="shared" si="12"/>
        <v>15:34</v>
      </c>
      <c r="E771" s="9">
        <v>44069.350694444445</v>
      </c>
      <c r="F771" s="10">
        <f>INT(Cardiac_Table[[#This Row],[Procedure Start Date and Time]])</f>
        <v>44069</v>
      </c>
      <c r="G771" s="12">
        <f>MOD(Cardiac_Table[[#This Row],[Procedure Start Date and Time]],1)</f>
        <v>0.35069444444525288</v>
      </c>
      <c r="H771">
        <v>2</v>
      </c>
      <c r="I771" t="s">
        <v>4</v>
      </c>
      <c r="J771" t="s">
        <v>3</v>
      </c>
      <c r="K771" t="s">
        <v>32</v>
      </c>
      <c r="L771">
        <v>68</v>
      </c>
      <c r="M771">
        <v>5.97</v>
      </c>
      <c r="N771">
        <v>2.21</v>
      </c>
      <c r="O771" t="s">
        <v>15</v>
      </c>
      <c r="P771">
        <v>78</v>
      </c>
      <c r="Q771">
        <v>166</v>
      </c>
      <c r="R771">
        <v>97</v>
      </c>
      <c r="S771">
        <v>20</v>
      </c>
      <c r="T771" t="s">
        <v>51</v>
      </c>
      <c r="U771">
        <f>IF(Cardiac_Table[[#This Row],[Patient Status at Discharge]]="Died", 1,0)</f>
        <v>0</v>
      </c>
      <c r="V771">
        <f>Cardiac_Table[[#This Row],[Risk of Death % (Model 1)]]/100</f>
        <v>5.9699999999999996E-2</v>
      </c>
      <c r="W771">
        <f>Cardiac_Table[[#This Row],[Risk of Death % (Model 2)]]/100</f>
        <v>2.2099999999999998E-2</v>
      </c>
      <c r="X771" s="18">
        <f>Cardiac_Table[[#This Row],[Procedure Start Date and Time]]-Cardiac_Table[[#This Row],[Hospital Admit Date ]]</f>
        <v>0.70208333333721384</v>
      </c>
    </row>
    <row r="772" spans="1:24" x14ac:dyDescent="0.35">
      <c r="A772">
        <v>781</v>
      </c>
      <c r="B772" s="9">
        <v>44069.295138888891</v>
      </c>
      <c r="C772" s="10">
        <f>INT(Cardiac_Table[[#This Row],[Hospital Admit Date ]])</f>
        <v>44069</v>
      </c>
      <c r="D772" s="11" t="str">
        <f t="shared" si="12"/>
        <v>07:05</v>
      </c>
      <c r="E772" s="9">
        <v>44069.541666666664</v>
      </c>
      <c r="F772" s="10">
        <f>INT(Cardiac_Table[[#This Row],[Procedure Start Date and Time]])</f>
        <v>44069</v>
      </c>
      <c r="G772" s="12">
        <f>MOD(Cardiac_Table[[#This Row],[Procedure Start Date and Time]],1)</f>
        <v>0.54166666666424135</v>
      </c>
      <c r="H772">
        <v>2</v>
      </c>
      <c r="I772" t="s">
        <v>4</v>
      </c>
      <c r="J772" t="s">
        <v>3</v>
      </c>
      <c r="K772" t="s">
        <v>32</v>
      </c>
      <c r="L772">
        <v>66</v>
      </c>
      <c r="M772">
        <v>5.26</v>
      </c>
      <c r="N772">
        <v>0.99</v>
      </c>
      <c r="O772" t="s">
        <v>15</v>
      </c>
      <c r="P772">
        <v>110</v>
      </c>
      <c r="Q772">
        <v>173</v>
      </c>
      <c r="R772">
        <v>89</v>
      </c>
      <c r="S772">
        <v>28</v>
      </c>
      <c r="T772" t="s">
        <v>49</v>
      </c>
      <c r="U772">
        <f>IF(Cardiac_Table[[#This Row],[Patient Status at Discharge]]="Died", 1,0)</f>
        <v>0</v>
      </c>
      <c r="V772">
        <f>Cardiac_Table[[#This Row],[Risk of Death % (Model 1)]]/100</f>
        <v>5.2600000000000001E-2</v>
      </c>
      <c r="W772">
        <f>Cardiac_Table[[#This Row],[Risk of Death % (Model 2)]]/100</f>
        <v>9.8999999999999991E-3</v>
      </c>
      <c r="X772" s="18">
        <f>Cardiac_Table[[#This Row],[Procedure Start Date and Time]]-Cardiac_Table[[#This Row],[Hospital Admit Date ]]</f>
        <v>0.24652777777373558</v>
      </c>
    </row>
    <row r="773" spans="1:24" x14ac:dyDescent="0.35">
      <c r="A773">
        <v>782</v>
      </c>
      <c r="B773" s="9">
        <v>44069.290972222225</v>
      </c>
      <c r="C773" s="10">
        <f>INT(Cardiac_Table[[#This Row],[Hospital Admit Date ]])</f>
        <v>44069</v>
      </c>
      <c r="D773" s="11" t="str">
        <f t="shared" si="12"/>
        <v>06:59</v>
      </c>
      <c r="E773" s="9">
        <v>44069.570833333331</v>
      </c>
      <c r="F773" s="10">
        <f>INT(Cardiac_Table[[#This Row],[Procedure Start Date and Time]])</f>
        <v>44069</v>
      </c>
      <c r="G773" s="12">
        <f>MOD(Cardiac_Table[[#This Row],[Procedure Start Date and Time]],1)</f>
        <v>0.57083333333139308</v>
      </c>
      <c r="H773">
        <v>5</v>
      </c>
      <c r="I773" t="s">
        <v>4</v>
      </c>
      <c r="J773" t="s">
        <v>3</v>
      </c>
      <c r="K773" t="s">
        <v>35</v>
      </c>
      <c r="L773">
        <v>63</v>
      </c>
      <c r="M773">
        <v>1.1499999999999999</v>
      </c>
      <c r="N773">
        <v>0.6</v>
      </c>
      <c r="O773" t="s">
        <v>15</v>
      </c>
      <c r="P773">
        <v>66</v>
      </c>
      <c r="Q773">
        <v>150</v>
      </c>
      <c r="R773">
        <v>60</v>
      </c>
      <c r="S773">
        <v>60</v>
      </c>
      <c r="T773" t="s">
        <v>48</v>
      </c>
      <c r="U773">
        <f>IF(Cardiac_Table[[#This Row],[Patient Status at Discharge]]="Died", 1,0)</f>
        <v>0</v>
      </c>
      <c r="V773">
        <f>Cardiac_Table[[#This Row],[Risk of Death % (Model 1)]]/100</f>
        <v>1.15E-2</v>
      </c>
      <c r="W773">
        <f>Cardiac_Table[[#This Row],[Risk of Death % (Model 2)]]/100</f>
        <v>6.0000000000000001E-3</v>
      </c>
      <c r="X773" s="18">
        <f>Cardiac_Table[[#This Row],[Procedure Start Date and Time]]-Cardiac_Table[[#This Row],[Hospital Admit Date ]]</f>
        <v>0.27986111110658385</v>
      </c>
    </row>
    <row r="774" spans="1:24" x14ac:dyDescent="0.35">
      <c r="A774">
        <v>783</v>
      </c>
      <c r="B774" s="9">
        <v>44069.293055555558</v>
      </c>
      <c r="C774" s="10">
        <f>INT(Cardiac_Table[[#This Row],[Hospital Admit Date ]])</f>
        <v>44069</v>
      </c>
      <c r="D774" s="11" t="str">
        <f t="shared" si="12"/>
        <v>07:02</v>
      </c>
      <c r="E774" s="9">
        <v>44069.620138888888</v>
      </c>
      <c r="F774" s="10">
        <f>INT(Cardiac_Table[[#This Row],[Procedure Start Date and Time]])</f>
        <v>44069</v>
      </c>
      <c r="G774" s="12">
        <f>MOD(Cardiac_Table[[#This Row],[Procedure Start Date and Time]],1)</f>
        <v>0.62013888888759539</v>
      </c>
      <c r="H774">
        <v>6</v>
      </c>
      <c r="I774" t="s">
        <v>4</v>
      </c>
      <c r="J774" t="s">
        <v>10</v>
      </c>
      <c r="K774" t="s">
        <v>31</v>
      </c>
      <c r="L774">
        <v>75</v>
      </c>
      <c r="M774">
        <v>2.52</v>
      </c>
      <c r="N774">
        <v>0.85</v>
      </c>
      <c r="O774" t="s">
        <v>15</v>
      </c>
      <c r="P774">
        <v>84</v>
      </c>
      <c r="Q774">
        <v>180</v>
      </c>
      <c r="R774">
        <v>88</v>
      </c>
      <c r="S774">
        <v>45</v>
      </c>
      <c r="T774" t="s">
        <v>50</v>
      </c>
      <c r="U774">
        <f>IF(Cardiac_Table[[#This Row],[Patient Status at Discharge]]="Died", 1,0)</f>
        <v>0</v>
      </c>
      <c r="V774">
        <f>Cardiac_Table[[#This Row],[Risk of Death % (Model 1)]]/100</f>
        <v>2.52E-2</v>
      </c>
      <c r="W774">
        <f>Cardiac_Table[[#This Row],[Risk of Death % (Model 2)]]/100</f>
        <v>8.5000000000000006E-3</v>
      </c>
      <c r="X774" s="18">
        <f>Cardiac_Table[[#This Row],[Procedure Start Date and Time]]-Cardiac_Table[[#This Row],[Hospital Admit Date ]]</f>
        <v>0.32708333332993789</v>
      </c>
    </row>
    <row r="775" spans="1:24" x14ac:dyDescent="0.35">
      <c r="A775">
        <v>784</v>
      </c>
      <c r="B775" s="9">
        <v>44069.656944444447</v>
      </c>
      <c r="C775" s="10">
        <f>INT(Cardiac_Table[[#This Row],[Hospital Admit Date ]])</f>
        <v>44069</v>
      </c>
      <c r="D775" s="11" t="str">
        <f t="shared" si="12"/>
        <v>15:46</v>
      </c>
      <c r="E775" s="9">
        <v>44070.336111111108</v>
      </c>
      <c r="F775" s="10">
        <f>INT(Cardiac_Table[[#This Row],[Procedure Start Date and Time]])</f>
        <v>44070</v>
      </c>
      <c r="G775" s="12">
        <f>MOD(Cardiac_Table[[#This Row],[Procedure Start Date and Time]],1)</f>
        <v>0.33611111110803904</v>
      </c>
      <c r="H775">
        <v>3</v>
      </c>
      <c r="I775" t="s">
        <v>4</v>
      </c>
      <c r="J775" t="s">
        <v>3</v>
      </c>
      <c r="K775" t="s">
        <v>33</v>
      </c>
      <c r="L775">
        <v>77</v>
      </c>
      <c r="M775">
        <v>6.59</v>
      </c>
      <c r="N775">
        <v>4.09</v>
      </c>
      <c r="O775" t="s">
        <v>15</v>
      </c>
      <c r="P775">
        <v>65</v>
      </c>
      <c r="Q775">
        <v>164</v>
      </c>
      <c r="R775">
        <v>98</v>
      </c>
      <c r="S775">
        <v>31</v>
      </c>
      <c r="T775" t="s">
        <v>50</v>
      </c>
      <c r="U775">
        <f>IF(Cardiac_Table[[#This Row],[Patient Status at Discharge]]="Died", 1,0)</f>
        <v>0</v>
      </c>
      <c r="V775">
        <f>Cardiac_Table[[#This Row],[Risk of Death % (Model 1)]]/100</f>
        <v>6.59E-2</v>
      </c>
      <c r="W775">
        <f>Cardiac_Table[[#This Row],[Risk of Death % (Model 2)]]/100</f>
        <v>4.0899999999999999E-2</v>
      </c>
      <c r="X775" s="18">
        <f>Cardiac_Table[[#This Row],[Procedure Start Date and Time]]-Cardiac_Table[[#This Row],[Hospital Admit Date ]]</f>
        <v>0.67916666666133096</v>
      </c>
    </row>
    <row r="776" spans="1:24" x14ac:dyDescent="0.35">
      <c r="A776">
        <v>785</v>
      </c>
      <c r="B776" s="9">
        <v>44069.661111111112</v>
      </c>
      <c r="C776" s="10">
        <f>INT(Cardiac_Table[[#This Row],[Hospital Admit Date ]])</f>
        <v>44069</v>
      </c>
      <c r="D776" s="11" t="str">
        <f t="shared" si="12"/>
        <v>15:52</v>
      </c>
      <c r="E776" s="9">
        <v>44070.340277777781</v>
      </c>
      <c r="F776" s="10">
        <f>INT(Cardiac_Table[[#This Row],[Procedure Start Date and Time]])</f>
        <v>44070</v>
      </c>
      <c r="G776" s="12">
        <f>MOD(Cardiac_Table[[#This Row],[Procedure Start Date and Time]],1)</f>
        <v>0.34027777778101154</v>
      </c>
      <c r="H776">
        <v>5</v>
      </c>
      <c r="I776" t="s">
        <v>4</v>
      </c>
      <c r="J776" t="s">
        <v>3</v>
      </c>
      <c r="K776" t="s">
        <v>35</v>
      </c>
      <c r="L776">
        <v>73</v>
      </c>
      <c r="M776">
        <v>3.74</v>
      </c>
      <c r="N776">
        <v>1.0900000000000001</v>
      </c>
      <c r="O776" t="s">
        <v>15</v>
      </c>
      <c r="P776">
        <v>131</v>
      </c>
      <c r="Q776">
        <v>171</v>
      </c>
      <c r="R776">
        <v>86</v>
      </c>
      <c r="S776">
        <v>60</v>
      </c>
      <c r="T776" t="s">
        <v>48</v>
      </c>
      <c r="U776">
        <f>IF(Cardiac_Table[[#This Row],[Patient Status at Discharge]]="Died", 1,0)</f>
        <v>0</v>
      </c>
      <c r="V776">
        <f>Cardiac_Table[[#This Row],[Risk of Death % (Model 1)]]/100</f>
        <v>3.7400000000000003E-2</v>
      </c>
      <c r="W776">
        <f>Cardiac_Table[[#This Row],[Risk of Death % (Model 2)]]/100</f>
        <v>1.09E-2</v>
      </c>
      <c r="X776" s="18">
        <f>Cardiac_Table[[#This Row],[Procedure Start Date and Time]]-Cardiac_Table[[#This Row],[Hospital Admit Date ]]</f>
        <v>0.67916666666860692</v>
      </c>
    </row>
    <row r="777" spans="1:24" x14ac:dyDescent="0.35">
      <c r="A777">
        <v>786</v>
      </c>
      <c r="B777" s="9">
        <v>44068.661111111112</v>
      </c>
      <c r="C777" s="10">
        <f>INT(Cardiac_Table[[#This Row],[Hospital Admit Date ]])</f>
        <v>44068</v>
      </c>
      <c r="D777" s="11" t="str">
        <f t="shared" si="12"/>
        <v>15:52</v>
      </c>
      <c r="E777" s="9">
        <v>44070.34375</v>
      </c>
      <c r="F777" s="10">
        <f>INT(Cardiac_Table[[#This Row],[Procedure Start Date and Time]])</f>
        <v>44070</v>
      </c>
      <c r="G777" s="12">
        <f>MOD(Cardiac_Table[[#This Row],[Procedure Start Date and Time]],1)</f>
        <v>0.34375</v>
      </c>
      <c r="H777">
        <v>6</v>
      </c>
      <c r="I777" t="s">
        <v>4</v>
      </c>
      <c r="J777" t="s">
        <v>10</v>
      </c>
      <c r="K777" t="s">
        <v>24</v>
      </c>
      <c r="L777">
        <v>73</v>
      </c>
      <c r="M777">
        <v>3.57</v>
      </c>
      <c r="N777">
        <v>1.31</v>
      </c>
      <c r="O777" t="s">
        <v>15</v>
      </c>
      <c r="P777">
        <v>71</v>
      </c>
      <c r="Q777">
        <v>183</v>
      </c>
      <c r="R777">
        <v>70</v>
      </c>
      <c r="S777">
        <v>51</v>
      </c>
      <c r="T777" t="s">
        <v>48</v>
      </c>
      <c r="U777">
        <f>IF(Cardiac_Table[[#This Row],[Patient Status at Discharge]]="Died", 1,0)</f>
        <v>0</v>
      </c>
      <c r="V777">
        <f>Cardiac_Table[[#This Row],[Risk of Death % (Model 1)]]/100</f>
        <v>3.5699999999999996E-2</v>
      </c>
      <c r="W777">
        <f>Cardiac_Table[[#This Row],[Risk of Death % (Model 2)]]/100</f>
        <v>1.3100000000000001E-2</v>
      </c>
      <c r="X777" s="18">
        <f>Cardiac_Table[[#This Row],[Procedure Start Date and Time]]-Cardiac_Table[[#This Row],[Hospital Admit Date ]]</f>
        <v>1.6826388888875954</v>
      </c>
    </row>
    <row r="778" spans="1:24" x14ac:dyDescent="0.35">
      <c r="A778">
        <v>787</v>
      </c>
      <c r="B778" s="9">
        <v>44070.293749999997</v>
      </c>
      <c r="C778" s="10">
        <f>INT(Cardiac_Table[[#This Row],[Hospital Admit Date ]])</f>
        <v>44070</v>
      </c>
      <c r="D778" s="11" t="str">
        <f t="shared" si="12"/>
        <v>07:03</v>
      </c>
      <c r="E778" s="9">
        <v>44070.565972222219</v>
      </c>
      <c r="F778" s="10">
        <f>INT(Cardiac_Table[[#This Row],[Procedure Start Date and Time]])</f>
        <v>44070</v>
      </c>
      <c r="G778" s="12">
        <f>MOD(Cardiac_Table[[#This Row],[Procedure Start Date and Time]],1)</f>
        <v>0.56597222221898846</v>
      </c>
      <c r="H778">
        <v>5</v>
      </c>
      <c r="I778" t="s">
        <v>4</v>
      </c>
      <c r="J778" t="s">
        <v>3</v>
      </c>
      <c r="K778" t="s">
        <v>21</v>
      </c>
      <c r="L778">
        <v>82</v>
      </c>
      <c r="M778">
        <v>13.03</v>
      </c>
      <c r="N778">
        <v>2.85</v>
      </c>
      <c r="O778" t="s">
        <v>15</v>
      </c>
      <c r="P778">
        <v>79</v>
      </c>
      <c r="Q778">
        <v>163</v>
      </c>
      <c r="R778">
        <v>75</v>
      </c>
      <c r="S778">
        <v>50</v>
      </c>
      <c r="T778" t="s">
        <v>50</v>
      </c>
      <c r="U778">
        <f>IF(Cardiac_Table[[#This Row],[Patient Status at Discharge]]="Died", 1,0)</f>
        <v>0</v>
      </c>
      <c r="V778">
        <f>Cardiac_Table[[#This Row],[Risk of Death % (Model 1)]]/100</f>
        <v>0.1303</v>
      </c>
      <c r="W778">
        <f>Cardiac_Table[[#This Row],[Risk of Death % (Model 2)]]/100</f>
        <v>2.8500000000000001E-2</v>
      </c>
      <c r="X778" s="18">
        <f>Cardiac_Table[[#This Row],[Procedure Start Date and Time]]-Cardiac_Table[[#This Row],[Hospital Admit Date ]]</f>
        <v>0.27222222222189885</v>
      </c>
    </row>
    <row r="779" spans="1:24" x14ac:dyDescent="0.35">
      <c r="A779">
        <v>788</v>
      </c>
      <c r="B779" s="9">
        <v>44068.5625</v>
      </c>
      <c r="C779" s="10">
        <f>INT(Cardiac_Table[[#This Row],[Hospital Admit Date ]])</f>
        <v>44068</v>
      </c>
      <c r="D779" s="11" t="str">
        <f t="shared" si="12"/>
        <v>13:30</v>
      </c>
      <c r="E779" s="9">
        <v>44070.581944444442</v>
      </c>
      <c r="F779" s="10">
        <f>INT(Cardiac_Table[[#This Row],[Procedure Start Date and Time]])</f>
        <v>44070</v>
      </c>
      <c r="G779" s="12">
        <f>MOD(Cardiac_Table[[#This Row],[Procedure Start Date and Time]],1)</f>
        <v>0.5819444444423425</v>
      </c>
      <c r="H779">
        <v>3</v>
      </c>
      <c r="I779" t="s">
        <v>6</v>
      </c>
      <c r="J779" t="s">
        <v>10</v>
      </c>
      <c r="K779" t="s">
        <v>33</v>
      </c>
      <c r="L779">
        <v>64</v>
      </c>
      <c r="M779">
        <v>1.23</v>
      </c>
      <c r="N779">
        <v>0.86</v>
      </c>
      <c r="O779" t="s">
        <v>15</v>
      </c>
      <c r="P779">
        <v>71</v>
      </c>
      <c r="Q779">
        <v>158</v>
      </c>
      <c r="R779">
        <v>78</v>
      </c>
      <c r="S779">
        <v>75</v>
      </c>
      <c r="T779" t="s">
        <v>48</v>
      </c>
      <c r="U779">
        <f>IF(Cardiac_Table[[#This Row],[Patient Status at Discharge]]="Died", 1,0)</f>
        <v>0</v>
      </c>
      <c r="V779">
        <f>Cardiac_Table[[#This Row],[Risk of Death % (Model 1)]]/100</f>
        <v>1.23E-2</v>
      </c>
      <c r="W779">
        <f>Cardiac_Table[[#This Row],[Risk of Death % (Model 2)]]/100</f>
        <v>8.6E-3</v>
      </c>
      <c r="X779" s="18">
        <f>Cardiac_Table[[#This Row],[Procedure Start Date and Time]]-Cardiac_Table[[#This Row],[Hospital Admit Date ]]</f>
        <v>2.0194444444423425</v>
      </c>
    </row>
    <row r="780" spans="1:24" x14ac:dyDescent="0.35">
      <c r="A780">
        <v>789</v>
      </c>
      <c r="B780" s="9">
        <v>44069.645833333336</v>
      </c>
      <c r="C780" s="10">
        <f>INT(Cardiac_Table[[#This Row],[Hospital Admit Date ]])</f>
        <v>44069</v>
      </c>
      <c r="D780" s="11" t="str">
        <f t="shared" si="12"/>
        <v>15:30</v>
      </c>
      <c r="E780" s="9">
        <v>44070.611111111109</v>
      </c>
      <c r="F780" s="10">
        <f>INT(Cardiac_Table[[#This Row],[Procedure Start Date and Time]])</f>
        <v>44070</v>
      </c>
      <c r="G780" s="12">
        <f>MOD(Cardiac_Table[[#This Row],[Procedure Start Date and Time]],1)</f>
        <v>0.61111111110949423</v>
      </c>
      <c r="H780">
        <v>6</v>
      </c>
      <c r="I780" t="s">
        <v>4</v>
      </c>
      <c r="J780" t="s">
        <v>10</v>
      </c>
      <c r="K780" t="s">
        <v>24</v>
      </c>
      <c r="L780">
        <v>73</v>
      </c>
      <c r="M780">
        <v>4.9000000000000004</v>
      </c>
      <c r="N780">
        <v>1.71</v>
      </c>
      <c r="O780" t="s">
        <v>15</v>
      </c>
      <c r="P780">
        <v>74</v>
      </c>
      <c r="Q780">
        <v>192</v>
      </c>
      <c r="R780">
        <v>94</v>
      </c>
      <c r="S780">
        <v>14</v>
      </c>
      <c r="T780" t="s">
        <v>51</v>
      </c>
      <c r="U780">
        <f>IF(Cardiac_Table[[#This Row],[Patient Status at Discharge]]="Died", 1,0)</f>
        <v>0</v>
      </c>
      <c r="V780">
        <f>Cardiac_Table[[#This Row],[Risk of Death % (Model 1)]]/100</f>
        <v>4.9000000000000002E-2</v>
      </c>
      <c r="W780">
        <f>Cardiac_Table[[#This Row],[Risk of Death % (Model 2)]]/100</f>
        <v>1.7100000000000001E-2</v>
      </c>
      <c r="X780" s="18">
        <f>Cardiac_Table[[#This Row],[Procedure Start Date and Time]]-Cardiac_Table[[#This Row],[Hospital Admit Date ]]</f>
        <v>0.96527777777373558</v>
      </c>
    </row>
    <row r="781" spans="1:24" x14ac:dyDescent="0.35">
      <c r="A781">
        <v>790</v>
      </c>
      <c r="B781" s="9">
        <v>44068.679861111108</v>
      </c>
      <c r="C781" s="10">
        <f>INT(Cardiac_Table[[#This Row],[Hospital Admit Date ]])</f>
        <v>44068</v>
      </c>
      <c r="D781" s="11" t="str">
        <f t="shared" si="12"/>
        <v>16:19</v>
      </c>
      <c r="E781" s="9">
        <v>44071.336805555555</v>
      </c>
      <c r="F781" s="10">
        <f>INT(Cardiac_Table[[#This Row],[Procedure Start Date and Time]])</f>
        <v>44071</v>
      </c>
      <c r="G781" s="12">
        <f>MOD(Cardiac_Table[[#This Row],[Procedure Start Date and Time]],1)</f>
        <v>0.33680555555474712</v>
      </c>
      <c r="H781">
        <v>5</v>
      </c>
      <c r="I781" t="s">
        <v>6</v>
      </c>
      <c r="J781" t="s">
        <v>3</v>
      </c>
      <c r="K781" t="s">
        <v>27</v>
      </c>
      <c r="L781">
        <v>66</v>
      </c>
      <c r="M781">
        <v>2.38</v>
      </c>
      <c r="N781">
        <v>1.22</v>
      </c>
      <c r="O781" t="s">
        <v>15</v>
      </c>
      <c r="P781">
        <v>131</v>
      </c>
      <c r="Q781">
        <v>166</v>
      </c>
      <c r="R781">
        <v>51</v>
      </c>
      <c r="S781">
        <v>65</v>
      </c>
      <c r="T781" t="s">
        <v>48</v>
      </c>
      <c r="U781">
        <f>IF(Cardiac_Table[[#This Row],[Patient Status at Discharge]]="Died", 1,0)</f>
        <v>0</v>
      </c>
      <c r="V781">
        <f>Cardiac_Table[[#This Row],[Risk of Death % (Model 1)]]/100</f>
        <v>2.3799999999999998E-2</v>
      </c>
      <c r="W781">
        <f>Cardiac_Table[[#This Row],[Risk of Death % (Model 2)]]/100</f>
        <v>1.2199999999999999E-2</v>
      </c>
      <c r="X781" s="18">
        <f>Cardiac_Table[[#This Row],[Procedure Start Date and Time]]-Cardiac_Table[[#This Row],[Hospital Admit Date ]]</f>
        <v>2.6569444444467081</v>
      </c>
    </row>
    <row r="782" spans="1:24" x14ac:dyDescent="0.35">
      <c r="A782">
        <v>791</v>
      </c>
      <c r="B782" s="9">
        <v>44070.665277777778</v>
      </c>
      <c r="C782" s="10">
        <f>INT(Cardiac_Table[[#This Row],[Hospital Admit Date ]])</f>
        <v>44070</v>
      </c>
      <c r="D782" s="11" t="str">
        <f t="shared" si="12"/>
        <v>15:58</v>
      </c>
      <c r="E782" s="9">
        <v>44071.34097222222</v>
      </c>
      <c r="F782" s="10">
        <f>INT(Cardiac_Table[[#This Row],[Procedure Start Date and Time]])</f>
        <v>44071</v>
      </c>
      <c r="G782" s="12">
        <f>MOD(Cardiac_Table[[#This Row],[Procedure Start Date and Time]],1)</f>
        <v>0.34097222222044365</v>
      </c>
      <c r="H782">
        <v>4</v>
      </c>
      <c r="I782" t="s">
        <v>4</v>
      </c>
      <c r="J782" t="s">
        <v>1</v>
      </c>
      <c r="K782" t="s">
        <v>21</v>
      </c>
      <c r="L782">
        <v>78</v>
      </c>
      <c r="M782">
        <v>4.58</v>
      </c>
      <c r="N782">
        <v>2.95</v>
      </c>
      <c r="O782" t="s">
        <v>15</v>
      </c>
      <c r="P782">
        <v>61</v>
      </c>
      <c r="Q782">
        <v>165</v>
      </c>
      <c r="R782">
        <v>81</v>
      </c>
      <c r="S782">
        <v>55</v>
      </c>
      <c r="T782" t="s">
        <v>48</v>
      </c>
      <c r="U782">
        <f>IF(Cardiac_Table[[#This Row],[Patient Status at Discharge]]="Died", 1,0)</f>
        <v>0</v>
      </c>
      <c r="V782">
        <f>Cardiac_Table[[#This Row],[Risk of Death % (Model 1)]]/100</f>
        <v>4.58E-2</v>
      </c>
      <c r="W782">
        <f>Cardiac_Table[[#This Row],[Risk of Death % (Model 2)]]/100</f>
        <v>2.9500000000000002E-2</v>
      </c>
      <c r="X782" s="18">
        <f>Cardiac_Table[[#This Row],[Procedure Start Date and Time]]-Cardiac_Table[[#This Row],[Hospital Admit Date ]]</f>
        <v>0.6756944444423425</v>
      </c>
    </row>
    <row r="783" spans="1:24" x14ac:dyDescent="0.35">
      <c r="A783">
        <v>792</v>
      </c>
      <c r="B783" s="9">
        <v>44068.95</v>
      </c>
      <c r="C783" s="10">
        <f>INT(Cardiac_Table[[#This Row],[Hospital Admit Date ]])</f>
        <v>44068</v>
      </c>
      <c r="D783" s="11" t="str">
        <f t="shared" si="12"/>
        <v>22:48</v>
      </c>
      <c r="E783" s="9">
        <v>44071.510416666664</v>
      </c>
      <c r="F783" s="10">
        <f>INT(Cardiac_Table[[#This Row],[Procedure Start Date and Time]])</f>
        <v>44071</v>
      </c>
      <c r="G783" s="12">
        <f>MOD(Cardiac_Table[[#This Row],[Procedure Start Date and Time]],1)</f>
        <v>0.51041666666424135</v>
      </c>
      <c r="H783">
        <v>6</v>
      </c>
      <c r="I783" t="s">
        <v>2</v>
      </c>
      <c r="J783" t="s">
        <v>10</v>
      </c>
      <c r="K783" t="s">
        <v>31</v>
      </c>
      <c r="L783">
        <v>73</v>
      </c>
      <c r="M783">
        <v>23.04</v>
      </c>
      <c r="N783">
        <v>10.51</v>
      </c>
      <c r="O783" t="s">
        <v>15</v>
      </c>
      <c r="P783">
        <v>114</v>
      </c>
      <c r="Q783">
        <v>167</v>
      </c>
      <c r="R783">
        <v>104</v>
      </c>
      <c r="S783">
        <v>65</v>
      </c>
      <c r="T783" t="s">
        <v>48</v>
      </c>
      <c r="U783">
        <f>IF(Cardiac_Table[[#This Row],[Patient Status at Discharge]]="Died", 1,0)</f>
        <v>0</v>
      </c>
      <c r="V783">
        <f>Cardiac_Table[[#This Row],[Risk of Death % (Model 1)]]/100</f>
        <v>0.23039999999999999</v>
      </c>
      <c r="W783">
        <f>Cardiac_Table[[#This Row],[Risk of Death % (Model 2)]]/100</f>
        <v>0.1051</v>
      </c>
      <c r="X783" s="18">
        <f>Cardiac_Table[[#This Row],[Procedure Start Date and Time]]-Cardiac_Table[[#This Row],[Hospital Admit Date ]]</f>
        <v>2.5604166666671517</v>
      </c>
    </row>
    <row r="784" spans="1:24" x14ac:dyDescent="0.35">
      <c r="A784">
        <v>793</v>
      </c>
      <c r="B784" s="9">
        <v>44071.296527777777</v>
      </c>
      <c r="C784" s="10">
        <f>INT(Cardiac_Table[[#This Row],[Hospital Admit Date ]])</f>
        <v>44071</v>
      </c>
      <c r="D784" s="11" t="str">
        <f t="shared" si="12"/>
        <v>07:07</v>
      </c>
      <c r="E784" s="9">
        <v>44071.604166666664</v>
      </c>
      <c r="F784" s="10">
        <f>INT(Cardiac_Table[[#This Row],[Procedure Start Date and Time]])</f>
        <v>44071</v>
      </c>
      <c r="G784" s="12">
        <f>MOD(Cardiac_Table[[#This Row],[Procedure Start Date and Time]],1)</f>
        <v>0.60416666666424135</v>
      </c>
      <c r="H784">
        <v>5</v>
      </c>
      <c r="I784" t="s">
        <v>4</v>
      </c>
      <c r="J784" t="s">
        <v>3</v>
      </c>
      <c r="K784" t="s">
        <v>27</v>
      </c>
      <c r="L784">
        <v>76</v>
      </c>
      <c r="M784">
        <v>4.53</v>
      </c>
      <c r="N784">
        <v>1.19</v>
      </c>
      <c r="O784" t="s">
        <v>15</v>
      </c>
      <c r="P784">
        <v>78</v>
      </c>
      <c r="Q784">
        <v>173</v>
      </c>
      <c r="R784">
        <v>70</v>
      </c>
      <c r="S784">
        <v>55</v>
      </c>
      <c r="T784" t="s">
        <v>48</v>
      </c>
      <c r="U784">
        <f>IF(Cardiac_Table[[#This Row],[Patient Status at Discharge]]="Died", 1,0)</f>
        <v>0</v>
      </c>
      <c r="V784">
        <f>Cardiac_Table[[#This Row],[Risk of Death % (Model 1)]]/100</f>
        <v>4.53E-2</v>
      </c>
      <c r="W784">
        <f>Cardiac_Table[[#This Row],[Risk of Death % (Model 2)]]/100</f>
        <v>1.1899999999999999E-2</v>
      </c>
      <c r="X784" s="18">
        <f>Cardiac_Table[[#This Row],[Procedure Start Date and Time]]-Cardiac_Table[[#This Row],[Hospital Admit Date ]]</f>
        <v>0.30763888888759539</v>
      </c>
    </row>
    <row r="785" spans="1:24" x14ac:dyDescent="0.35">
      <c r="A785">
        <v>794</v>
      </c>
      <c r="B785" s="9">
        <v>44069.583333333336</v>
      </c>
      <c r="C785" s="10">
        <f>INT(Cardiac_Table[[#This Row],[Hospital Admit Date ]])</f>
        <v>44069</v>
      </c>
      <c r="D785" s="11" t="str">
        <f t="shared" si="12"/>
        <v>14:00</v>
      </c>
      <c r="E785" s="9">
        <v>44071.631944444445</v>
      </c>
      <c r="F785" s="10">
        <f>INT(Cardiac_Table[[#This Row],[Procedure Start Date and Time]])</f>
        <v>44071</v>
      </c>
      <c r="G785" s="12">
        <f>MOD(Cardiac_Table[[#This Row],[Procedure Start Date and Time]],1)</f>
        <v>0.63194444444525288</v>
      </c>
      <c r="H785">
        <v>4</v>
      </c>
      <c r="I785" t="s">
        <v>6</v>
      </c>
      <c r="J785" t="s">
        <v>3</v>
      </c>
      <c r="K785" t="s">
        <v>21</v>
      </c>
      <c r="L785">
        <v>49</v>
      </c>
      <c r="M785">
        <v>2.08</v>
      </c>
      <c r="N785">
        <v>0.95</v>
      </c>
      <c r="O785" t="s">
        <v>15</v>
      </c>
      <c r="P785">
        <v>111</v>
      </c>
      <c r="Q785">
        <v>180</v>
      </c>
      <c r="R785">
        <v>84</v>
      </c>
      <c r="S785">
        <v>44</v>
      </c>
      <c r="T785" t="s">
        <v>50</v>
      </c>
      <c r="U785">
        <f>IF(Cardiac_Table[[#This Row],[Patient Status at Discharge]]="Died", 1,0)</f>
        <v>0</v>
      </c>
      <c r="V785">
        <f>Cardiac_Table[[#This Row],[Risk of Death % (Model 1)]]/100</f>
        <v>2.0799999999999999E-2</v>
      </c>
      <c r="W785">
        <f>Cardiac_Table[[#This Row],[Risk of Death % (Model 2)]]/100</f>
        <v>9.4999999999999998E-3</v>
      </c>
      <c r="X785" s="18">
        <f>Cardiac_Table[[#This Row],[Procedure Start Date and Time]]-Cardiac_Table[[#This Row],[Hospital Admit Date ]]</f>
        <v>2.0486111111094942</v>
      </c>
    </row>
    <row r="786" spans="1:24" x14ac:dyDescent="0.35">
      <c r="A786">
        <v>795</v>
      </c>
      <c r="B786" s="9">
        <v>44071.65902777778</v>
      </c>
      <c r="C786" s="10">
        <f>INT(Cardiac_Table[[#This Row],[Hospital Admit Date ]])</f>
        <v>44071</v>
      </c>
      <c r="D786" s="11" t="str">
        <f t="shared" si="12"/>
        <v>15:49</v>
      </c>
      <c r="E786" s="9">
        <v>44072.333333333336</v>
      </c>
      <c r="F786" s="10">
        <f>INT(Cardiac_Table[[#This Row],[Procedure Start Date and Time]])</f>
        <v>44072</v>
      </c>
      <c r="G786" s="12">
        <f>MOD(Cardiac_Table[[#This Row],[Procedure Start Date and Time]],1)</f>
        <v>0.33333333333575865</v>
      </c>
      <c r="H786">
        <v>5</v>
      </c>
      <c r="I786" t="s">
        <v>4</v>
      </c>
      <c r="J786" t="s">
        <v>3</v>
      </c>
      <c r="K786" t="s">
        <v>32</v>
      </c>
      <c r="L786">
        <v>73</v>
      </c>
      <c r="M786">
        <v>10.4</v>
      </c>
      <c r="N786">
        <v>5.58</v>
      </c>
      <c r="O786" t="s">
        <v>15</v>
      </c>
      <c r="P786">
        <v>104</v>
      </c>
      <c r="Q786">
        <v>175</v>
      </c>
      <c r="R786">
        <v>88</v>
      </c>
      <c r="S786">
        <v>60</v>
      </c>
      <c r="T786" t="s">
        <v>48</v>
      </c>
      <c r="U786">
        <f>IF(Cardiac_Table[[#This Row],[Patient Status at Discharge]]="Died", 1,0)</f>
        <v>0</v>
      </c>
      <c r="V786">
        <f>Cardiac_Table[[#This Row],[Risk of Death % (Model 1)]]/100</f>
        <v>0.10400000000000001</v>
      </c>
      <c r="W786">
        <f>Cardiac_Table[[#This Row],[Risk of Death % (Model 2)]]/100</f>
        <v>5.5800000000000002E-2</v>
      </c>
      <c r="X786" s="18">
        <f>Cardiac_Table[[#This Row],[Procedure Start Date and Time]]-Cardiac_Table[[#This Row],[Hospital Admit Date ]]</f>
        <v>0.67430555555620231</v>
      </c>
    </row>
    <row r="787" spans="1:24" x14ac:dyDescent="0.35">
      <c r="A787">
        <v>796</v>
      </c>
      <c r="B787" s="9">
        <v>44071.666666666664</v>
      </c>
      <c r="C787" s="10">
        <f>INT(Cardiac_Table[[#This Row],[Hospital Admit Date ]])</f>
        <v>44071</v>
      </c>
      <c r="D787" s="11" t="str">
        <f t="shared" si="12"/>
        <v>16:00</v>
      </c>
      <c r="E787" s="9">
        <v>44072.334722222222</v>
      </c>
      <c r="F787" s="10">
        <f>INT(Cardiac_Table[[#This Row],[Procedure Start Date and Time]])</f>
        <v>44072</v>
      </c>
      <c r="G787" s="12">
        <f>MOD(Cardiac_Table[[#This Row],[Procedure Start Date and Time]],1)</f>
        <v>0.33472222222189885</v>
      </c>
      <c r="H787">
        <v>4</v>
      </c>
      <c r="I787" t="s">
        <v>4</v>
      </c>
      <c r="J787" t="s">
        <v>10</v>
      </c>
      <c r="K787" t="s">
        <v>26</v>
      </c>
      <c r="L787">
        <v>73</v>
      </c>
      <c r="M787">
        <v>3.57</v>
      </c>
      <c r="N787">
        <v>1.46</v>
      </c>
      <c r="O787" t="s">
        <v>15</v>
      </c>
      <c r="P787">
        <v>101</v>
      </c>
      <c r="Q787">
        <v>173</v>
      </c>
      <c r="R787">
        <v>86</v>
      </c>
      <c r="S787">
        <v>64</v>
      </c>
      <c r="T787" t="s">
        <v>48</v>
      </c>
      <c r="U787">
        <f>IF(Cardiac_Table[[#This Row],[Patient Status at Discharge]]="Died", 1,0)</f>
        <v>0</v>
      </c>
      <c r="V787">
        <f>Cardiac_Table[[#This Row],[Risk of Death % (Model 1)]]/100</f>
        <v>3.5699999999999996E-2</v>
      </c>
      <c r="W787">
        <f>Cardiac_Table[[#This Row],[Risk of Death % (Model 2)]]/100</f>
        <v>1.46E-2</v>
      </c>
      <c r="X787" s="18">
        <f>Cardiac_Table[[#This Row],[Procedure Start Date and Time]]-Cardiac_Table[[#This Row],[Hospital Admit Date ]]</f>
        <v>0.6680555555576575</v>
      </c>
    </row>
    <row r="788" spans="1:24" x14ac:dyDescent="0.35">
      <c r="A788">
        <v>797</v>
      </c>
      <c r="B788" s="9">
        <v>44072.297222222223</v>
      </c>
      <c r="C788" s="10">
        <f>INT(Cardiac_Table[[#This Row],[Hospital Admit Date ]])</f>
        <v>44072</v>
      </c>
      <c r="D788" s="11" t="str">
        <f t="shared" si="12"/>
        <v>07:08</v>
      </c>
      <c r="E788" s="9">
        <v>44072.444444444445</v>
      </c>
      <c r="F788" s="10">
        <f>INT(Cardiac_Table[[#This Row],[Procedure Start Date and Time]])</f>
        <v>44072</v>
      </c>
      <c r="G788" s="12">
        <f>MOD(Cardiac_Table[[#This Row],[Procedure Start Date and Time]],1)</f>
        <v>0.44444444444525288</v>
      </c>
      <c r="H788">
        <v>5</v>
      </c>
      <c r="I788" t="s">
        <v>4</v>
      </c>
      <c r="J788" t="s">
        <v>3</v>
      </c>
      <c r="K788" t="s">
        <v>32</v>
      </c>
      <c r="L788">
        <v>77</v>
      </c>
      <c r="M788">
        <v>18.21</v>
      </c>
      <c r="N788">
        <v>5.24</v>
      </c>
      <c r="O788" t="s">
        <v>15</v>
      </c>
      <c r="P788">
        <v>155</v>
      </c>
      <c r="Q788">
        <v>166</v>
      </c>
      <c r="R788">
        <v>96</v>
      </c>
      <c r="S788">
        <v>55</v>
      </c>
      <c r="T788" t="s">
        <v>48</v>
      </c>
      <c r="U788">
        <f>IF(Cardiac_Table[[#This Row],[Patient Status at Discharge]]="Died", 1,0)</f>
        <v>0</v>
      </c>
      <c r="V788">
        <f>Cardiac_Table[[#This Row],[Risk of Death % (Model 1)]]/100</f>
        <v>0.18210000000000001</v>
      </c>
      <c r="W788">
        <f>Cardiac_Table[[#This Row],[Risk of Death % (Model 2)]]/100</f>
        <v>5.2400000000000002E-2</v>
      </c>
      <c r="X788" s="18">
        <f>Cardiac_Table[[#This Row],[Procedure Start Date and Time]]-Cardiac_Table[[#This Row],[Hospital Admit Date ]]</f>
        <v>0.14722222222189885</v>
      </c>
    </row>
    <row r="789" spans="1:24" x14ac:dyDescent="0.35">
      <c r="A789">
        <v>798</v>
      </c>
      <c r="B789" s="9">
        <v>44072.290277777778</v>
      </c>
      <c r="C789" s="10">
        <f>INT(Cardiac_Table[[#This Row],[Hospital Admit Date ]])</f>
        <v>44072</v>
      </c>
      <c r="D789" s="11" t="str">
        <f t="shared" si="12"/>
        <v>06:58</v>
      </c>
      <c r="E789" s="9">
        <v>44072.522222222222</v>
      </c>
      <c r="F789" s="10">
        <f>INT(Cardiac_Table[[#This Row],[Procedure Start Date and Time]])</f>
        <v>44072</v>
      </c>
      <c r="G789" s="12">
        <f>MOD(Cardiac_Table[[#This Row],[Procedure Start Date and Time]],1)</f>
        <v>0.52222222222189885</v>
      </c>
      <c r="H789">
        <v>4</v>
      </c>
      <c r="I789" t="s">
        <v>4</v>
      </c>
      <c r="J789" t="s">
        <v>3</v>
      </c>
      <c r="K789" t="s">
        <v>26</v>
      </c>
      <c r="L789">
        <v>75</v>
      </c>
      <c r="M789">
        <v>4.25</v>
      </c>
      <c r="N789">
        <v>1.03</v>
      </c>
      <c r="O789" t="s">
        <v>15</v>
      </c>
      <c r="P789">
        <v>127</v>
      </c>
      <c r="Q789">
        <v>166</v>
      </c>
      <c r="R789">
        <v>92</v>
      </c>
      <c r="S789">
        <v>14</v>
      </c>
      <c r="T789" t="s">
        <v>51</v>
      </c>
      <c r="U789">
        <f>IF(Cardiac_Table[[#This Row],[Patient Status at Discharge]]="Died", 1,0)</f>
        <v>0</v>
      </c>
      <c r="V789">
        <f>Cardiac_Table[[#This Row],[Risk of Death % (Model 1)]]/100</f>
        <v>4.2500000000000003E-2</v>
      </c>
      <c r="W789">
        <f>Cardiac_Table[[#This Row],[Risk of Death % (Model 2)]]/100</f>
        <v>1.03E-2</v>
      </c>
      <c r="X789" s="18">
        <f>Cardiac_Table[[#This Row],[Procedure Start Date and Time]]-Cardiac_Table[[#This Row],[Hospital Admit Date ]]</f>
        <v>0.23194444444379769</v>
      </c>
    </row>
    <row r="790" spans="1:24" x14ac:dyDescent="0.35">
      <c r="A790">
        <v>799</v>
      </c>
      <c r="B790" s="9">
        <v>44064.458333333336</v>
      </c>
      <c r="C790" s="10">
        <f>INT(Cardiac_Table[[#This Row],[Hospital Admit Date ]])</f>
        <v>44064</v>
      </c>
      <c r="D790" s="11" t="str">
        <f t="shared" si="12"/>
        <v>11:00</v>
      </c>
      <c r="E790" s="9">
        <v>44072.609722222223</v>
      </c>
      <c r="F790" s="10">
        <f>INT(Cardiac_Table[[#This Row],[Procedure Start Date and Time]])</f>
        <v>44072</v>
      </c>
      <c r="G790" s="12">
        <f>MOD(Cardiac_Table[[#This Row],[Procedure Start Date and Time]],1)</f>
        <v>0.60972222222335404</v>
      </c>
      <c r="H790">
        <v>5</v>
      </c>
      <c r="I790" t="s">
        <v>6</v>
      </c>
      <c r="J790" t="s">
        <v>11</v>
      </c>
      <c r="K790" t="s">
        <v>32</v>
      </c>
      <c r="L790">
        <v>81</v>
      </c>
      <c r="M790">
        <v>15.08</v>
      </c>
      <c r="N790">
        <v>9.1999999999999993</v>
      </c>
      <c r="O790" t="s">
        <v>15</v>
      </c>
      <c r="P790">
        <v>75</v>
      </c>
      <c r="Q790">
        <v>183</v>
      </c>
      <c r="R790">
        <v>83</v>
      </c>
      <c r="S790">
        <v>65</v>
      </c>
      <c r="T790" t="s">
        <v>48</v>
      </c>
      <c r="U790">
        <f>IF(Cardiac_Table[[#This Row],[Patient Status at Discharge]]="Died", 1,0)</f>
        <v>0</v>
      </c>
      <c r="V790">
        <f>Cardiac_Table[[#This Row],[Risk of Death % (Model 1)]]/100</f>
        <v>0.15079999999999999</v>
      </c>
      <c r="W790">
        <f>Cardiac_Table[[#This Row],[Risk of Death % (Model 2)]]/100</f>
        <v>9.1999999999999998E-2</v>
      </c>
      <c r="X790" s="18">
        <f>Cardiac_Table[[#This Row],[Procedure Start Date and Time]]-Cardiac_Table[[#This Row],[Hospital Admit Date ]]</f>
        <v>8.1513888888875954</v>
      </c>
    </row>
    <row r="791" spans="1:24" x14ac:dyDescent="0.35">
      <c r="A791">
        <v>800</v>
      </c>
      <c r="B791" s="9">
        <v>44073.583333333336</v>
      </c>
      <c r="C791" s="10">
        <f>INT(Cardiac_Table[[#This Row],[Hospital Admit Date ]])</f>
        <v>44073</v>
      </c>
      <c r="D791" s="11" t="str">
        <f t="shared" si="12"/>
        <v>14:00</v>
      </c>
      <c r="E791" s="9">
        <v>44075.34375</v>
      </c>
      <c r="F791" s="10">
        <f>INT(Cardiac_Table[[#This Row],[Procedure Start Date and Time]])</f>
        <v>44075</v>
      </c>
      <c r="G791" s="12">
        <f>MOD(Cardiac_Table[[#This Row],[Procedure Start Date and Time]],1)</f>
        <v>0.34375</v>
      </c>
      <c r="H791">
        <v>2</v>
      </c>
      <c r="I791" t="s">
        <v>6</v>
      </c>
      <c r="J791" t="s">
        <v>11</v>
      </c>
      <c r="K791" t="s">
        <v>29</v>
      </c>
      <c r="L791">
        <v>73</v>
      </c>
      <c r="M791">
        <v>3.74</v>
      </c>
      <c r="N791">
        <v>2.5499999999999998</v>
      </c>
      <c r="O791" t="s">
        <v>15</v>
      </c>
      <c r="P791">
        <v>77</v>
      </c>
      <c r="Q791">
        <v>153</v>
      </c>
      <c r="R791">
        <v>63</v>
      </c>
      <c r="S791">
        <v>47</v>
      </c>
      <c r="T791" t="s">
        <v>50</v>
      </c>
      <c r="U791">
        <f>IF(Cardiac_Table[[#This Row],[Patient Status at Discharge]]="Died", 1,0)</f>
        <v>0</v>
      </c>
      <c r="V791">
        <f>Cardiac_Table[[#This Row],[Risk of Death % (Model 1)]]/100</f>
        <v>3.7400000000000003E-2</v>
      </c>
      <c r="W791">
        <f>Cardiac_Table[[#This Row],[Risk of Death % (Model 2)]]/100</f>
        <v>2.5499999999999998E-2</v>
      </c>
      <c r="X791" s="18">
        <f>Cardiac_Table[[#This Row],[Procedure Start Date and Time]]-Cardiac_Table[[#This Row],[Hospital Admit Date ]]</f>
        <v>1.7604166666642413</v>
      </c>
    </row>
    <row r="792" spans="1:24" x14ac:dyDescent="0.35">
      <c r="A792">
        <v>802</v>
      </c>
      <c r="B792" s="9">
        <v>44052.416666666664</v>
      </c>
      <c r="C792" s="10">
        <f>INT(Cardiac_Table[[#This Row],[Hospital Admit Date ]])</f>
        <v>44052</v>
      </c>
      <c r="D792" s="11" t="str">
        <f t="shared" si="12"/>
        <v>10:00</v>
      </c>
      <c r="E792" s="9">
        <v>44075.347222222219</v>
      </c>
      <c r="F792" s="10">
        <f>INT(Cardiac_Table[[#This Row],[Procedure Start Date and Time]])</f>
        <v>44075</v>
      </c>
      <c r="G792" s="12">
        <f>MOD(Cardiac_Table[[#This Row],[Procedure Start Date and Time]],1)</f>
        <v>0.34722222221898846</v>
      </c>
      <c r="H792">
        <v>4</v>
      </c>
      <c r="I792" t="s">
        <v>4</v>
      </c>
      <c r="J792" t="s">
        <v>3</v>
      </c>
      <c r="K792" t="s">
        <v>35</v>
      </c>
      <c r="L792">
        <v>47</v>
      </c>
      <c r="M792">
        <v>3.37</v>
      </c>
      <c r="N792">
        <v>1.29</v>
      </c>
      <c r="O792" t="s">
        <v>15</v>
      </c>
      <c r="P792">
        <v>101</v>
      </c>
      <c r="Q792">
        <v>180</v>
      </c>
      <c r="R792">
        <v>82</v>
      </c>
      <c r="S792">
        <v>45</v>
      </c>
      <c r="T792" t="s">
        <v>50</v>
      </c>
      <c r="U792">
        <f>IF(Cardiac_Table[[#This Row],[Patient Status at Discharge]]="Died", 1,0)</f>
        <v>0</v>
      </c>
      <c r="V792">
        <f>Cardiac_Table[[#This Row],[Risk of Death % (Model 1)]]/100</f>
        <v>3.3700000000000001E-2</v>
      </c>
      <c r="W792">
        <f>Cardiac_Table[[#This Row],[Risk of Death % (Model 2)]]/100</f>
        <v>1.29E-2</v>
      </c>
      <c r="X792" s="18">
        <f>Cardiac_Table[[#This Row],[Procedure Start Date and Time]]-Cardiac_Table[[#This Row],[Hospital Admit Date ]]</f>
        <v>22.930555555554747</v>
      </c>
    </row>
    <row r="793" spans="1:24" x14ac:dyDescent="0.35">
      <c r="A793">
        <v>803</v>
      </c>
      <c r="B793" s="9">
        <v>44075.322916666664</v>
      </c>
      <c r="C793" s="10">
        <f>INT(Cardiac_Table[[#This Row],[Hospital Admit Date ]])</f>
        <v>44075</v>
      </c>
      <c r="D793" s="11" t="str">
        <f t="shared" si="12"/>
        <v>07:45</v>
      </c>
      <c r="E793" s="9">
        <v>44075.577777777777</v>
      </c>
      <c r="F793" s="10">
        <f>INT(Cardiac_Table[[#This Row],[Procedure Start Date and Time]])</f>
        <v>44075</v>
      </c>
      <c r="G793" s="12">
        <f>MOD(Cardiac_Table[[#This Row],[Procedure Start Date and Time]],1)</f>
        <v>0.57777777777664596</v>
      </c>
      <c r="H793">
        <v>5</v>
      </c>
      <c r="I793" t="s">
        <v>4</v>
      </c>
      <c r="J793" t="s">
        <v>10</v>
      </c>
      <c r="K793" t="s">
        <v>26</v>
      </c>
      <c r="L793">
        <v>60</v>
      </c>
      <c r="M793">
        <v>3.79</v>
      </c>
      <c r="N793">
        <v>3.25</v>
      </c>
      <c r="O793" t="s">
        <v>15</v>
      </c>
      <c r="P793">
        <v>69</v>
      </c>
      <c r="Q793">
        <v>182</v>
      </c>
      <c r="R793">
        <v>112</v>
      </c>
      <c r="S793">
        <v>45</v>
      </c>
      <c r="T793" t="s">
        <v>50</v>
      </c>
      <c r="U793">
        <f>IF(Cardiac_Table[[#This Row],[Patient Status at Discharge]]="Died", 1,0)</f>
        <v>0</v>
      </c>
      <c r="V793">
        <f>Cardiac_Table[[#This Row],[Risk of Death % (Model 1)]]/100</f>
        <v>3.7900000000000003E-2</v>
      </c>
      <c r="W793">
        <f>Cardiac_Table[[#This Row],[Risk of Death % (Model 2)]]/100</f>
        <v>3.2500000000000001E-2</v>
      </c>
      <c r="X793" s="18">
        <f>Cardiac_Table[[#This Row],[Procedure Start Date and Time]]-Cardiac_Table[[#This Row],[Hospital Admit Date ]]</f>
        <v>0.25486111111240461</v>
      </c>
    </row>
    <row r="794" spans="1:24" x14ac:dyDescent="0.35">
      <c r="A794">
        <v>804</v>
      </c>
      <c r="B794" s="9">
        <v>44075.663888888892</v>
      </c>
      <c r="C794" s="10">
        <f>INT(Cardiac_Table[[#This Row],[Hospital Admit Date ]])</f>
        <v>44075</v>
      </c>
      <c r="D794" s="11" t="str">
        <f t="shared" si="12"/>
        <v>15:56</v>
      </c>
      <c r="E794" s="9">
        <v>44076.333333333336</v>
      </c>
      <c r="F794" s="10">
        <f>INT(Cardiac_Table[[#This Row],[Procedure Start Date and Time]])</f>
        <v>44076</v>
      </c>
      <c r="G794" s="12">
        <f>MOD(Cardiac_Table[[#This Row],[Procedure Start Date and Time]],1)</f>
        <v>0.33333333333575865</v>
      </c>
      <c r="H794">
        <v>5</v>
      </c>
      <c r="I794" t="s">
        <v>4</v>
      </c>
      <c r="J794" t="s">
        <v>3</v>
      </c>
      <c r="K794" t="s">
        <v>33</v>
      </c>
      <c r="L794">
        <v>66</v>
      </c>
      <c r="M794">
        <v>3.57</v>
      </c>
      <c r="N794">
        <v>0.81</v>
      </c>
      <c r="O794" t="s">
        <v>15</v>
      </c>
      <c r="P794">
        <v>82</v>
      </c>
      <c r="Q794">
        <v>172</v>
      </c>
      <c r="R794">
        <v>96</v>
      </c>
      <c r="S794">
        <v>65</v>
      </c>
      <c r="T794" t="s">
        <v>48</v>
      </c>
      <c r="U794">
        <f>IF(Cardiac_Table[[#This Row],[Patient Status at Discharge]]="Died", 1,0)</f>
        <v>0</v>
      </c>
      <c r="V794">
        <f>Cardiac_Table[[#This Row],[Risk of Death % (Model 1)]]/100</f>
        <v>3.5699999999999996E-2</v>
      </c>
      <c r="W794">
        <f>Cardiac_Table[[#This Row],[Risk of Death % (Model 2)]]/100</f>
        <v>8.1000000000000013E-3</v>
      </c>
      <c r="X794" s="18">
        <f>Cardiac_Table[[#This Row],[Procedure Start Date and Time]]-Cardiac_Table[[#This Row],[Hospital Admit Date ]]</f>
        <v>0.66944444444379769</v>
      </c>
    </row>
    <row r="795" spans="1:24" x14ac:dyDescent="0.35">
      <c r="A795">
        <v>805</v>
      </c>
      <c r="B795" s="9">
        <v>44075.666666666664</v>
      </c>
      <c r="C795" s="10">
        <f>INT(Cardiac_Table[[#This Row],[Hospital Admit Date ]])</f>
        <v>44075</v>
      </c>
      <c r="D795" s="11" t="str">
        <f t="shared" si="12"/>
        <v>16:00</v>
      </c>
      <c r="E795" s="9">
        <v>44076.345138888886</v>
      </c>
      <c r="F795" s="10">
        <f>INT(Cardiac_Table[[#This Row],[Procedure Start Date and Time]])</f>
        <v>44076</v>
      </c>
      <c r="G795" s="12">
        <f>MOD(Cardiac_Table[[#This Row],[Procedure Start Date and Time]],1)</f>
        <v>0.34513888888614019</v>
      </c>
      <c r="H795">
        <v>2</v>
      </c>
      <c r="I795" t="s">
        <v>4</v>
      </c>
      <c r="J795" t="s">
        <v>3</v>
      </c>
      <c r="K795" t="s">
        <v>28</v>
      </c>
      <c r="L795">
        <v>60</v>
      </c>
      <c r="M795">
        <v>1.61</v>
      </c>
      <c r="N795">
        <v>0.5</v>
      </c>
      <c r="O795" t="s">
        <v>15</v>
      </c>
      <c r="P795">
        <v>85</v>
      </c>
      <c r="Q795">
        <v>170</v>
      </c>
      <c r="R795">
        <v>93</v>
      </c>
      <c r="S795">
        <v>45</v>
      </c>
      <c r="T795" t="s">
        <v>50</v>
      </c>
      <c r="U795">
        <f>IF(Cardiac_Table[[#This Row],[Patient Status at Discharge]]="Died", 1,0)</f>
        <v>0</v>
      </c>
      <c r="V795">
        <f>Cardiac_Table[[#This Row],[Risk of Death % (Model 1)]]/100</f>
        <v>1.61E-2</v>
      </c>
      <c r="W795">
        <f>Cardiac_Table[[#This Row],[Risk of Death % (Model 2)]]/100</f>
        <v>5.0000000000000001E-3</v>
      </c>
      <c r="X795" s="18">
        <f>Cardiac_Table[[#This Row],[Procedure Start Date and Time]]-Cardiac_Table[[#This Row],[Hospital Admit Date ]]</f>
        <v>0.67847222222189885</v>
      </c>
    </row>
    <row r="796" spans="1:24" x14ac:dyDescent="0.35">
      <c r="A796">
        <v>806</v>
      </c>
      <c r="B796" s="9">
        <v>44075.666666666664</v>
      </c>
      <c r="C796" s="10">
        <f>INT(Cardiac_Table[[#This Row],[Hospital Admit Date ]])</f>
        <v>44075</v>
      </c>
      <c r="D796" s="11" t="str">
        <f t="shared" si="12"/>
        <v>16:00</v>
      </c>
      <c r="E796" s="9">
        <v>44076.356249999997</v>
      </c>
      <c r="F796" s="10">
        <f>INT(Cardiac_Table[[#This Row],[Procedure Start Date and Time]])</f>
        <v>44076</v>
      </c>
      <c r="G796" s="12">
        <f>MOD(Cardiac_Table[[#This Row],[Procedure Start Date and Time]],1)</f>
        <v>0.35624999999708962</v>
      </c>
      <c r="H796">
        <v>6</v>
      </c>
      <c r="I796" t="s">
        <v>4</v>
      </c>
      <c r="J796" t="s">
        <v>3</v>
      </c>
      <c r="K796" t="s">
        <v>32</v>
      </c>
      <c r="L796">
        <v>64</v>
      </c>
      <c r="M796">
        <v>2.09</v>
      </c>
      <c r="N796">
        <v>0.75</v>
      </c>
      <c r="O796" t="s">
        <v>15</v>
      </c>
      <c r="P796">
        <v>71</v>
      </c>
      <c r="Q796">
        <v>171</v>
      </c>
      <c r="R796">
        <v>80</v>
      </c>
      <c r="S796">
        <v>55</v>
      </c>
      <c r="T796" t="s">
        <v>48</v>
      </c>
      <c r="U796">
        <f>IF(Cardiac_Table[[#This Row],[Patient Status at Discharge]]="Died", 1,0)</f>
        <v>0</v>
      </c>
      <c r="V796">
        <f>Cardiac_Table[[#This Row],[Risk of Death % (Model 1)]]/100</f>
        <v>2.0899999999999998E-2</v>
      </c>
      <c r="W796">
        <f>Cardiac_Table[[#This Row],[Risk of Death % (Model 2)]]/100</f>
        <v>7.4999999999999997E-3</v>
      </c>
      <c r="X796" s="18">
        <f>Cardiac_Table[[#This Row],[Procedure Start Date and Time]]-Cardiac_Table[[#This Row],[Hospital Admit Date ]]</f>
        <v>0.68958333333284827</v>
      </c>
    </row>
    <row r="797" spans="1:24" x14ac:dyDescent="0.35">
      <c r="A797">
        <v>807</v>
      </c>
      <c r="B797" s="9">
        <v>44070.679166666669</v>
      </c>
      <c r="C797" s="10">
        <f>INT(Cardiac_Table[[#This Row],[Hospital Admit Date ]])</f>
        <v>44070</v>
      </c>
      <c r="D797" s="11" t="str">
        <f t="shared" si="12"/>
        <v>16:18</v>
      </c>
      <c r="E797" s="9">
        <v>44076.364583333336</v>
      </c>
      <c r="F797" s="10">
        <f>INT(Cardiac_Table[[#This Row],[Procedure Start Date and Time]])</f>
        <v>44076</v>
      </c>
      <c r="G797" s="12">
        <f>MOD(Cardiac_Table[[#This Row],[Procedure Start Date and Time]],1)</f>
        <v>0.36458333333575865</v>
      </c>
      <c r="H797">
        <v>4</v>
      </c>
      <c r="I797" t="s">
        <v>6</v>
      </c>
      <c r="J797" t="s">
        <v>10</v>
      </c>
      <c r="K797" t="s">
        <v>31</v>
      </c>
      <c r="L797">
        <v>78</v>
      </c>
      <c r="M797">
        <v>49.2</v>
      </c>
      <c r="N797">
        <v>13.95</v>
      </c>
      <c r="O797" t="s">
        <v>15</v>
      </c>
      <c r="P797">
        <v>64</v>
      </c>
      <c r="Q797">
        <v>166</v>
      </c>
      <c r="R797">
        <v>70</v>
      </c>
      <c r="S797">
        <v>54</v>
      </c>
      <c r="T797" t="s">
        <v>48</v>
      </c>
      <c r="U797">
        <f>IF(Cardiac_Table[[#This Row],[Patient Status at Discharge]]="Died", 1,0)</f>
        <v>0</v>
      </c>
      <c r="V797">
        <f>Cardiac_Table[[#This Row],[Risk of Death % (Model 1)]]/100</f>
        <v>0.49200000000000005</v>
      </c>
      <c r="W797">
        <f>Cardiac_Table[[#This Row],[Risk of Death % (Model 2)]]/100</f>
        <v>0.13949999999999999</v>
      </c>
      <c r="X797" s="18">
        <f>Cardiac_Table[[#This Row],[Procedure Start Date and Time]]-Cardiac_Table[[#This Row],[Hospital Admit Date ]]</f>
        <v>5.6854166666671517</v>
      </c>
    </row>
    <row r="798" spans="1:24" x14ac:dyDescent="0.35">
      <c r="A798">
        <v>808</v>
      </c>
      <c r="B798" s="9">
        <v>44076.296527777777</v>
      </c>
      <c r="C798" s="10">
        <f>INT(Cardiac_Table[[#This Row],[Hospital Admit Date ]])</f>
        <v>44076</v>
      </c>
      <c r="D798" s="11" t="str">
        <f t="shared" si="12"/>
        <v>07:07</v>
      </c>
      <c r="E798" s="9">
        <v>44076.503472222219</v>
      </c>
      <c r="F798" s="10">
        <f>INT(Cardiac_Table[[#This Row],[Procedure Start Date and Time]])</f>
        <v>44076</v>
      </c>
      <c r="G798" s="12">
        <f>MOD(Cardiac_Table[[#This Row],[Procedure Start Date and Time]],1)</f>
        <v>0.50347222221898846</v>
      </c>
      <c r="H798">
        <v>6</v>
      </c>
      <c r="I798" t="s">
        <v>4</v>
      </c>
      <c r="J798" t="s">
        <v>11</v>
      </c>
      <c r="K798" t="s">
        <v>32</v>
      </c>
      <c r="L798">
        <v>82</v>
      </c>
      <c r="M798">
        <v>8.9700000000000006</v>
      </c>
      <c r="N798">
        <v>5.07</v>
      </c>
      <c r="O798" t="s">
        <v>13</v>
      </c>
      <c r="P798">
        <v>135</v>
      </c>
      <c r="Q798">
        <v>177</v>
      </c>
      <c r="R798">
        <v>85</v>
      </c>
      <c r="S798">
        <v>45</v>
      </c>
      <c r="T798" t="s">
        <v>50</v>
      </c>
      <c r="U798">
        <f>IF(Cardiac_Table[[#This Row],[Patient Status at Discharge]]="Died", 1,0)</f>
        <v>1</v>
      </c>
      <c r="V798">
        <f>Cardiac_Table[[#This Row],[Risk of Death % (Model 1)]]/100</f>
        <v>8.9700000000000002E-2</v>
      </c>
      <c r="W798">
        <f>Cardiac_Table[[#This Row],[Risk of Death % (Model 2)]]/100</f>
        <v>5.0700000000000002E-2</v>
      </c>
      <c r="X798" s="18">
        <f>Cardiac_Table[[#This Row],[Procedure Start Date and Time]]-Cardiac_Table[[#This Row],[Hospital Admit Date ]]</f>
        <v>0.2069444444423425</v>
      </c>
    </row>
    <row r="799" spans="1:24" x14ac:dyDescent="0.35">
      <c r="A799">
        <v>809</v>
      </c>
      <c r="B799" s="9">
        <v>44076.295138888891</v>
      </c>
      <c r="C799" s="10">
        <f>INT(Cardiac_Table[[#This Row],[Hospital Admit Date ]])</f>
        <v>44076</v>
      </c>
      <c r="D799" s="11" t="str">
        <f t="shared" si="12"/>
        <v>07:05</v>
      </c>
      <c r="E799" s="9">
        <v>44076.537499999999</v>
      </c>
      <c r="F799" s="10">
        <f>INT(Cardiac_Table[[#This Row],[Procedure Start Date and Time]])</f>
        <v>44076</v>
      </c>
      <c r="G799" s="12">
        <f>MOD(Cardiac_Table[[#This Row],[Procedure Start Date and Time]],1)</f>
        <v>0.53749999999854481</v>
      </c>
      <c r="H799">
        <v>4</v>
      </c>
      <c r="I799" t="s">
        <v>4</v>
      </c>
      <c r="J799" t="s">
        <v>3</v>
      </c>
      <c r="K799" t="s">
        <v>31</v>
      </c>
      <c r="L799">
        <v>62</v>
      </c>
      <c r="M799">
        <v>2.5299999999999998</v>
      </c>
      <c r="N799">
        <v>0.89</v>
      </c>
      <c r="O799" t="s">
        <v>15</v>
      </c>
      <c r="P799">
        <v>61</v>
      </c>
      <c r="Q799">
        <v>178</v>
      </c>
      <c r="R799">
        <v>90</v>
      </c>
      <c r="S799">
        <v>45</v>
      </c>
      <c r="T799" t="s">
        <v>50</v>
      </c>
      <c r="U799">
        <f>IF(Cardiac_Table[[#This Row],[Patient Status at Discharge]]="Died", 1,0)</f>
        <v>0</v>
      </c>
      <c r="V799">
        <f>Cardiac_Table[[#This Row],[Risk of Death % (Model 1)]]/100</f>
        <v>2.53E-2</v>
      </c>
      <c r="W799">
        <f>Cardiac_Table[[#This Row],[Risk of Death % (Model 2)]]/100</f>
        <v>8.8999999999999999E-3</v>
      </c>
      <c r="X799" s="18">
        <f>Cardiac_Table[[#This Row],[Procedure Start Date and Time]]-Cardiac_Table[[#This Row],[Hospital Admit Date ]]</f>
        <v>0.24236111110803904</v>
      </c>
    </row>
    <row r="800" spans="1:24" x14ac:dyDescent="0.35">
      <c r="A800">
        <v>810</v>
      </c>
      <c r="B800" s="9">
        <v>44076.329861111109</v>
      </c>
      <c r="C800" s="10">
        <f>INT(Cardiac_Table[[#This Row],[Hospital Admit Date ]])</f>
        <v>44076</v>
      </c>
      <c r="D800" s="11" t="str">
        <f t="shared" si="12"/>
        <v>07:55</v>
      </c>
      <c r="E800" s="9">
        <v>44076.5625</v>
      </c>
      <c r="F800" s="10">
        <f>INT(Cardiac_Table[[#This Row],[Procedure Start Date and Time]])</f>
        <v>44076</v>
      </c>
      <c r="G800" s="12">
        <f>MOD(Cardiac_Table[[#This Row],[Procedure Start Date and Time]],1)</f>
        <v>0.5625</v>
      </c>
      <c r="H800">
        <v>5</v>
      </c>
      <c r="I800" t="s">
        <v>4</v>
      </c>
      <c r="J800" t="s">
        <v>10</v>
      </c>
      <c r="K800" t="s">
        <v>33</v>
      </c>
      <c r="L800">
        <v>75</v>
      </c>
      <c r="M800">
        <v>7.03</v>
      </c>
      <c r="N800">
        <v>4.2300000000000004</v>
      </c>
      <c r="O800" t="s">
        <v>15</v>
      </c>
      <c r="P800">
        <v>65</v>
      </c>
      <c r="Q800">
        <v>170</v>
      </c>
      <c r="R800">
        <v>83</v>
      </c>
      <c r="S800">
        <v>55</v>
      </c>
      <c r="T800" t="s">
        <v>48</v>
      </c>
      <c r="U800">
        <f>IF(Cardiac_Table[[#This Row],[Patient Status at Discharge]]="Died", 1,0)</f>
        <v>0</v>
      </c>
      <c r="V800">
        <f>Cardiac_Table[[#This Row],[Risk of Death % (Model 1)]]/100</f>
        <v>7.0300000000000001E-2</v>
      </c>
      <c r="W800">
        <f>Cardiac_Table[[#This Row],[Risk of Death % (Model 2)]]/100</f>
        <v>4.2300000000000004E-2</v>
      </c>
      <c r="X800" s="18">
        <f>Cardiac_Table[[#This Row],[Procedure Start Date and Time]]-Cardiac_Table[[#This Row],[Hospital Admit Date ]]</f>
        <v>0.23263888889050577</v>
      </c>
    </row>
    <row r="801" spans="1:24" x14ac:dyDescent="0.35">
      <c r="A801">
        <v>811</v>
      </c>
      <c r="B801" s="9">
        <v>44075.707638888889</v>
      </c>
      <c r="C801" s="10">
        <f>INT(Cardiac_Table[[#This Row],[Hospital Admit Date ]])</f>
        <v>44075</v>
      </c>
      <c r="D801" s="11" t="str">
        <f t="shared" si="12"/>
        <v>16:59</v>
      </c>
      <c r="E801" s="9">
        <v>44076.675694444442</v>
      </c>
      <c r="F801" s="10">
        <f>INT(Cardiac_Table[[#This Row],[Procedure Start Date and Time]])</f>
        <v>44076</v>
      </c>
      <c r="G801" s="12">
        <f>MOD(Cardiac_Table[[#This Row],[Procedure Start Date and Time]],1)</f>
        <v>0.6756944444423425</v>
      </c>
      <c r="H801">
        <v>1</v>
      </c>
      <c r="I801" t="s">
        <v>2</v>
      </c>
      <c r="J801" t="s">
        <v>3</v>
      </c>
      <c r="K801" t="s">
        <v>30</v>
      </c>
      <c r="L801">
        <v>31</v>
      </c>
      <c r="M801">
        <v>1.78</v>
      </c>
      <c r="N801">
        <v>1</v>
      </c>
      <c r="O801" t="s">
        <v>15</v>
      </c>
      <c r="P801">
        <v>75</v>
      </c>
      <c r="Q801">
        <v>164</v>
      </c>
      <c r="R801">
        <v>58</v>
      </c>
      <c r="S801">
        <v>35</v>
      </c>
      <c r="T801" t="s">
        <v>50</v>
      </c>
      <c r="U801">
        <f>IF(Cardiac_Table[[#This Row],[Patient Status at Discharge]]="Died", 1,0)</f>
        <v>0</v>
      </c>
      <c r="V801">
        <f>Cardiac_Table[[#This Row],[Risk of Death % (Model 1)]]/100</f>
        <v>1.78E-2</v>
      </c>
      <c r="W801">
        <f>Cardiac_Table[[#This Row],[Risk of Death % (Model 2)]]/100</f>
        <v>0.01</v>
      </c>
      <c r="X801" s="18">
        <f>Cardiac_Table[[#This Row],[Procedure Start Date and Time]]-Cardiac_Table[[#This Row],[Hospital Admit Date ]]</f>
        <v>0.96805555555329192</v>
      </c>
    </row>
    <row r="802" spans="1:24" x14ac:dyDescent="0.35">
      <c r="A802">
        <v>812</v>
      </c>
      <c r="B802" s="9">
        <v>44076.615277777775</v>
      </c>
      <c r="C802" s="10">
        <f>INT(Cardiac_Table[[#This Row],[Hospital Admit Date ]])</f>
        <v>44076</v>
      </c>
      <c r="D802" s="11" t="str">
        <f t="shared" si="12"/>
        <v>14:46</v>
      </c>
      <c r="E802" s="9">
        <v>44077.343055555553</v>
      </c>
      <c r="F802" s="10">
        <f>INT(Cardiac_Table[[#This Row],[Procedure Start Date and Time]])</f>
        <v>44077</v>
      </c>
      <c r="G802" s="12">
        <f>MOD(Cardiac_Table[[#This Row],[Procedure Start Date and Time]],1)</f>
        <v>0.34305555555329192</v>
      </c>
      <c r="H802">
        <v>5</v>
      </c>
      <c r="I802" t="s">
        <v>4</v>
      </c>
      <c r="J802" t="s">
        <v>3</v>
      </c>
      <c r="K802" t="s">
        <v>32</v>
      </c>
      <c r="L802">
        <v>71</v>
      </c>
      <c r="M802">
        <v>21.47</v>
      </c>
      <c r="N802">
        <v>4.03</v>
      </c>
      <c r="O802" t="s">
        <v>15</v>
      </c>
      <c r="P802">
        <v>98</v>
      </c>
      <c r="Q802">
        <v>183</v>
      </c>
      <c r="R802">
        <v>70</v>
      </c>
      <c r="S802">
        <v>62</v>
      </c>
      <c r="T802" t="s">
        <v>48</v>
      </c>
      <c r="U802">
        <f>IF(Cardiac_Table[[#This Row],[Patient Status at Discharge]]="Died", 1,0)</f>
        <v>0</v>
      </c>
      <c r="V802">
        <f>Cardiac_Table[[#This Row],[Risk of Death % (Model 1)]]/100</f>
        <v>0.2147</v>
      </c>
      <c r="W802">
        <f>Cardiac_Table[[#This Row],[Risk of Death % (Model 2)]]/100</f>
        <v>4.0300000000000002E-2</v>
      </c>
      <c r="X802" s="18">
        <f>Cardiac_Table[[#This Row],[Procedure Start Date and Time]]-Cardiac_Table[[#This Row],[Hospital Admit Date ]]</f>
        <v>0.72777777777810115</v>
      </c>
    </row>
    <row r="803" spans="1:24" x14ac:dyDescent="0.35">
      <c r="A803">
        <v>813</v>
      </c>
      <c r="B803" s="9">
        <v>44076.631944444445</v>
      </c>
      <c r="C803" s="10">
        <f>INT(Cardiac_Table[[#This Row],[Hospital Admit Date ]])</f>
        <v>44076</v>
      </c>
      <c r="D803" s="11" t="str">
        <f t="shared" si="12"/>
        <v>15:10</v>
      </c>
      <c r="E803" s="9">
        <v>44077.34375</v>
      </c>
      <c r="F803" s="10">
        <f>INT(Cardiac_Table[[#This Row],[Procedure Start Date and Time]])</f>
        <v>44077</v>
      </c>
      <c r="G803" s="12">
        <f>MOD(Cardiac_Table[[#This Row],[Procedure Start Date and Time]],1)</f>
        <v>0.34375</v>
      </c>
      <c r="H803">
        <v>3</v>
      </c>
      <c r="I803" t="s">
        <v>4</v>
      </c>
      <c r="J803" t="s">
        <v>3</v>
      </c>
      <c r="K803" t="s">
        <v>33</v>
      </c>
      <c r="L803">
        <v>65</v>
      </c>
      <c r="M803">
        <v>3.07</v>
      </c>
      <c r="N803">
        <v>4.08</v>
      </c>
      <c r="O803" t="s">
        <v>15</v>
      </c>
      <c r="P803">
        <v>97</v>
      </c>
      <c r="Q803">
        <v>164</v>
      </c>
      <c r="R803">
        <v>107</v>
      </c>
      <c r="S803">
        <v>60</v>
      </c>
      <c r="T803" t="s">
        <v>48</v>
      </c>
      <c r="U803">
        <f>IF(Cardiac_Table[[#This Row],[Patient Status at Discharge]]="Died", 1,0)</f>
        <v>0</v>
      </c>
      <c r="V803">
        <f>Cardiac_Table[[#This Row],[Risk of Death % (Model 1)]]/100</f>
        <v>3.0699999999999998E-2</v>
      </c>
      <c r="W803">
        <f>Cardiac_Table[[#This Row],[Risk of Death % (Model 2)]]/100</f>
        <v>4.0800000000000003E-2</v>
      </c>
      <c r="X803" s="18">
        <f>Cardiac_Table[[#This Row],[Procedure Start Date and Time]]-Cardiac_Table[[#This Row],[Hospital Admit Date ]]</f>
        <v>0.71180555555474712</v>
      </c>
    </row>
    <row r="804" spans="1:24" x14ac:dyDescent="0.35">
      <c r="A804">
        <v>814</v>
      </c>
      <c r="B804" s="9">
        <v>44077.296527777777</v>
      </c>
      <c r="C804" s="10">
        <f>INT(Cardiac_Table[[#This Row],[Hospital Admit Date ]])</f>
        <v>44077</v>
      </c>
      <c r="D804" s="11" t="str">
        <f t="shared" si="12"/>
        <v>07:07</v>
      </c>
      <c r="E804" s="9">
        <v>44077.484027777777</v>
      </c>
      <c r="F804" s="10">
        <f>INT(Cardiac_Table[[#This Row],[Procedure Start Date and Time]])</f>
        <v>44077</v>
      </c>
      <c r="G804" s="12">
        <f>MOD(Cardiac_Table[[#This Row],[Procedure Start Date and Time]],1)</f>
        <v>0.48402777777664596</v>
      </c>
      <c r="H804">
        <v>5</v>
      </c>
      <c r="I804" t="s">
        <v>4</v>
      </c>
      <c r="J804" t="s">
        <v>3</v>
      </c>
      <c r="K804" t="s">
        <v>32</v>
      </c>
      <c r="L804">
        <v>57</v>
      </c>
      <c r="M804">
        <v>1.51</v>
      </c>
      <c r="N804">
        <v>0.56000000000000005</v>
      </c>
      <c r="O804" t="s">
        <v>15</v>
      </c>
      <c r="P804">
        <v>65</v>
      </c>
      <c r="Q804">
        <v>175</v>
      </c>
      <c r="R804">
        <v>90</v>
      </c>
      <c r="S804">
        <v>45</v>
      </c>
      <c r="T804" t="s">
        <v>50</v>
      </c>
      <c r="U804">
        <f>IF(Cardiac_Table[[#This Row],[Patient Status at Discharge]]="Died", 1,0)</f>
        <v>0</v>
      </c>
      <c r="V804">
        <f>Cardiac_Table[[#This Row],[Risk of Death % (Model 1)]]/100</f>
        <v>1.5100000000000001E-2</v>
      </c>
      <c r="W804">
        <f>Cardiac_Table[[#This Row],[Risk of Death % (Model 2)]]/100</f>
        <v>5.6000000000000008E-3</v>
      </c>
      <c r="X804" s="18">
        <f>Cardiac_Table[[#This Row],[Procedure Start Date and Time]]-Cardiac_Table[[#This Row],[Hospital Admit Date ]]</f>
        <v>0.1875</v>
      </c>
    </row>
    <row r="805" spans="1:24" x14ac:dyDescent="0.35">
      <c r="A805">
        <v>815</v>
      </c>
      <c r="B805" s="9">
        <v>44077.294444444444</v>
      </c>
      <c r="C805" s="10">
        <f>INT(Cardiac_Table[[#This Row],[Hospital Admit Date ]])</f>
        <v>44077</v>
      </c>
      <c r="D805" s="11" t="str">
        <f t="shared" si="12"/>
        <v>07:04</v>
      </c>
      <c r="E805" s="9">
        <v>44077.585416666669</v>
      </c>
      <c r="F805" s="10">
        <f>INT(Cardiac_Table[[#This Row],[Procedure Start Date and Time]])</f>
        <v>44077</v>
      </c>
      <c r="G805" s="12">
        <f>MOD(Cardiac_Table[[#This Row],[Procedure Start Date and Time]],1)</f>
        <v>0.58541666666860692</v>
      </c>
      <c r="H805">
        <v>3</v>
      </c>
      <c r="I805" t="s">
        <v>4</v>
      </c>
      <c r="J805" t="s">
        <v>3</v>
      </c>
      <c r="K805" t="s">
        <v>33</v>
      </c>
      <c r="L805">
        <v>58</v>
      </c>
      <c r="M805">
        <v>2.08</v>
      </c>
      <c r="N805">
        <v>1.62</v>
      </c>
      <c r="O805" t="s">
        <v>15</v>
      </c>
      <c r="P805">
        <v>79</v>
      </c>
      <c r="Q805">
        <v>165</v>
      </c>
      <c r="R805">
        <v>70</v>
      </c>
      <c r="S805">
        <v>65</v>
      </c>
      <c r="T805" t="s">
        <v>48</v>
      </c>
      <c r="U805">
        <f>IF(Cardiac_Table[[#This Row],[Patient Status at Discharge]]="Died", 1,0)</f>
        <v>0</v>
      </c>
      <c r="V805">
        <f>Cardiac_Table[[#This Row],[Risk of Death % (Model 1)]]/100</f>
        <v>2.0799999999999999E-2</v>
      </c>
      <c r="W805">
        <f>Cardiac_Table[[#This Row],[Risk of Death % (Model 2)]]/100</f>
        <v>1.6200000000000003E-2</v>
      </c>
      <c r="X805" s="18">
        <f>Cardiac_Table[[#This Row],[Procedure Start Date and Time]]-Cardiac_Table[[#This Row],[Hospital Admit Date ]]</f>
        <v>0.29097222222480923</v>
      </c>
    </row>
    <row r="806" spans="1:24" x14ac:dyDescent="0.35">
      <c r="A806">
        <v>816</v>
      </c>
      <c r="B806" s="9">
        <v>44077.3</v>
      </c>
      <c r="C806" s="10">
        <f>INT(Cardiac_Table[[#This Row],[Hospital Admit Date ]])</f>
        <v>44077</v>
      </c>
      <c r="D806" s="11" t="str">
        <f t="shared" si="12"/>
        <v>07:12</v>
      </c>
      <c r="E806" s="9">
        <v>44077.611111111109</v>
      </c>
      <c r="F806" s="10">
        <f>INT(Cardiac_Table[[#This Row],[Procedure Start Date and Time]])</f>
        <v>44077</v>
      </c>
      <c r="G806" s="12">
        <f>MOD(Cardiac_Table[[#This Row],[Procedure Start Date and Time]],1)</f>
        <v>0.61111111110949423</v>
      </c>
      <c r="H806">
        <v>5</v>
      </c>
      <c r="I806" t="s">
        <v>4</v>
      </c>
      <c r="J806" t="s">
        <v>11</v>
      </c>
      <c r="K806" t="s">
        <v>32</v>
      </c>
      <c r="L806">
        <v>77</v>
      </c>
      <c r="M806">
        <v>28.42</v>
      </c>
      <c r="N806">
        <v>13.06</v>
      </c>
      <c r="O806" t="s">
        <v>15</v>
      </c>
      <c r="P806">
        <v>106</v>
      </c>
      <c r="Q806">
        <v>155</v>
      </c>
      <c r="R806">
        <v>53</v>
      </c>
      <c r="S806">
        <v>62</v>
      </c>
      <c r="T806" t="s">
        <v>48</v>
      </c>
      <c r="U806">
        <f>IF(Cardiac_Table[[#This Row],[Patient Status at Discharge]]="Died", 1,0)</f>
        <v>0</v>
      </c>
      <c r="V806">
        <f>Cardiac_Table[[#This Row],[Risk of Death % (Model 1)]]/100</f>
        <v>0.28420000000000001</v>
      </c>
      <c r="W806">
        <f>Cardiac_Table[[#This Row],[Risk of Death % (Model 2)]]/100</f>
        <v>0.13059999999999999</v>
      </c>
      <c r="X806" s="18">
        <f>Cardiac_Table[[#This Row],[Procedure Start Date and Time]]-Cardiac_Table[[#This Row],[Hospital Admit Date ]]</f>
        <v>0.31111111110658385</v>
      </c>
    </row>
    <row r="807" spans="1:24" x14ac:dyDescent="0.35">
      <c r="A807">
        <v>817</v>
      </c>
      <c r="B807" s="9">
        <v>44074.583333333336</v>
      </c>
      <c r="C807" s="10">
        <f>INT(Cardiac_Table[[#This Row],[Hospital Admit Date ]])</f>
        <v>44074</v>
      </c>
      <c r="D807" s="11" t="str">
        <f t="shared" si="12"/>
        <v>14:00</v>
      </c>
      <c r="E807" s="9">
        <v>44078.34097222222</v>
      </c>
      <c r="F807" s="10">
        <f>INT(Cardiac_Table[[#This Row],[Procedure Start Date and Time]])</f>
        <v>44078</v>
      </c>
      <c r="G807" s="12">
        <f>MOD(Cardiac_Table[[#This Row],[Procedure Start Date and Time]],1)</f>
        <v>0.34097222222044365</v>
      </c>
      <c r="H807">
        <v>2</v>
      </c>
      <c r="I807" t="s">
        <v>6</v>
      </c>
      <c r="J807" t="s">
        <v>10</v>
      </c>
      <c r="K807" t="s">
        <v>31</v>
      </c>
      <c r="L807">
        <v>63</v>
      </c>
      <c r="M807">
        <v>2.96</v>
      </c>
      <c r="N807">
        <v>1.32</v>
      </c>
      <c r="O807" t="s">
        <v>15</v>
      </c>
      <c r="P807">
        <v>103</v>
      </c>
      <c r="Q807">
        <v>170</v>
      </c>
      <c r="R807">
        <v>70</v>
      </c>
      <c r="S807">
        <v>66</v>
      </c>
      <c r="T807" t="s">
        <v>48</v>
      </c>
      <c r="U807">
        <f>IF(Cardiac_Table[[#This Row],[Patient Status at Discharge]]="Died", 1,0)</f>
        <v>0</v>
      </c>
      <c r="V807">
        <f>Cardiac_Table[[#This Row],[Risk of Death % (Model 1)]]/100</f>
        <v>2.9600000000000001E-2</v>
      </c>
      <c r="W807">
        <f>Cardiac_Table[[#This Row],[Risk of Death % (Model 2)]]/100</f>
        <v>1.32E-2</v>
      </c>
      <c r="X807" s="18">
        <f>Cardiac_Table[[#This Row],[Procedure Start Date and Time]]-Cardiac_Table[[#This Row],[Hospital Admit Date ]]</f>
        <v>3.757638888884685</v>
      </c>
    </row>
    <row r="808" spans="1:24" x14ac:dyDescent="0.35">
      <c r="A808">
        <v>818</v>
      </c>
      <c r="B808" s="9">
        <v>44077.621527777781</v>
      </c>
      <c r="C808" s="10">
        <f>INT(Cardiac_Table[[#This Row],[Hospital Admit Date ]])</f>
        <v>44077</v>
      </c>
      <c r="D808" s="11" t="str">
        <f t="shared" si="12"/>
        <v>14:55</v>
      </c>
      <c r="E808" s="9">
        <v>44078.34375</v>
      </c>
      <c r="F808" s="10">
        <f>INT(Cardiac_Table[[#This Row],[Procedure Start Date and Time]])</f>
        <v>44078</v>
      </c>
      <c r="G808" s="12">
        <f>MOD(Cardiac_Table[[#This Row],[Procedure Start Date and Time]],1)</f>
        <v>0.34375</v>
      </c>
      <c r="H808">
        <v>5</v>
      </c>
      <c r="I808" t="s">
        <v>4</v>
      </c>
      <c r="J808" t="s">
        <v>1</v>
      </c>
      <c r="K808" t="s">
        <v>27</v>
      </c>
      <c r="L808">
        <v>44</v>
      </c>
      <c r="M808">
        <v>6.35</v>
      </c>
      <c r="N808">
        <v>2.04</v>
      </c>
      <c r="O808" t="s">
        <v>15</v>
      </c>
      <c r="P808">
        <v>74</v>
      </c>
      <c r="Q808">
        <v>178</v>
      </c>
      <c r="R808">
        <v>68</v>
      </c>
      <c r="S808">
        <v>57</v>
      </c>
      <c r="T808" t="s">
        <v>48</v>
      </c>
      <c r="U808">
        <f>IF(Cardiac_Table[[#This Row],[Patient Status at Discharge]]="Died", 1,0)</f>
        <v>0</v>
      </c>
      <c r="V808">
        <f>Cardiac_Table[[#This Row],[Risk of Death % (Model 1)]]/100</f>
        <v>6.3500000000000001E-2</v>
      </c>
      <c r="W808">
        <f>Cardiac_Table[[#This Row],[Risk of Death % (Model 2)]]/100</f>
        <v>2.0400000000000001E-2</v>
      </c>
      <c r="X808" s="18">
        <f>Cardiac_Table[[#This Row],[Procedure Start Date and Time]]-Cardiac_Table[[#This Row],[Hospital Admit Date ]]</f>
        <v>0.72222222221898846</v>
      </c>
    </row>
    <row r="809" spans="1:24" x14ac:dyDescent="0.35">
      <c r="A809">
        <v>819</v>
      </c>
      <c r="B809" s="9">
        <v>44074.669444444444</v>
      </c>
      <c r="C809" s="10">
        <f>INT(Cardiac_Table[[#This Row],[Hospital Admit Date ]])</f>
        <v>44074</v>
      </c>
      <c r="D809" s="11" t="str">
        <f t="shared" si="12"/>
        <v>16:04</v>
      </c>
      <c r="E809" s="9">
        <v>44078.35</v>
      </c>
      <c r="F809" s="10">
        <f>INT(Cardiac_Table[[#This Row],[Procedure Start Date and Time]])</f>
        <v>44078</v>
      </c>
      <c r="G809" s="12">
        <f>MOD(Cardiac_Table[[#This Row],[Procedure Start Date and Time]],1)</f>
        <v>0.34999999999854481</v>
      </c>
      <c r="H809">
        <v>4</v>
      </c>
      <c r="I809" t="s">
        <v>4</v>
      </c>
      <c r="J809" t="s">
        <v>3</v>
      </c>
      <c r="K809" t="s">
        <v>35</v>
      </c>
      <c r="L809">
        <v>71</v>
      </c>
      <c r="M809">
        <v>6.71</v>
      </c>
      <c r="N809">
        <v>1.1499999999999999</v>
      </c>
      <c r="O809" t="s">
        <v>15</v>
      </c>
      <c r="P809">
        <v>68</v>
      </c>
      <c r="Q809">
        <v>176</v>
      </c>
      <c r="R809">
        <v>92</v>
      </c>
      <c r="S809">
        <v>63</v>
      </c>
      <c r="T809" t="s">
        <v>48</v>
      </c>
      <c r="U809">
        <f>IF(Cardiac_Table[[#This Row],[Patient Status at Discharge]]="Died", 1,0)</f>
        <v>0</v>
      </c>
      <c r="V809">
        <f>Cardiac_Table[[#This Row],[Risk of Death % (Model 1)]]/100</f>
        <v>6.7099999999999993E-2</v>
      </c>
      <c r="W809">
        <f>Cardiac_Table[[#This Row],[Risk of Death % (Model 2)]]/100</f>
        <v>1.15E-2</v>
      </c>
      <c r="X809" s="18">
        <f>Cardiac_Table[[#This Row],[Procedure Start Date and Time]]-Cardiac_Table[[#This Row],[Hospital Admit Date ]]</f>
        <v>3.6805555555547471</v>
      </c>
    </row>
    <row r="810" spans="1:24" x14ac:dyDescent="0.35">
      <c r="A810">
        <v>820</v>
      </c>
      <c r="B810" s="9">
        <v>44064.458333333336</v>
      </c>
      <c r="C810" s="10">
        <f>INT(Cardiac_Table[[#This Row],[Hospital Admit Date ]])</f>
        <v>44064</v>
      </c>
      <c r="D810" s="11" t="str">
        <f t="shared" si="12"/>
        <v>11:00</v>
      </c>
      <c r="E810" s="9">
        <v>44078.583333333336</v>
      </c>
      <c r="F810" s="10">
        <f>INT(Cardiac_Table[[#This Row],[Procedure Start Date and Time]])</f>
        <v>44078</v>
      </c>
      <c r="G810" s="12">
        <f>MOD(Cardiac_Table[[#This Row],[Procedure Start Date and Time]],1)</f>
        <v>0.58333333333575865</v>
      </c>
      <c r="H810">
        <v>4</v>
      </c>
      <c r="I810" t="s">
        <v>6</v>
      </c>
      <c r="J810" t="s">
        <v>10</v>
      </c>
      <c r="K810" t="s">
        <v>31</v>
      </c>
      <c r="L810">
        <v>79</v>
      </c>
      <c r="M810">
        <v>13.2</v>
      </c>
      <c r="N810">
        <v>6.61</v>
      </c>
      <c r="O810" t="s">
        <v>15</v>
      </c>
      <c r="P810">
        <v>81</v>
      </c>
      <c r="Q810">
        <v>150</v>
      </c>
      <c r="R810">
        <v>71</v>
      </c>
      <c r="S810">
        <v>45</v>
      </c>
      <c r="T810" t="s">
        <v>50</v>
      </c>
      <c r="U810">
        <f>IF(Cardiac_Table[[#This Row],[Patient Status at Discharge]]="Died", 1,0)</f>
        <v>0</v>
      </c>
      <c r="V810">
        <f>Cardiac_Table[[#This Row],[Risk of Death % (Model 1)]]/100</f>
        <v>0.13200000000000001</v>
      </c>
      <c r="W810">
        <f>Cardiac_Table[[#This Row],[Risk of Death % (Model 2)]]/100</f>
        <v>6.6100000000000006E-2</v>
      </c>
      <c r="X810" s="18">
        <f>Cardiac_Table[[#This Row],[Procedure Start Date and Time]]-Cardiac_Table[[#This Row],[Hospital Admit Date ]]</f>
        <v>14.125</v>
      </c>
    </row>
    <row r="811" spans="1:24" x14ac:dyDescent="0.35">
      <c r="A811">
        <v>821</v>
      </c>
      <c r="B811" s="9">
        <v>44067.488888888889</v>
      </c>
      <c r="C811" s="10">
        <f>INT(Cardiac_Table[[#This Row],[Hospital Admit Date ]])</f>
        <v>44067</v>
      </c>
      <c r="D811" s="11" t="str">
        <f t="shared" si="12"/>
        <v>11:44</v>
      </c>
      <c r="E811" s="9">
        <v>44078.600694444445</v>
      </c>
      <c r="F811" s="10">
        <f>INT(Cardiac_Table[[#This Row],[Procedure Start Date and Time]])</f>
        <v>44078</v>
      </c>
      <c r="G811" s="12">
        <f>MOD(Cardiac_Table[[#This Row],[Procedure Start Date and Time]],1)</f>
        <v>0.60069444444525288</v>
      </c>
      <c r="H811">
        <v>5</v>
      </c>
      <c r="I811" t="s">
        <v>6</v>
      </c>
      <c r="J811" t="s">
        <v>10</v>
      </c>
      <c r="K811" t="s">
        <v>27</v>
      </c>
      <c r="L811">
        <v>78</v>
      </c>
      <c r="M811">
        <v>4.58</v>
      </c>
      <c r="N811">
        <v>2.1</v>
      </c>
      <c r="O811" t="s">
        <v>15</v>
      </c>
      <c r="P811">
        <v>118</v>
      </c>
      <c r="Q811">
        <v>170</v>
      </c>
      <c r="R811">
        <v>102</v>
      </c>
      <c r="S811">
        <v>33</v>
      </c>
      <c r="T811" t="s">
        <v>50</v>
      </c>
      <c r="U811">
        <f>IF(Cardiac_Table[[#This Row],[Patient Status at Discharge]]="Died", 1,0)</f>
        <v>0</v>
      </c>
      <c r="V811">
        <f>Cardiac_Table[[#This Row],[Risk of Death % (Model 1)]]/100</f>
        <v>4.58E-2</v>
      </c>
      <c r="W811">
        <f>Cardiac_Table[[#This Row],[Risk of Death % (Model 2)]]/100</f>
        <v>2.1000000000000001E-2</v>
      </c>
      <c r="X811" s="18">
        <f>Cardiac_Table[[#This Row],[Procedure Start Date and Time]]-Cardiac_Table[[#This Row],[Hospital Admit Date ]]</f>
        <v>11.111805555556202</v>
      </c>
    </row>
    <row r="812" spans="1:24" x14ac:dyDescent="0.35">
      <c r="A812">
        <v>822</v>
      </c>
      <c r="B812" s="9">
        <v>44078.618055555555</v>
      </c>
      <c r="C812" s="10">
        <f>INT(Cardiac_Table[[#This Row],[Hospital Admit Date ]])</f>
        <v>44078</v>
      </c>
      <c r="D812" s="11" t="str">
        <f t="shared" si="12"/>
        <v>14:50</v>
      </c>
      <c r="E812" s="9">
        <v>44078.930555555555</v>
      </c>
      <c r="F812" s="10">
        <f>INT(Cardiac_Table[[#This Row],[Procedure Start Date and Time]])</f>
        <v>44078</v>
      </c>
      <c r="G812" s="12">
        <f>MOD(Cardiac_Table[[#This Row],[Procedure Start Date and Time]],1)</f>
        <v>0.93055555555474712</v>
      </c>
      <c r="H812">
        <v>1</v>
      </c>
      <c r="I812" t="s">
        <v>2</v>
      </c>
      <c r="J812" t="s">
        <v>10</v>
      </c>
      <c r="K812" t="s">
        <v>28</v>
      </c>
      <c r="L812">
        <v>80</v>
      </c>
      <c r="M812">
        <v>48.39</v>
      </c>
      <c r="N812">
        <v>16.52</v>
      </c>
      <c r="O812" t="s">
        <v>15</v>
      </c>
      <c r="P812">
        <v>131</v>
      </c>
      <c r="Q812">
        <v>166</v>
      </c>
      <c r="R812">
        <v>94</v>
      </c>
      <c r="S812">
        <v>42</v>
      </c>
      <c r="T812" t="s">
        <v>50</v>
      </c>
      <c r="U812">
        <f>IF(Cardiac_Table[[#This Row],[Patient Status at Discharge]]="Died", 1,0)</f>
        <v>0</v>
      </c>
      <c r="V812">
        <f>Cardiac_Table[[#This Row],[Risk of Death % (Model 1)]]/100</f>
        <v>0.4839</v>
      </c>
      <c r="W812">
        <f>Cardiac_Table[[#This Row],[Risk of Death % (Model 2)]]/100</f>
        <v>0.16519999999999999</v>
      </c>
      <c r="X812" s="18">
        <f>Cardiac_Table[[#This Row],[Procedure Start Date and Time]]-Cardiac_Table[[#This Row],[Hospital Admit Date ]]</f>
        <v>0.3125</v>
      </c>
    </row>
    <row r="813" spans="1:24" x14ac:dyDescent="0.35">
      <c r="A813">
        <v>823</v>
      </c>
      <c r="B813" s="9">
        <v>44078.664583333331</v>
      </c>
      <c r="C813" s="10">
        <f>INT(Cardiac_Table[[#This Row],[Hospital Admit Date ]])</f>
        <v>44078</v>
      </c>
      <c r="D813" s="11" t="str">
        <f t="shared" si="12"/>
        <v>15:57</v>
      </c>
      <c r="E813" s="9">
        <v>44079.333333333336</v>
      </c>
      <c r="F813" s="10">
        <f>INT(Cardiac_Table[[#This Row],[Procedure Start Date and Time]])</f>
        <v>44079</v>
      </c>
      <c r="G813" s="12">
        <f>MOD(Cardiac_Table[[#This Row],[Procedure Start Date and Time]],1)</f>
        <v>0.33333333333575865</v>
      </c>
      <c r="H813">
        <v>5</v>
      </c>
      <c r="I813" t="s">
        <v>4</v>
      </c>
      <c r="J813" t="s">
        <v>3</v>
      </c>
      <c r="K813" t="s">
        <v>33</v>
      </c>
      <c r="L813">
        <v>77</v>
      </c>
      <c r="M813">
        <v>7.67</v>
      </c>
      <c r="N813">
        <v>1.0900000000000001</v>
      </c>
      <c r="O813" t="s">
        <v>15</v>
      </c>
      <c r="P813">
        <v>86</v>
      </c>
      <c r="Q813">
        <v>166</v>
      </c>
      <c r="R813">
        <v>77</v>
      </c>
      <c r="S813">
        <v>55</v>
      </c>
      <c r="T813" t="s">
        <v>48</v>
      </c>
      <c r="U813">
        <f>IF(Cardiac_Table[[#This Row],[Patient Status at Discharge]]="Died", 1,0)</f>
        <v>0</v>
      </c>
      <c r="V813">
        <f>Cardiac_Table[[#This Row],[Risk of Death % (Model 1)]]/100</f>
        <v>7.6700000000000004E-2</v>
      </c>
      <c r="W813">
        <f>Cardiac_Table[[#This Row],[Risk of Death % (Model 2)]]/100</f>
        <v>1.09E-2</v>
      </c>
      <c r="X813" s="18">
        <f>Cardiac_Table[[#This Row],[Procedure Start Date and Time]]-Cardiac_Table[[#This Row],[Hospital Admit Date ]]</f>
        <v>0.66875000000436557</v>
      </c>
    </row>
    <row r="814" spans="1:24" x14ac:dyDescent="0.35">
      <c r="A814">
        <v>824</v>
      </c>
      <c r="B814" s="9">
        <v>44079.291666666664</v>
      </c>
      <c r="C814" s="10">
        <f>INT(Cardiac_Table[[#This Row],[Hospital Admit Date ]])</f>
        <v>44079</v>
      </c>
      <c r="D814" s="11" t="str">
        <f t="shared" si="12"/>
        <v>07:00</v>
      </c>
      <c r="E814" s="9">
        <v>44079.51458333333</v>
      </c>
      <c r="F814" s="10">
        <f>INT(Cardiac_Table[[#This Row],[Procedure Start Date and Time]])</f>
        <v>44079</v>
      </c>
      <c r="G814" s="12">
        <f>MOD(Cardiac_Table[[#This Row],[Procedure Start Date and Time]],1)</f>
        <v>0.51458333332993789</v>
      </c>
      <c r="H814">
        <v>5</v>
      </c>
      <c r="I814" t="s">
        <v>4</v>
      </c>
      <c r="J814" t="s">
        <v>3</v>
      </c>
      <c r="K814" t="s">
        <v>33</v>
      </c>
      <c r="L814">
        <v>78</v>
      </c>
      <c r="M814">
        <v>10.29</v>
      </c>
      <c r="N814">
        <v>2.5499999999999998</v>
      </c>
      <c r="O814" t="s">
        <v>15</v>
      </c>
      <c r="P814">
        <v>68</v>
      </c>
      <c r="Q814">
        <v>154</v>
      </c>
      <c r="R814">
        <v>44</v>
      </c>
      <c r="S814">
        <v>58</v>
      </c>
      <c r="T814" t="s">
        <v>48</v>
      </c>
      <c r="U814">
        <f>IF(Cardiac_Table[[#This Row],[Patient Status at Discharge]]="Died", 1,0)</f>
        <v>0</v>
      </c>
      <c r="V814">
        <f>Cardiac_Table[[#This Row],[Risk of Death % (Model 1)]]/100</f>
        <v>0.10289999999999999</v>
      </c>
      <c r="W814">
        <f>Cardiac_Table[[#This Row],[Risk of Death % (Model 2)]]/100</f>
        <v>2.5499999999999998E-2</v>
      </c>
      <c r="X814" s="18">
        <f>Cardiac_Table[[#This Row],[Procedure Start Date and Time]]-Cardiac_Table[[#This Row],[Hospital Admit Date ]]</f>
        <v>0.22291666666569654</v>
      </c>
    </row>
    <row r="815" spans="1:24" x14ac:dyDescent="0.35">
      <c r="A815">
        <v>825</v>
      </c>
      <c r="B815" s="9">
        <v>44080.666666666664</v>
      </c>
      <c r="C815" s="10">
        <f>INT(Cardiac_Table[[#This Row],[Hospital Admit Date ]])</f>
        <v>44080</v>
      </c>
      <c r="D815" s="11" t="str">
        <f t="shared" si="12"/>
        <v>16:00</v>
      </c>
      <c r="E815" s="9">
        <v>44081.343055555553</v>
      </c>
      <c r="F815" s="10">
        <f>INT(Cardiac_Table[[#This Row],[Procedure Start Date and Time]])</f>
        <v>44081</v>
      </c>
      <c r="G815" s="12">
        <f>MOD(Cardiac_Table[[#This Row],[Procedure Start Date and Time]],1)</f>
        <v>0.34305555555329192</v>
      </c>
      <c r="H815">
        <v>5</v>
      </c>
      <c r="I815" t="s">
        <v>4</v>
      </c>
      <c r="J815" t="s">
        <v>3</v>
      </c>
      <c r="K815" t="s">
        <v>33</v>
      </c>
      <c r="L815">
        <v>81</v>
      </c>
      <c r="M815">
        <v>6.21</v>
      </c>
      <c r="N815">
        <v>2.98</v>
      </c>
      <c r="O815" t="s">
        <v>15</v>
      </c>
      <c r="P815">
        <v>107</v>
      </c>
      <c r="Q815">
        <v>158</v>
      </c>
      <c r="R815">
        <v>86</v>
      </c>
      <c r="S815">
        <v>60</v>
      </c>
      <c r="T815" t="s">
        <v>48</v>
      </c>
      <c r="U815">
        <f>IF(Cardiac_Table[[#This Row],[Patient Status at Discharge]]="Died", 1,0)</f>
        <v>0</v>
      </c>
      <c r="V815">
        <f>Cardiac_Table[[#This Row],[Risk of Death % (Model 1)]]/100</f>
        <v>6.2100000000000002E-2</v>
      </c>
      <c r="W815">
        <f>Cardiac_Table[[#This Row],[Risk of Death % (Model 2)]]/100</f>
        <v>2.98E-2</v>
      </c>
      <c r="X815" s="18">
        <f>Cardiac_Table[[#This Row],[Procedure Start Date and Time]]-Cardiac_Table[[#This Row],[Hospital Admit Date ]]</f>
        <v>0.67638888888905058</v>
      </c>
    </row>
    <row r="816" spans="1:24" x14ac:dyDescent="0.35">
      <c r="A816">
        <v>826</v>
      </c>
      <c r="B816" s="9">
        <v>44080.666666666664</v>
      </c>
      <c r="C816" s="10">
        <f>INT(Cardiac_Table[[#This Row],[Hospital Admit Date ]])</f>
        <v>44080</v>
      </c>
      <c r="D816" s="11" t="str">
        <f t="shared" si="12"/>
        <v>16:00</v>
      </c>
      <c r="E816" s="9">
        <v>44081.345138888886</v>
      </c>
      <c r="F816" s="10">
        <f>INT(Cardiac_Table[[#This Row],[Procedure Start Date and Time]])</f>
        <v>44081</v>
      </c>
      <c r="G816" s="12">
        <f>MOD(Cardiac_Table[[#This Row],[Procedure Start Date and Time]],1)</f>
        <v>0.34513888888614019</v>
      </c>
      <c r="H816">
        <v>4</v>
      </c>
      <c r="I816" t="s">
        <v>4</v>
      </c>
      <c r="J816" t="s">
        <v>11</v>
      </c>
      <c r="K816" t="s">
        <v>29</v>
      </c>
      <c r="L816">
        <v>83</v>
      </c>
      <c r="M816">
        <v>7.03</v>
      </c>
      <c r="N816">
        <v>2.21</v>
      </c>
      <c r="O816" t="s">
        <v>15</v>
      </c>
      <c r="P816">
        <v>84</v>
      </c>
      <c r="Q816">
        <v>179</v>
      </c>
      <c r="R816">
        <v>69</v>
      </c>
      <c r="S816">
        <v>60</v>
      </c>
      <c r="T816" t="s">
        <v>48</v>
      </c>
      <c r="U816">
        <f>IF(Cardiac_Table[[#This Row],[Patient Status at Discharge]]="Died", 1,0)</f>
        <v>0</v>
      </c>
      <c r="V816">
        <f>Cardiac_Table[[#This Row],[Risk of Death % (Model 1)]]/100</f>
        <v>7.0300000000000001E-2</v>
      </c>
      <c r="W816">
        <f>Cardiac_Table[[#This Row],[Risk of Death % (Model 2)]]/100</f>
        <v>2.2099999999999998E-2</v>
      </c>
      <c r="X816" s="18">
        <f>Cardiac_Table[[#This Row],[Procedure Start Date and Time]]-Cardiac_Table[[#This Row],[Hospital Admit Date ]]</f>
        <v>0.67847222222189885</v>
      </c>
    </row>
    <row r="817" spans="1:24" x14ac:dyDescent="0.35">
      <c r="A817">
        <v>827</v>
      </c>
      <c r="B817" s="9">
        <v>44080.666666666664</v>
      </c>
      <c r="C817" s="10">
        <f>INT(Cardiac_Table[[#This Row],[Hospital Admit Date ]])</f>
        <v>44080</v>
      </c>
      <c r="D817" s="11" t="str">
        <f t="shared" si="12"/>
        <v>16:00</v>
      </c>
      <c r="E817" s="9">
        <v>44081.34652777778</v>
      </c>
      <c r="F817" s="10">
        <f>INT(Cardiac_Table[[#This Row],[Procedure Start Date and Time]])</f>
        <v>44081</v>
      </c>
      <c r="G817" s="12">
        <f>MOD(Cardiac_Table[[#This Row],[Procedure Start Date and Time]],1)</f>
        <v>0.34652777777955635</v>
      </c>
      <c r="H817">
        <v>2</v>
      </c>
      <c r="I817" t="s">
        <v>4</v>
      </c>
      <c r="J817" t="s">
        <v>8</v>
      </c>
      <c r="K817" t="s">
        <v>32</v>
      </c>
      <c r="L817">
        <v>78</v>
      </c>
      <c r="M817">
        <v>3.06</v>
      </c>
      <c r="N817">
        <v>3.32</v>
      </c>
      <c r="O817" t="s">
        <v>15</v>
      </c>
      <c r="P817">
        <v>77</v>
      </c>
      <c r="Q817">
        <v>170</v>
      </c>
      <c r="R817">
        <v>70</v>
      </c>
      <c r="S817">
        <v>55</v>
      </c>
      <c r="T817" t="s">
        <v>48</v>
      </c>
      <c r="U817">
        <f>IF(Cardiac_Table[[#This Row],[Patient Status at Discharge]]="Died", 1,0)</f>
        <v>0</v>
      </c>
      <c r="V817">
        <f>Cardiac_Table[[#This Row],[Risk of Death % (Model 1)]]/100</f>
        <v>3.0600000000000002E-2</v>
      </c>
      <c r="W817">
        <f>Cardiac_Table[[#This Row],[Risk of Death % (Model 2)]]/100</f>
        <v>3.32E-2</v>
      </c>
      <c r="X817" s="18">
        <f>Cardiac_Table[[#This Row],[Procedure Start Date and Time]]-Cardiac_Table[[#This Row],[Hospital Admit Date ]]</f>
        <v>0.679861111115315</v>
      </c>
    </row>
    <row r="818" spans="1:24" x14ac:dyDescent="0.35">
      <c r="A818">
        <v>828</v>
      </c>
      <c r="B818" s="9">
        <v>44079.583333333336</v>
      </c>
      <c r="C818" s="10">
        <f>INT(Cardiac_Table[[#This Row],[Hospital Admit Date ]])</f>
        <v>44079</v>
      </c>
      <c r="D818" s="11" t="str">
        <f t="shared" si="12"/>
        <v>14:00</v>
      </c>
      <c r="E818" s="9">
        <v>44081.350694444445</v>
      </c>
      <c r="F818" s="10">
        <f>INT(Cardiac_Table[[#This Row],[Procedure Start Date and Time]])</f>
        <v>44081</v>
      </c>
      <c r="G818" s="12">
        <f>MOD(Cardiac_Table[[#This Row],[Procedure Start Date and Time]],1)</f>
        <v>0.35069444444525288</v>
      </c>
      <c r="H818">
        <v>6</v>
      </c>
      <c r="I818" t="s">
        <v>6</v>
      </c>
      <c r="J818" t="s">
        <v>10</v>
      </c>
      <c r="K818" t="s">
        <v>36</v>
      </c>
      <c r="L818">
        <v>72</v>
      </c>
      <c r="M818">
        <v>10.85</v>
      </c>
      <c r="N818">
        <v>3.61</v>
      </c>
      <c r="O818" t="s">
        <v>15</v>
      </c>
      <c r="P818">
        <v>65</v>
      </c>
      <c r="Q818">
        <v>175</v>
      </c>
      <c r="R818">
        <v>75</v>
      </c>
      <c r="S818">
        <v>60</v>
      </c>
      <c r="T818" t="s">
        <v>48</v>
      </c>
      <c r="U818">
        <f>IF(Cardiac_Table[[#This Row],[Patient Status at Discharge]]="Died", 1,0)</f>
        <v>0</v>
      </c>
      <c r="V818">
        <f>Cardiac_Table[[#This Row],[Risk of Death % (Model 1)]]/100</f>
        <v>0.1085</v>
      </c>
      <c r="W818">
        <f>Cardiac_Table[[#This Row],[Risk of Death % (Model 2)]]/100</f>
        <v>3.61E-2</v>
      </c>
      <c r="X818" s="18">
        <f>Cardiac_Table[[#This Row],[Procedure Start Date and Time]]-Cardiac_Table[[#This Row],[Hospital Admit Date ]]</f>
        <v>1.7673611111094942</v>
      </c>
    </row>
    <row r="819" spans="1:24" x14ac:dyDescent="0.35">
      <c r="A819">
        <v>829</v>
      </c>
      <c r="B819" s="9">
        <v>44081.291666666664</v>
      </c>
      <c r="C819" s="10">
        <f>INT(Cardiac_Table[[#This Row],[Hospital Admit Date ]])</f>
        <v>44081</v>
      </c>
      <c r="D819" s="11" t="str">
        <f t="shared" si="12"/>
        <v>07:00</v>
      </c>
      <c r="E819" s="9">
        <v>44081.509722222225</v>
      </c>
      <c r="F819" s="10">
        <f>INT(Cardiac_Table[[#This Row],[Procedure Start Date and Time]])</f>
        <v>44081</v>
      </c>
      <c r="G819" s="12">
        <f>MOD(Cardiac_Table[[#This Row],[Procedure Start Date and Time]],1)</f>
        <v>0.50972222222480923</v>
      </c>
      <c r="H819">
        <v>2</v>
      </c>
      <c r="I819" t="s">
        <v>4</v>
      </c>
      <c r="J819" t="s">
        <v>1</v>
      </c>
      <c r="K819" t="s">
        <v>32</v>
      </c>
      <c r="L819">
        <v>75</v>
      </c>
      <c r="M819">
        <v>27.84</v>
      </c>
      <c r="N819">
        <v>10.58</v>
      </c>
      <c r="O819" t="s">
        <v>15</v>
      </c>
      <c r="P819">
        <v>81</v>
      </c>
      <c r="Q819">
        <v>159</v>
      </c>
      <c r="R819">
        <v>70</v>
      </c>
      <c r="S819">
        <v>55</v>
      </c>
      <c r="T819" t="s">
        <v>48</v>
      </c>
      <c r="U819">
        <f>IF(Cardiac_Table[[#This Row],[Patient Status at Discharge]]="Died", 1,0)</f>
        <v>0</v>
      </c>
      <c r="V819">
        <f>Cardiac_Table[[#This Row],[Risk of Death % (Model 1)]]/100</f>
        <v>0.27839999999999998</v>
      </c>
      <c r="W819">
        <f>Cardiac_Table[[#This Row],[Risk of Death % (Model 2)]]/100</f>
        <v>0.10580000000000001</v>
      </c>
      <c r="X819" s="18">
        <f>Cardiac_Table[[#This Row],[Procedure Start Date and Time]]-Cardiac_Table[[#This Row],[Hospital Admit Date ]]</f>
        <v>0.21805555556056788</v>
      </c>
    </row>
    <row r="820" spans="1:24" x14ac:dyDescent="0.35">
      <c r="A820">
        <v>830</v>
      </c>
      <c r="B820" s="9">
        <v>44068.591666666667</v>
      </c>
      <c r="C820" s="10">
        <f>INT(Cardiac_Table[[#This Row],[Hospital Admit Date ]])</f>
        <v>44068</v>
      </c>
      <c r="D820" s="11" t="str">
        <f t="shared" si="12"/>
        <v>14:12</v>
      </c>
      <c r="E820" s="9">
        <v>44081.538194444445</v>
      </c>
      <c r="F820" s="10">
        <f>INT(Cardiac_Table[[#This Row],[Procedure Start Date and Time]])</f>
        <v>44081</v>
      </c>
      <c r="G820" s="12">
        <f>MOD(Cardiac_Table[[#This Row],[Procedure Start Date and Time]],1)</f>
        <v>0.53819444444525288</v>
      </c>
      <c r="H820">
        <v>5</v>
      </c>
      <c r="I820" t="s">
        <v>6</v>
      </c>
      <c r="J820" t="s">
        <v>10</v>
      </c>
      <c r="K820" t="s">
        <v>31</v>
      </c>
      <c r="L820">
        <v>79</v>
      </c>
      <c r="M820">
        <v>8.1300000000000008</v>
      </c>
      <c r="N820">
        <v>2.5099999999999998</v>
      </c>
      <c r="O820" t="s">
        <v>15</v>
      </c>
      <c r="P820">
        <v>64</v>
      </c>
      <c r="Q820">
        <v>170</v>
      </c>
      <c r="R820">
        <v>78</v>
      </c>
      <c r="S820">
        <v>65</v>
      </c>
      <c r="T820" t="s">
        <v>48</v>
      </c>
      <c r="U820">
        <f>IF(Cardiac_Table[[#This Row],[Patient Status at Discharge]]="Died", 1,0)</f>
        <v>0</v>
      </c>
      <c r="V820">
        <f>Cardiac_Table[[#This Row],[Risk of Death % (Model 1)]]/100</f>
        <v>8.1300000000000011E-2</v>
      </c>
      <c r="W820">
        <f>Cardiac_Table[[#This Row],[Risk of Death % (Model 2)]]/100</f>
        <v>2.5099999999999997E-2</v>
      </c>
      <c r="X820" s="18">
        <f>Cardiac_Table[[#This Row],[Procedure Start Date and Time]]-Cardiac_Table[[#This Row],[Hospital Admit Date ]]</f>
        <v>12.946527777778101</v>
      </c>
    </row>
    <row r="821" spans="1:24" x14ac:dyDescent="0.35">
      <c r="A821">
        <v>831</v>
      </c>
      <c r="B821" s="9">
        <v>44081.25</v>
      </c>
      <c r="C821" s="10">
        <f>INT(Cardiac_Table[[#This Row],[Hospital Admit Date ]])</f>
        <v>44081</v>
      </c>
      <c r="D821" s="11" t="str">
        <f t="shared" si="12"/>
        <v>06:00</v>
      </c>
      <c r="E821" s="9">
        <v>44081.638888888891</v>
      </c>
      <c r="F821" s="10">
        <f>INT(Cardiac_Table[[#This Row],[Procedure Start Date and Time]])</f>
        <v>44081</v>
      </c>
      <c r="G821" s="12">
        <f>MOD(Cardiac_Table[[#This Row],[Procedure Start Date and Time]],1)</f>
        <v>0.63888888889050577</v>
      </c>
      <c r="H821">
        <v>6</v>
      </c>
      <c r="I821" t="s">
        <v>4</v>
      </c>
      <c r="J821" t="s">
        <v>10</v>
      </c>
      <c r="K821" t="s">
        <v>29</v>
      </c>
      <c r="L821">
        <v>56</v>
      </c>
      <c r="M821">
        <v>1.33</v>
      </c>
      <c r="N821">
        <v>0.92</v>
      </c>
      <c r="O821" t="s">
        <v>15</v>
      </c>
      <c r="P821">
        <v>142</v>
      </c>
      <c r="Q821">
        <v>175</v>
      </c>
      <c r="R821">
        <v>90</v>
      </c>
      <c r="S821">
        <v>57</v>
      </c>
      <c r="T821" t="s">
        <v>48</v>
      </c>
      <c r="U821">
        <f>IF(Cardiac_Table[[#This Row],[Patient Status at Discharge]]="Died", 1,0)</f>
        <v>0</v>
      </c>
      <c r="V821">
        <f>Cardiac_Table[[#This Row],[Risk of Death % (Model 1)]]/100</f>
        <v>1.3300000000000001E-2</v>
      </c>
      <c r="W821">
        <f>Cardiac_Table[[#This Row],[Risk of Death % (Model 2)]]/100</f>
        <v>9.1999999999999998E-3</v>
      </c>
      <c r="X821" s="18">
        <f>Cardiac_Table[[#This Row],[Procedure Start Date and Time]]-Cardiac_Table[[#This Row],[Hospital Admit Date ]]</f>
        <v>0.38888888889050577</v>
      </c>
    </row>
    <row r="822" spans="1:24" x14ac:dyDescent="0.35">
      <c r="A822">
        <v>832</v>
      </c>
      <c r="B822" s="9">
        <v>44081.674305555556</v>
      </c>
      <c r="C822" s="10">
        <f>INT(Cardiac_Table[[#This Row],[Hospital Admit Date ]])</f>
        <v>44081</v>
      </c>
      <c r="D822" s="11" t="str">
        <f t="shared" si="12"/>
        <v>16:11</v>
      </c>
      <c r="E822" s="9">
        <v>44082.334027777775</v>
      </c>
      <c r="F822" s="10">
        <f>INT(Cardiac_Table[[#This Row],[Procedure Start Date and Time]])</f>
        <v>44082</v>
      </c>
      <c r="G822" s="12">
        <f>MOD(Cardiac_Table[[#This Row],[Procedure Start Date and Time]],1)</f>
        <v>0.33402777777519077</v>
      </c>
      <c r="H822">
        <v>2</v>
      </c>
      <c r="I822" t="s">
        <v>4</v>
      </c>
      <c r="J822" t="s">
        <v>3</v>
      </c>
      <c r="K822" t="s">
        <v>28</v>
      </c>
      <c r="L822">
        <v>58</v>
      </c>
      <c r="M822">
        <v>9.4</v>
      </c>
      <c r="N822">
        <v>2.76</v>
      </c>
      <c r="O822" t="s">
        <v>15</v>
      </c>
      <c r="P822">
        <v>80</v>
      </c>
      <c r="Q822">
        <v>169</v>
      </c>
      <c r="R822">
        <v>74</v>
      </c>
      <c r="S822">
        <v>54</v>
      </c>
      <c r="T822" t="s">
        <v>48</v>
      </c>
      <c r="U822">
        <f>IF(Cardiac_Table[[#This Row],[Patient Status at Discharge]]="Died", 1,0)</f>
        <v>0</v>
      </c>
      <c r="V822">
        <f>Cardiac_Table[[#This Row],[Risk of Death % (Model 1)]]/100</f>
        <v>9.4E-2</v>
      </c>
      <c r="W822">
        <f>Cardiac_Table[[#This Row],[Risk of Death % (Model 2)]]/100</f>
        <v>2.76E-2</v>
      </c>
      <c r="X822" s="18">
        <f>Cardiac_Table[[#This Row],[Procedure Start Date and Time]]-Cardiac_Table[[#This Row],[Hospital Admit Date ]]</f>
        <v>0.65972222221898846</v>
      </c>
    </row>
    <row r="823" spans="1:24" x14ac:dyDescent="0.35">
      <c r="A823">
        <v>833</v>
      </c>
      <c r="B823" s="9">
        <v>44081.670138888891</v>
      </c>
      <c r="C823" s="10">
        <f>INT(Cardiac_Table[[#This Row],[Hospital Admit Date ]])</f>
        <v>44081</v>
      </c>
      <c r="D823" s="11" t="str">
        <f t="shared" si="12"/>
        <v>16:05</v>
      </c>
      <c r="E823" s="9">
        <v>44082.341666666667</v>
      </c>
      <c r="F823" s="10">
        <f>INT(Cardiac_Table[[#This Row],[Procedure Start Date and Time]])</f>
        <v>44082</v>
      </c>
      <c r="G823" s="12">
        <f>MOD(Cardiac_Table[[#This Row],[Procedure Start Date and Time]],1)</f>
        <v>0.34166666666715173</v>
      </c>
      <c r="H823">
        <v>5</v>
      </c>
      <c r="I823" t="s">
        <v>4</v>
      </c>
      <c r="J823" t="s">
        <v>3</v>
      </c>
      <c r="K823" t="s">
        <v>26</v>
      </c>
      <c r="L823">
        <v>80</v>
      </c>
      <c r="M823">
        <v>9.2100000000000009</v>
      </c>
      <c r="N823">
        <v>1.92</v>
      </c>
      <c r="O823" t="s">
        <v>15</v>
      </c>
      <c r="P823">
        <v>82</v>
      </c>
      <c r="Q823">
        <v>170</v>
      </c>
      <c r="R823">
        <v>101</v>
      </c>
      <c r="S823">
        <v>25</v>
      </c>
      <c r="T823" t="s">
        <v>49</v>
      </c>
      <c r="U823">
        <f>IF(Cardiac_Table[[#This Row],[Patient Status at Discharge]]="Died", 1,0)</f>
        <v>0</v>
      </c>
      <c r="V823">
        <f>Cardiac_Table[[#This Row],[Risk of Death % (Model 1)]]/100</f>
        <v>9.2100000000000015E-2</v>
      </c>
      <c r="W823">
        <f>Cardiac_Table[[#This Row],[Risk of Death % (Model 2)]]/100</f>
        <v>1.9199999999999998E-2</v>
      </c>
      <c r="X823" s="18">
        <f>Cardiac_Table[[#This Row],[Procedure Start Date and Time]]-Cardiac_Table[[#This Row],[Hospital Admit Date ]]</f>
        <v>0.67152777777664596</v>
      </c>
    </row>
    <row r="824" spans="1:24" x14ac:dyDescent="0.35">
      <c r="A824">
        <v>834</v>
      </c>
      <c r="B824" s="9">
        <v>44067.416666666664</v>
      </c>
      <c r="C824" s="10">
        <f>INT(Cardiac_Table[[#This Row],[Hospital Admit Date ]])</f>
        <v>44067</v>
      </c>
      <c r="D824" s="11" t="str">
        <f t="shared" si="12"/>
        <v>10:00</v>
      </c>
      <c r="E824" s="9">
        <v>44082.34375</v>
      </c>
      <c r="F824" s="10">
        <f>INT(Cardiac_Table[[#This Row],[Procedure Start Date and Time]])</f>
        <v>44082</v>
      </c>
      <c r="G824" s="12">
        <f>MOD(Cardiac_Table[[#This Row],[Procedure Start Date and Time]],1)</f>
        <v>0.34375</v>
      </c>
      <c r="H824">
        <v>4</v>
      </c>
      <c r="I824" t="s">
        <v>6</v>
      </c>
      <c r="J824" t="s">
        <v>11</v>
      </c>
      <c r="K824" t="s">
        <v>35</v>
      </c>
      <c r="L824">
        <v>64</v>
      </c>
      <c r="M824">
        <v>2.1</v>
      </c>
      <c r="N824">
        <v>1</v>
      </c>
      <c r="O824" t="s">
        <v>15</v>
      </c>
      <c r="P824">
        <v>64</v>
      </c>
      <c r="Q824">
        <v>172</v>
      </c>
      <c r="R824">
        <v>97</v>
      </c>
      <c r="S824">
        <v>46</v>
      </c>
      <c r="T824" t="s">
        <v>50</v>
      </c>
      <c r="U824">
        <f>IF(Cardiac_Table[[#This Row],[Patient Status at Discharge]]="Died", 1,0)</f>
        <v>0</v>
      </c>
      <c r="V824">
        <f>Cardiac_Table[[#This Row],[Risk of Death % (Model 1)]]/100</f>
        <v>2.1000000000000001E-2</v>
      </c>
      <c r="W824">
        <f>Cardiac_Table[[#This Row],[Risk of Death % (Model 2)]]/100</f>
        <v>0.01</v>
      </c>
      <c r="X824" s="18">
        <f>Cardiac_Table[[#This Row],[Procedure Start Date and Time]]-Cardiac_Table[[#This Row],[Hospital Admit Date ]]</f>
        <v>14.927083333335759</v>
      </c>
    </row>
    <row r="825" spans="1:24" x14ac:dyDescent="0.35">
      <c r="A825">
        <v>835</v>
      </c>
      <c r="B825" s="9">
        <v>44081.677777777775</v>
      </c>
      <c r="C825" s="10">
        <f>INT(Cardiac_Table[[#This Row],[Hospital Admit Date ]])</f>
        <v>44081</v>
      </c>
      <c r="D825" s="11" t="str">
        <f t="shared" si="12"/>
        <v>16:16</v>
      </c>
      <c r="E825" s="9">
        <v>44082.527777777781</v>
      </c>
      <c r="F825" s="10">
        <f>INT(Cardiac_Table[[#This Row],[Procedure Start Date and Time]])</f>
        <v>44082</v>
      </c>
      <c r="G825" s="12">
        <f>MOD(Cardiac_Table[[#This Row],[Procedure Start Date and Time]],1)</f>
        <v>0.52777777778101154</v>
      </c>
      <c r="H825">
        <v>5</v>
      </c>
      <c r="I825" t="s">
        <v>4</v>
      </c>
      <c r="J825" t="s">
        <v>10</v>
      </c>
      <c r="K825" t="s">
        <v>26</v>
      </c>
      <c r="L825">
        <v>66</v>
      </c>
      <c r="M825">
        <v>3.41</v>
      </c>
      <c r="N825">
        <v>1.83</v>
      </c>
      <c r="O825" t="s">
        <v>15</v>
      </c>
      <c r="P825">
        <v>90</v>
      </c>
      <c r="Q825">
        <v>175</v>
      </c>
      <c r="R825">
        <v>125</v>
      </c>
      <c r="S825">
        <v>55</v>
      </c>
      <c r="T825" t="s">
        <v>48</v>
      </c>
      <c r="U825">
        <f>IF(Cardiac_Table[[#This Row],[Patient Status at Discharge]]="Died", 1,0)</f>
        <v>0</v>
      </c>
      <c r="V825">
        <f>Cardiac_Table[[#This Row],[Risk of Death % (Model 1)]]/100</f>
        <v>3.4099999999999998E-2</v>
      </c>
      <c r="W825">
        <f>Cardiac_Table[[#This Row],[Risk of Death % (Model 2)]]/100</f>
        <v>1.83E-2</v>
      </c>
      <c r="X825" s="18">
        <f>Cardiac_Table[[#This Row],[Procedure Start Date and Time]]-Cardiac_Table[[#This Row],[Hospital Admit Date ]]</f>
        <v>0.85000000000582077</v>
      </c>
    </row>
    <row r="826" spans="1:24" x14ac:dyDescent="0.35">
      <c r="A826">
        <v>836</v>
      </c>
      <c r="B826" s="9">
        <v>44081.629166666666</v>
      </c>
      <c r="C826" s="10">
        <f>INT(Cardiac_Table[[#This Row],[Hospital Admit Date ]])</f>
        <v>44081</v>
      </c>
      <c r="D826" s="11" t="str">
        <f t="shared" si="12"/>
        <v>15:06</v>
      </c>
      <c r="E826" s="9">
        <v>44082.613194444442</v>
      </c>
      <c r="F826" s="10">
        <f>INT(Cardiac_Table[[#This Row],[Procedure Start Date and Time]])</f>
        <v>44082</v>
      </c>
      <c r="G826" s="12">
        <f>MOD(Cardiac_Table[[#This Row],[Procedure Start Date and Time]],1)</f>
        <v>0.6131944444423425</v>
      </c>
      <c r="H826">
        <v>2</v>
      </c>
      <c r="I826" t="s">
        <v>4</v>
      </c>
      <c r="J826" t="s">
        <v>3</v>
      </c>
      <c r="K826" t="s">
        <v>28</v>
      </c>
      <c r="L826">
        <v>84</v>
      </c>
      <c r="M826">
        <v>10.95</v>
      </c>
      <c r="N826">
        <v>10.26</v>
      </c>
      <c r="O826" t="s">
        <v>15</v>
      </c>
      <c r="P826">
        <v>88</v>
      </c>
      <c r="Q826">
        <v>179</v>
      </c>
      <c r="R826">
        <v>90</v>
      </c>
      <c r="S826">
        <v>45</v>
      </c>
      <c r="T826" t="s">
        <v>50</v>
      </c>
      <c r="U826">
        <f>IF(Cardiac_Table[[#This Row],[Patient Status at Discharge]]="Died", 1,0)</f>
        <v>0</v>
      </c>
      <c r="V826">
        <f>Cardiac_Table[[#This Row],[Risk of Death % (Model 1)]]/100</f>
        <v>0.10949999999999999</v>
      </c>
      <c r="W826">
        <f>Cardiac_Table[[#This Row],[Risk of Death % (Model 2)]]/100</f>
        <v>0.1026</v>
      </c>
      <c r="X826" s="18">
        <f>Cardiac_Table[[#This Row],[Procedure Start Date and Time]]-Cardiac_Table[[#This Row],[Hospital Admit Date ]]</f>
        <v>0.98402777777664596</v>
      </c>
    </row>
    <row r="827" spans="1:24" x14ac:dyDescent="0.35">
      <c r="A827">
        <v>837</v>
      </c>
      <c r="B827" s="9">
        <v>44082.291666666664</v>
      </c>
      <c r="C827" s="10">
        <f>INT(Cardiac_Table[[#This Row],[Hospital Admit Date ]])</f>
        <v>44082</v>
      </c>
      <c r="D827" s="11" t="str">
        <f t="shared" si="12"/>
        <v>07:00</v>
      </c>
      <c r="E827" s="9">
        <v>44082.614583333336</v>
      </c>
      <c r="F827" s="10">
        <f>INT(Cardiac_Table[[#This Row],[Procedure Start Date and Time]])</f>
        <v>44082</v>
      </c>
      <c r="G827" s="12">
        <f>MOD(Cardiac_Table[[#This Row],[Procedure Start Date and Time]],1)</f>
        <v>0.61458333333575865</v>
      </c>
      <c r="H827">
        <v>4</v>
      </c>
      <c r="I827" t="s">
        <v>4</v>
      </c>
      <c r="J827" t="s">
        <v>3</v>
      </c>
      <c r="K827" t="s">
        <v>35</v>
      </c>
      <c r="L827">
        <v>35</v>
      </c>
      <c r="M827">
        <v>1.51</v>
      </c>
      <c r="N827">
        <v>0.56000000000000005</v>
      </c>
      <c r="O827" t="s">
        <v>15</v>
      </c>
      <c r="P827">
        <v>114</v>
      </c>
      <c r="Q827">
        <v>171</v>
      </c>
      <c r="R827">
        <v>56</v>
      </c>
      <c r="S827">
        <v>40</v>
      </c>
      <c r="T827" t="s">
        <v>50</v>
      </c>
      <c r="U827">
        <f>IF(Cardiac_Table[[#This Row],[Patient Status at Discharge]]="Died", 1,0)</f>
        <v>0</v>
      </c>
      <c r="V827">
        <f>Cardiac_Table[[#This Row],[Risk of Death % (Model 1)]]/100</f>
        <v>1.5100000000000001E-2</v>
      </c>
      <c r="W827">
        <f>Cardiac_Table[[#This Row],[Risk of Death % (Model 2)]]/100</f>
        <v>5.6000000000000008E-3</v>
      </c>
      <c r="X827" s="18">
        <f>Cardiac_Table[[#This Row],[Procedure Start Date and Time]]-Cardiac_Table[[#This Row],[Hospital Admit Date ]]</f>
        <v>0.32291666667151731</v>
      </c>
    </row>
    <row r="828" spans="1:24" x14ac:dyDescent="0.35">
      <c r="A828">
        <v>838</v>
      </c>
      <c r="B828" s="9">
        <v>44082.666666666664</v>
      </c>
      <c r="C828" s="10">
        <f>INT(Cardiac_Table[[#This Row],[Hospital Admit Date ]])</f>
        <v>44082</v>
      </c>
      <c r="D828" s="11" t="str">
        <f t="shared" si="12"/>
        <v>16:00</v>
      </c>
      <c r="E828" s="9">
        <v>44083.333333333336</v>
      </c>
      <c r="F828" s="10">
        <f>INT(Cardiac_Table[[#This Row],[Procedure Start Date and Time]])</f>
        <v>44083</v>
      </c>
      <c r="G828" s="12">
        <f>MOD(Cardiac_Table[[#This Row],[Procedure Start Date and Time]],1)</f>
        <v>0.33333333333575865</v>
      </c>
      <c r="H828">
        <v>2</v>
      </c>
      <c r="I828" t="s">
        <v>4</v>
      </c>
      <c r="J828" t="s">
        <v>1</v>
      </c>
      <c r="K828" t="s">
        <v>28</v>
      </c>
      <c r="L828">
        <v>81</v>
      </c>
      <c r="M828">
        <v>24.31</v>
      </c>
      <c r="N828">
        <v>10.36</v>
      </c>
      <c r="O828" t="s">
        <v>15</v>
      </c>
      <c r="P828">
        <v>66</v>
      </c>
      <c r="Q828">
        <v>175</v>
      </c>
      <c r="R828">
        <v>100</v>
      </c>
      <c r="S828">
        <v>55</v>
      </c>
      <c r="T828" t="s">
        <v>48</v>
      </c>
      <c r="U828">
        <f>IF(Cardiac_Table[[#This Row],[Patient Status at Discharge]]="Died", 1,0)</f>
        <v>0</v>
      </c>
      <c r="V828">
        <f>Cardiac_Table[[#This Row],[Risk of Death % (Model 1)]]/100</f>
        <v>0.24309999999999998</v>
      </c>
      <c r="W828">
        <f>Cardiac_Table[[#This Row],[Risk of Death % (Model 2)]]/100</f>
        <v>0.1036</v>
      </c>
      <c r="X828" s="18">
        <f>Cardiac_Table[[#This Row],[Procedure Start Date and Time]]-Cardiac_Table[[#This Row],[Hospital Admit Date ]]</f>
        <v>0.66666666667151731</v>
      </c>
    </row>
    <row r="829" spans="1:24" x14ac:dyDescent="0.35">
      <c r="A829">
        <v>839</v>
      </c>
      <c r="B829" s="9">
        <v>44082.67083333333</v>
      </c>
      <c r="C829" s="10">
        <f>INT(Cardiac_Table[[#This Row],[Hospital Admit Date ]])</f>
        <v>44082</v>
      </c>
      <c r="D829" s="11" t="str">
        <f t="shared" si="12"/>
        <v>16:06</v>
      </c>
      <c r="E829" s="9">
        <v>44083.333333333336</v>
      </c>
      <c r="F829" s="10">
        <f>INT(Cardiac_Table[[#This Row],[Procedure Start Date and Time]])</f>
        <v>44083</v>
      </c>
      <c r="G829" s="12">
        <f>MOD(Cardiac_Table[[#This Row],[Procedure Start Date and Time]],1)</f>
        <v>0.33333333333575865</v>
      </c>
      <c r="H829">
        <v>6</v>
      </c>
      <c r="I829" t="s">
        <v>4</v>
      </c>
      <c r="J829" t="s">
        <v>10</v>
      </c>
      <c r="K829" t="s">
        <v>24</v>
      </c>
      <c r="L829">
        <v>58</v>
      </c>
      <c r="M829">
        <v>1.68</v>
      </c>
      <c r="N829">
        <v>1.28</v>
      </c>
      <c r="O829" t="s">
        <v>15</v>
      </c>
      <c r="P829">
        <v>139</v>
      </c>
      <c r="Q829">
        <v>164</v>
      </c>
      <c r="R829">
        <v>75</v>
      </c>
      <c r="S829">
        <v>28</v>
      </c>
      <c r="T829" t="s">
        <v>49</v>
      </c>
      <c r="U829">
        <f>IF(Cardiac_Table[[#This Row],[Patient Status at Discharge]]="Died", 1,0)</f>
        <v>0</v>
      </c>
      <c r="V829">
        <f>Cardiac_Table[[#This Row],[Risk of Death % (Model 1)]]/100</f>
        <v>1.6799999999999999E-2</v>
      </c>
      <c r="W829">
        <f>Cardiac_Table[[#This Row],[Risk of Death % (Model 2)]]/100</f>
        <v>1.2800000000000001E-2</v>
      </c>
      <c r="X829" s="18">
        <f>Cardiac_Table[[#This Row],[Procedure Start Date and Time]]-Cardiac_Table[[#This Row],[Hospital Admit Date ]]</f>
        <v>0.66250000000582077</v>
      </c>
    </row>
    <row r="830" spans="1:24" x14ac:dyDescent="0.35">
      <c r="A830">
        <v>840</v>
      </c>
      <c r="B830" s="9">
        <v>44082.588194444441</v>
      </c>
      <c r="C830" s="10">
        <f>INT(Cardiac_Table[[#This Row],[Hospital Admit Date ]])</f>
        <v>44082</v>
      </c>
      <c r="D830" s="11" t="str">
        <f t="shared" si="12"/>
        <v>14:07</v>
      </c>
      <c r="E830" s="9">
        <v>44083.334027777775</v>
      </c>
      <c r="F830" s="10">
        <f>INT(Cardiac_Table[[#This Row],[Procedure Start Date and Time]])</f>
        <v>44083</v>
      </c>
      <c r="G830" s="12">
        <f>MOD(Cardiac_Table[[#This Row],[Procedure Start Date and Time]],1)</f>
        <v>0.33402777777519077</v>
      </c>
      <c r="H830">
        <v>3</v>
      </c>
      <c r="I830" t="s">
        <v>4</v>
      </c>
      <c r="J830" t="s">
        <v>3</v>
      </c>
      <c r="K830" t="s">
        <v>25</v>
      </c>
      <c r="L830">
        <v>39</v>
      </c>
      <c r="M830">
        <v>5.48</v>
      </c>
      <c r="N830">
        <v>2.09</v>
      </c>
      <c r="O830" t="s">
        <v>15</v>
      </c>
      <c r="P830">
        <v>85</v>
      </c>
      <c r="Q830">
        <v>165</v>
      </c>
      <c r="R830">
        <v>76</v>
      </c>
      <c r="S830">
        <v>55</v>
      </c>
      <c r="T830" t="s">
        <v>48</v>
      </c>
      <c r="U830">
        <f>IF(Cardiac_Table[[#This Row],[Patient Status at Discharge]]="Died", 1,0)</f>
        <v>0</v>
      </c>
      <c r="V830">
        <f>Cardiac_Table[[#This Row],[Risk of Death % (Model 1)]]/100</f>
        <v>5.4800000000000001E-2</v>
      </c>
      <c r="W830">
        <f>Cardiac_Table[[#This Row],[Risk of Death % (Model 2)]]/100</f>
        <v>2.0899999999999998E-2</v>
      </c>
      <c r="X830" s="18">
        <f>Cardiac_Table[[#This Row],[Procedure Start Date and Time]]-Cardiac_Table[[#This Row],[Hospital Admit Date ]]</f>
        <v>0.74583333333430346</v>
      </c>
    </row>
    <row r="831" spans="1:24" x14ac:dyDescent="0.35">
      <c r="A831">
        <v>841</v>
      </c>
      <c r="B831" s="9">
        <v>44081.458333333336</v>
      </c>
      <c r="C831" s="10">
        <f>INT(Cardiac_Table[[#This Row],[Hospital Admit Date ]])</f>
        <v>44081</v>
      </c>
      <c r="D831" s="11" t="str">
        <f t="shared" si="12"/>
        <v>11:00</v>
      </c>
      <c r="E831" s="9">
        <v>44083.34097222222</v>
      </c>
      <c r="F831" s="10">
        <f>INT(Cardiac_Table[[#This Row],[Procedure Start Date and Time]])</f>
        <v>44083</v>
      </c>
      <c r="G831" s="12">
        <f>MOD(Cardiac_Table[[#This Row],[Procedure Start Date and Time]],1)</f>
        <v>0.34097222222044365</v>
      </c>
      <c r="H831">
        <v>5</v>
      </c>
      <c r="I831" t="s">
        <v>6</v>
      </c>
      <c r="J831" t="s">
        <v>11</v>
      </c>
      <c r="K831" t="s">
        <v>27</v>
      </c>
      <c r="L831">
        <v>76</v>
      </c>
      <c r="M831">
        <v>4.53</v>
      </c>
      <c r="N831">
        <v>2.77</v>
      </c>
      <c r="O831" t="s">
        <v>15</v>
      </c>
      <c r="P831">
        <v>100</v>
      </c>
      <c r="Q831">
        <v>178</v>
      </c>
      <c r="R831">
        <v>89</v>
      </c>
      <c r="S831">
        <v>55</v>
      </c>
      <c r="T831" t="s">
        <v>48</v>
      </c>
      <c r="U831">
        <f>IF(Cardiac_Table[[#This Row],[Patient Status at Discharge]]="Died", 1,0)</f>
        <v>0</v>
      </c>
      <c r="V831">
        <f>Cardiac_Table[[#This Row],[Risk of Death % (Model 1)]]/100</f>
        <v>4.53E-2</v>
      </c>
      <c r="W831">
        <f>Cardiac_Table[[#This Row],[Risk of Death % (Model 2)]]/100</f>
        <v>2.7699999999999999E-2</v>
      </c>
      <c r="X831" s="18">
        <f>Cardiac_Table[[#This Row],[Procedure Start Date and Time]]-Cardiac_Table[[#This Row],[Hospital Admit Date ]]</f>
        <v>1.882638888884685</v>
      </c>
    </row>
    <row r="832" spans="1:24" x14ac:dyDescent="0.35">
      <c r="A832">
        <v>842</v>
      </c>
      <c r="B832" s="9">
        <v>44077.667361111111</v>
      </c>
      <c r="C832" s="10">
        <f>INT(Cardiac_Table[[#This Row],[Hospital Admit Date ]])</f>
        <v>44077</v>
      </c>
      <c r="D832" s="11" t="str">
        <f t="shared" si="12"/>
        <v>16:01</v>
      </c>
      <c r="E832" s="9">
        <v>44083.347916666666</v>
      </c>
      <c r="F832" s="10">
        <f>INT(Cardiac_Table[[#This Row],[Procedure Start Date and Time]])</f>
        <v>44083</v>
      </c>
      <c r="G832" s="12">
        <f>MOD(Cardiac_Table[[#This Row],[Procedure Start Date and Time]],1)</f>
        <v>0.34791666666569654</v>
      </c>
      <c r="H832">
        <v>4</v>
      </c>
      <c r="I832" t="s">
        <v>6</v>
      </c>
      <c r="J832" t="s">
        <v>1</v>
      </c>
      <c r="K832" t="s">
        <v>31</v>
      </c>
      <c r="L832">
        <v>81</v>
      </c>
      <c r="M832">
        <v>30.88</v>
      </c>
      <c r="N832">
        <v>11.5</v>
      </c>
      <c r="O832" t="s">
        <v>15</v>
      </c>
      <c r="P832">
        <v>85</v>
      </c>
      <c r="Q832">
        <v>170</v>
      </c>
      <c r="R832">
        <v>80</v>
      </c>
      <c r="S832">
        <v>80</v>
      </c>
      <c r="T832" t="s">
        <v>48</v>
      </c>
      <c r="U832">
        <f>IF(Cardiac_Table[[#This Row],[Patient Status at Discharge]]="Died", 1,0)</f>
        <v>0</v>
      </c>
      <c r="V832">
        <f>Cardiac_Table[[#This Row],[Risk of Death % (Model 1)]]/100</f>
        <v>0.30879999999999996</v>
      </c>
      <c r="W832">
        <f>Cardiac_Table[[#This Row],[Risk of Death % (Model 2)]]/100</f>
        <v>0.115</v>
      </c>
      <c r="X832" s="18">
        <f>Cardiac_Table[[#This Row],[Procedure Start Date and Time]]-Cardiac_Table[[#This Row],[Hospital Admit Date ]]</f>
        <v>5.6805555555547471</v>
      </c>
    </row>
    <row r="833" spans="1:24" x14ac:dyDescent="0.35">
      <c r="A833">
        <v>843</v>
      </c>
      <c r="B833" s="9">
        <v>44083.291666666664</v>
      </c>
      <c r="C833" s="10">
        <f>INT(Cardiac_Table[[#This Row],[Hospital Admit Date ]])</f>
        <v>44083</v>
      </c>
      <c r="D833" s="11" t="str">
        <f t="shared" si="12"/>
        <v>07:00</v>
      </c>
      <c r="E833" s="9">
        <v>44083.581944444442</v>
      </c>
      <c r="F833" s="10">
        <f>INT(Cardiac_Table[[#This Row],[Procedure Start Date and Time]])</f>
        <v>44083</v>
      </c>
      <c r="G833" s="12">
        <f>MOD(Cardiac_Table[[#This Row],[Procedure Start Date and Time]],1)</f>
        <v>0.5819444444423425</v>
      </c>
      <c r="H833">
        <v>2</v>
      </c>
      <c r="I833" t="s">
        <v>4</v>
      </c>
      <c r="J833" t="s">
        <v>3</v>
      </c>
      <c r="K833" t="s">
        <v>28</v>
      </c>
      <c r="L833">
        <v>66</v>
      </c>
      <c r="M833">
        <v>2.38</v>
      </c>
      <c r="N833">
        <v>0.59</v>
      </c>
      <c r="O833" t="s">
        <v>15</v>
      </c>
      <c r="P833">
        <v>112</v>
      </c>
      <c r="Q833">
        <v>170</v>
      </c>
      <c r="R833">
        <v>119</v>
      </c>
      <c r="S833">
        <v>70</v>
      </c>
      <c r="T833" t="s">
        <v>48</v>
      </c>
      <c r="U833">
        <f>IF(Cardiac_Table[[#This Row],[Patient Status at Discharge]]="Died", 1,0)</f>
        <v>0</v>
      </c>
      <c r="V833">
        <f>Cardiac_Table[[#This Row],[Risk of Death % (Model 1)]]/100</f>
        <v>2.3799999999999998E-2</v>
      </c>
      <c r="W833">
        <f>Cardiac_Table[[#This Row],[Risk of Death % (Model 2)]]/100</f>
        <v>5.8999999999999999E-3</v>
      </c>
      <c r="X833" s="18">
        <f>Cardiac_Table[[#This Row],[Procedure Start Date and Time]]-Cardiac_Table[[#This Row],[Hospital Admit Date ]]</f>
        <v>0.29027777777810115</v>
      </c>
    </row>
    <row r="834" spans="1:24" x14ac:dyDescent="0.35">
      <c r="A834">
        <v>844</v>
      </c>
      <c r="B834" s="9">
        <v>44083.291666666664</v>
      </c>
      <c r="C834" s="10">
        <f>INT(Cardiac_Table[[#This Row],[Hospital Admit Date ]])</f>
        <v>44083</v>
      </c>
      <c r="D834" s="11" t="str">
        <f t="shared" ref="D834:D897" si="13">TEXT(B834,"HH:MM")</f>
        <v>07:00</v>
      </c>
      <c r="E834" s="9">
        <v>44083.63958333333</v>
      </c>
      <c r="F834" s="10">
        <f>INT(Cardiac_Table[[#This Row],[Procedure Start Date and Time]])</f>
        <v>44083</v>
      </c>
      <c r="G834" s="12">
        <f>MOD(Cardiac_Table[[#This Row],[Procedure Start Date and Time]],1)</f>
        <v>0.63958333332993789</v>
      </c>
      <c r="H834">
        <v>4</v>
      </c>
      <c r="I834" t="s">
        <v>4</v>
      </c>
      <c r="J834" t="s">
        <v>10</v>
      </c>
      <c r="K834" t="s">
        <v>31</v>
      </c>
      <c r="L834">
        <v>59</v>
      </c>
      <c r="M834">
        <v>0.88</v>
      </c>
      <c r="N834">
        <v>0.67</v>
      </c>
      <c r="O834" t="s">
        <v>15</v>
      </c>
      <c r="P834">
        <v>110</v>
      </c>
      <c r="Q834">
        <v>157</v>
      </c>
      <c r="R834">
        <v>90</v>
      </c>
      <c r="S834">
        <v>55</v>
      </c>
      <c r="T834" t="s">
        <v>48</v>
      </c>
      <c r="U834">
        <f>IF(Cardiac_Table[[#This Row],[Patient Status at Discharge]]="Died", 1,0)</f>
        <v>0</v>
      </c>
      <c r="V834">
        <f>Cardiac_Table[[#This Row],[Risk of Death % (Model 1)]]/100</f>
        <v>8.8000000000000005E-3</v>
      </c>
      <c r="W834">
        <f>Cardiac_Table[[#This Row],[Risk of Death % (Model 2)]]/100</f>
        <v>6.7000000000000002E-3</v>
      </c>
      <c r="X834" s="18">
        <f>Cardiac_Table[[#This Row],[Procedure Start Date and Time]]-Cardiac_Table[[#This Row],[Hospital Admit Date ]]</f>
        <v>0.34791666666569654</v>
      </c>
    </row>
    <row r="835" spans="1:24" x14ac:dyDescent="0.35">
      <c r="A835">
        <v>845</v>
      </c>
      <c r="B835" s="9">
        <v>44083.291666666664</v>
      </c>
      <c r="C835" s="10">
        <f>INT(Cardiac_Table[[#This Row],[Hospital Admit Date ]])</f>
        <v>44083</v>
      </c>
      <c r="D835" s="11" t="str">
        <f t="shared" si="13"/>
        <v>07:00</v>
      </c>
      <c r="E835" s="9">
        <v>44083.640972222223</v>
      </c>
      <c r="F835" s="10">
        <f>INT(Cardiac_Table[[#This Row],[Procedure Start Date and Time]])</f>
        <v>44083</v>
      </c>
      <c r="G835" s="12">
        <f>MOD(Cardiac_Table[[#This Row],[Procedure Start Date and Time]],1)</f>
        <v>0.64097222222335404</v>
      </c>
      <c r="H835">
        <v>3</v>
      </c>
      <c r="I835" t="s">
        <v>4</v>
      </c>
      <c r="J835" t="s">
        <v>10</v>
      </c>
      <c r="K835" t="s">
        <v>25</v>
      </c>
      <c r="L835">
        <v>77</v>
      </c>
      <c r="M835">
        <v>3.94</v>
      </c>
      <c r="N835">
        <v>1.36</v>
      </c>
      <c r="O835" t="s">
        <v>15</v>
      </c>
      <c r="P835">
        <v>84</v>
      </c>
      <c r="Q835">
        <v>168</v>
      </c>
      <c r="R835">
        <v>89</v>
      </c>
      <c r="S835">
        <v>45</v>
      </c>
      <c r="T835" t="s">
        <v>50</v>
      </c>
      <c r="U835">
        <f>IF(Cardiac_Table[[#This Row],[Patient Status at Discharge]]="Died", 1,0)</f>
        <v>0</v>
      </c>
      <c r="V835">
        <f>Cardiac_Table[[#This Row],[Risk of Death % (Model 1)]]/100</f>
        <v>3.9399999999999998E-2</v>
      </c>
      <c r="W835">
        <f>Cardiac_Table[[#This Row],[Risk of Death % (Model 2)]]/100</f>
        <v>1.3600000000000001E-2</v>
      </c>
      <c r="X835" s="18">
        <f>Cardiac_Table[[#This Row],[Procedure Start Date and Time]]-Cardiac_Table[[#This Row],[Hospital Admit Date ]]</f>
        <v>0.34930555555911269</v>
      </c>
    </row>
    <row r="836" spans="1:24" x14ac:dyDescent="0.35">
      <c r="A836">
        <v>846</v>
      </c>
      <c r="B836" s="9">
        <v>44083.671527777777</v>
      </c>
      <c r="C836" s="10">
        <f>INT(Cardiac_Table[[#This Row],[Hospital Admit Date ]])</f>
        <v>44083</v>
      </c>
      <c r="D836" s="11" t="str">
        <f t="shared" si="13"/>
        <v>16:07</v>
      </c>
      <c r="E836" s="9">
        <v>44084.337500000001</v>
      </c>
      <c r="F836" s="10">
        <f>INT(Cardiac_Table[[#This Row],[Procedure Start Date and Time]])</f>
        <v>44084</v>
      </c>
      <c r="G836" s="12">
        <f>MOD(Cardiac_Table[[#This Row],[Procedure Start Date and Time]],1)</f>
        <v>0.33750000000145519</v>
      </c>
      <c r="H836">
        <v>2</v>
      </c>
      <c r="I836" t="s">
        <v>4</v>
      </c>
      <c r="J836" t="s">
        <v>3</v>
      </c>
      <c r="K836" t="s">
        <v>32</v>
      </c>
      <c r="L836">
        <v>82</v>
      </c>
      <c r="M836">
        <v>13.89</v>
      </c>
      <c r="N836">
        <v>1.87</v>
      </c>
      <c r="O836" t="s">
        <v>15</v>
      </c>
      <c r="P836">
        <v>64</v>
      </c>
      <c r="Q836">
        <v>171</v>
      </c>
      <c r="R836">
        <v>81</v>
      </c>
      <c r="S836">
        <v>50</v>
      </c>
      <c r="T836" t="s">
        <v>50</v>
      </c>
      <c r="U836">
        <f>IF(Cardiac_Table[[#This Row],[Patient Status at Discharge]]="Died", 1,0)</f>
        <v>0</v>
      </c>
      <c r="V836">
        <f>Cardiac_Table[[#This Row],[Risk of Death % (Model 1)]]/100</f>
        <v>0.1389</v>
      </c>
      <c r="W836">
        <f>Cardiac_Table[[#This Row],[Risk of Death % (Model 2)]]/100</f>
        <v>1.8700000000000001E-2</v>
      </c>
      <c r="X836" s="18">
        <f>Cardiac_Table[[#This Row],[Procedure Start Date and Time]]-Cardiac_Table[[#This Row],[Hospital Admit Date ]]</f>
        <v>0.66597222222480923</v>
      </c>
    </row>
    <row r="837" spans="1:24" x14ac:dyDescent="0.35">
      <c r="A837">
        <v>847</v>
      </c>
      <c r="B837" s="9">
        <v>44083.666666666664</v>
      </c>
      <c r="C837" s="10">
        <f>INT(Cardiac_Table[[#This Row],[Hospital Admit Date ]])</f>
        <v>44083</v>
      </c>
      <c r="D837" s="11" t="str">
        <f t="shared" si="13"/>
        <v>16:00</v>
      </c>
      <c r="E837" s="9">
        <v>44084.341666666667</v>
      </c>
      <c r="F837" s="10">
        <f>INT(Cardiac_Table[[#This Row],[Procedure Start Date and Time]])</f>
        <v>44084</v>
      </c>
      <c r="G837" s="12">
        <f>MOD(Cardiac_Table[[#This Row],[Procedure Start Date and Time]],1)</f>
        <v>0.34166666666715173</v>
      </c>
      <c r="H837">
        <v>5</v>
      </c>
      <c r="I837" t="s">
        <v>4</v>
      </c>
      <c r="J837" t="s">
        <v>1</v>
      </c>
      <c r="K837" t="s">
        <v>34</v>
      </c>
      <c r="L837">
        <v>28</v>
      </c>
      <c r="M837">
        <v>4.6500000000000004</v>
      </c>
      <c r="N837">
        <v>1.64</v>
      </c>
      <c r="O837" t="s">
        <v>15</v>
      </c>
      <c r="P837">
        <v>69</v>
      </c>
      <c r="Q837">
        <v>163</v>
      </c>
      <c r="R837">
        <v>79</v>
      </c>
      <c r="S837">
        <v>65</v>
      </c>
      <c r="T837" t="s">
        <v>48</v>
      </c>
      <c r="U837">
        <f>IF(Cardiac_Table[[#This Row],[Patient Status at Discharge]]="Died", 1,0)</f>
        <v>0</v>
      </c>
      <c r="V837">
        <f>Cardiac_Table[[#This Row],[Risk of Death % (Model 1)]]/100</f>
        <v>4.6500000000000007E-2</v>
      </c>
      <c r="W837">
        <f>Cardiac_Table[[#This Row],[Risk of Death % (Model 2)]]/100</f>
        <v>1.6399999999999998E-2</v>
      </c>
      <c r="X837" s="18">
        <f>Cardiac_Table[[#This Row],[Procedure Start Date and Time]]-Cardiac_Table[[#This Row],[Hospital Admit Date ]]</f>
        <v>0.67500000000291038</v>
      </c>
    </row>
    <row r="838" spans="1:24" x14ac:dyDescent="0.35">
      <c r="A838">
        <v>848</v>
      </c>
      <c r="B838" s="9">
        <v>44081.580555555556</v>
      </c>
      <c r="C838" s="10">
        <f>INT(Cardiac_Table[[#This Row],[Hospital Admit Date ]])</f>
        <v>44081</v>
      </c>
      <c r="D838" s="11" t="str">
        <f t="shared" si="13"/>
        <v>13:56</v>
      </c>
      <c r="E838" s="9">
        <v>44084.341666666667</v>
      </c>
      <c r="F838" s="10">
        <f>INT(Cardiac_Table[[#This Row],[Procedure Start Date and Time]])</f>
        <v>44084</v>
      </c>
      <c r="G838" s="12">
        <f>MOD(Cardiac_Table[[#This Row],[Procedure Start Date and Time]],1)</f>
        <v>0.34166666666715173</v>
      </c>
      <c r="H838">
        <v>4</v>
      </c>
      <c r="I838" t="s">
        <v>6</v>
      </c>
      <c r="J838" t="s">
        <v>10</v>
      </c>
      <c r="K838" t="s">
        <v>21</v>
      </c>
      <c r="L838">
        <v>67</v>
      </c>
      <c r="M838">
        <v>7.09</v>
      </c>
      <c r="N838">
        <v>3.43</v>
      </c>
      <c r="O838" t="s">
        <v>15</v>
      </c>
      <c r="P838">
        <v>130</v>
      </c>
      <c r="Q838">
        <v>169</v>
      </c>
      <c r="R838">
        <v>74</v>
      </c>
      <c r="S838">
        <v>43</v>
      </c>
      <c r="T838" t="s">
        <v>50</v>
      </c>
      <c r="U838">
        <f>IF(Cardiac_Table[[#This Row],[Patient Status at Discharge]]="Died", 1,0)</f>
        <v>0</v>
      </c>
      <c r="V838">
        <f>Cardiac_Table[[#This Row],[Risk of Death % (Model 1)]]/100</f>
        <v>7.0900000000000005E-2</v>
      </c>
      <c r="W838">
        <f>Cardiac_Table[[#This Row],[Risk of Death % (Model 2)]]/100</f>
        <v>3.4300000000000004E-2</v>
      </c>
      <c r="X838" s="18">
        <f>Cardiac_Table[[#This Row],[Procedure Start Date and Time]]-Cardiac_Table[[#This Row],[Hospital Admit Date ]]</f>
        <v>2.7611111111109494</v>
      </c>
    </row>
    <row r="839" spans="1:24" x14ac:dyDescent="0.35">
      <c r="A839">
        <v>849</v>
      </c>
      <c r="B839" s="9">
        <v>44084.291666666664</v>
      </c>
      <c r="C839" s="10">
        <f>INT(Cardiac_Table[[#This Row],[Hospital Admit Date ]])</f>
        <v>44084</v>
      </c>
      <c r="D839" s="11" t="str">
        <f t="shared" si="13"/>
        <v>07:00</v>
      </c>
      <c r="E839" s="9">
        <v>44084.45416666667</v>
      </c>
      <c r="F839" s="10">
        <f>INT(Cardiac_Table[[#This Row],[Procedure Start Date and Time]])</f>
        <v>44084</v>
      </c>
      <c r="G839" s="12">
        <f>MOD(Cardiac_Table[[#This Row],[Procedure Start Date and Time]],1)</f>
        <v>0.45416666667006211</v>
      </c>
      <c r="H839">
        <v>2</v>
      </c>
      <c r="I839" t="s">
        <v>4</v>
      </c>
      <c r="J839" t="s">
        <v>11</v>
      </c>
      <c r="K839" t="s">
        <v>32</v>
      </c>
      <c r="L839">
        <v>82</v>
      </c>
      <c r="M839">
        <v>8.9700000000000006</v>
      </c>
      <c r="N839">
        <v>4.49</v>
      </c>
      <c r="O839" t="s">
        <v>15</v>
      </c>
      <c r="P839">
        <v>72</v>
      </c>
      <c r="Q839">
        <v>187</v>
      </c>
      <c r="R839">
        <v>83</v>
      </c>
      <c r="S839">
        <v>49</v>
      </c>
      <c r="T839" t="s">
        <v>50</v>
      </c>
      <c r="U839">
        <f>IF(Cardiac_Table[[#This Row],[Patient Status at Discharge]]="Died", 1,0)</f>
        <v>0</v>
      </c>
      <c r="V839">
        <f>Cardiac_Table[[#This Row],[Risk of Death % (Model 1)]]/100</f>
        <v>8.9700000000000002E-2</v>
      </c>
      <c r="W839">
        <f>Cardiac_Table[[#This Row],[Risk of Death % (Model 2)]]/100</f>
        <v>4.4900000000000002E-2</v>
      </c>
      <c r="X839" s="18">
        <f>Cardiac_Table[[#This Row],[Procedure Start Date and Time]]-Cardiac_Table[[#This Row],[Hospital Admit Date ]]</f>
        <v>0.16250000000582077</v>
      </c>
    </row>
    <row r="840" spans="1:24" x14ac:dyDescent="0.35">
      <c r="A840">
        <v>850</v>
      </c>
      <c r="B840" s="9">
        <v>44073.415277777778</v>
      </c>
      <c r="C840" s="10">
        <f>INT(Cardiac_Table[[#This Row],[Hospital Admit Date ]])</f>
        <v>44073</v>
      </c>
      <c r="D840" s="11" t="str">
        <f t="shared" si="13"/>
        <v>09:58</v>
      </c>
      <c r="E840" s="9">
        <v>44084.600694444445</v>
      </c>
      <c r="F840" s="10">
        <f>INT(Cardiac_Table[[#This Row],[Procedure Start Date and Time]])</f>
        <v>44084</v>
      </c>
      <c r="G840" s="12">
        <f>MOD(Cardiac_Table[[#This Row],[Procedure Start Date and Time]],1)</f>
        <v>0.60069444444525288</v>
      </c>
      <c r="H840">
        <v>5</v>
      </c>
      <c r="I840" t="s">
        <v>6</v>
      </c>
      <c r="J840" t="s">
        <v>10</v>
      </c>
      <c r="K840" t="s">
        <v>31</v>
      </c>
      <c r="L840">
        <v>68</v>
      </c>
      <c r="M840">
        <v>2.72</v>
      </c>
      <c r="N840">
        <v>1</v>
      </c>
      <c r="O840" t="s">
        <v>15</v>
      </c>
      <c r="P840">
        <v>86</v>
      </c>
      <c r="Q840">
        <v>173</v>
      </c>
      <c r="R840">
        <v>92</v>
      </c>
      <c r="S840">
        <v>59</v>
      </c>
      <c r="T840" t="s">
        <v>48</v>
      </c>
      <c r="U840">
        <f>IF(Cardiac_Table[[#This Row],[Patient Status at Discharge]]="Died", 1,0)</f>
        <v>0</v>
      </c>
      <c r="V840">
        <f>Cardiac_Table[[#This Row],[Risk of Death % (Model 1)]]/100</f>
        <v>2.7200000000000002E-2</v>
      </c>
      <c r="W840">
        <f>Cardiac_Table[[#This Row],[Risk of Death % (Model 2)]]/100</f>
        <v>0.01</v>
      </c>
      <c r="X840" s="18">
        <f>Cardiac_Table[[#This Row],[Procedure Start Date and Time]]-Cardiac_Table[[#This Row],[Hospital Admit Date ]]</f>
        <v>11.185416666667152</v>
      </c>
    </row>
    <row r="841" spans="1:24" x14ac:dyDescent="0.35">
      <c r="A841">
        <v>851</v>
      </c>
      <c r="B841" s="9">
        <v>44083.493055555555</v>
      </c>
      <c r="C841" s="10">
        <f>INT(Cardiac_Table[[#This Row],[Hospital Admit Date ]])</f>
        <v>44083</v>
      </c>
      <c r="D841" s="11" t="str">
        <f t="shared" si="13"/>
        <v>11:50</v>
      </c>
      <c r="E841" s="9">
        <v>44084.675000000003</v>
      </c>
      <c r="F841" s="10">
        <f>INT(Cardiac_Table[[#This Row],[Procedure Start Date and Time]])</f>
        <v>44084</v>
      </c>
      <c r="G841" s="12">
        <f>MOD(Cardiac_Table[[#This Row],[Procedure Start Date and Time]],1)</f>
        <v>0.67500000000291038</v>
      </c>
      <c r="H841">
        <v>4</v>
      </c>
      <c r="I841" t="s">
        <v>4</v>
      </c>
      <c r="J841" t="s">
        <v>3</v>
      </c>
      <c r="K841" t="s">
        <v>21</v>
      </c>
      <c r="L841">
        <v>62</v>
      </c>
      <c r="M841">
        <v>2.97</v>
      </c>
      <c r="N841">
        <v>0.86</v>
      </c>
      <c r="O841" t="s">
        <v>15</v>
      </c>
      <c r="P841">
        <v>71</v>
      </c>
      <c r="Q841">
        <v>173</v>
      </c>
      <c r="R841">
        <v>73</v>
      </c>
      <c r="S841">
        <v>64</v>
      </c>
      <c r="T841" t="s">
        <v>48</v>
      </c>
      <c r="U841">
        <f>IF(Cardiac_Table[[#This Row],[Patient Status at Discharge]]="Died", 1,0)</f>
        <v>0</v>
      </c>
      <c r="V841">
        <f>Cardiac_Table[[#This Row],[Risk of Death % (Model 1)]]/100</f>
        <v>2.9700000000000001E-2</v>
      </c>
      <c r="W841">
        <f>Cardiac_Table[[#This Row],[Risk of Death % (Model 2)]]/100</f>
        <v>8.6E-3</v>
      </c>
      <c r="X841" s="18">
        <f>Cardiac_Table[[#This Row],[Procedure Start Date and Time]]-Cardiac_Table[[#This Row],[Hospital Admit Date ]]</f>
        <v>1.1819444444481633</v>
      </c>
    </row>
    <row r="842" spans="1:24" x14ac:dyDescent="0.35">
      <c r="A842">
        <v>852</v>
      </c>
      <c r="B842" s="9">
        <v>44084.657638888886</v>
      </c>
      <c r="C842" s="10">
        <f>INT(Cardiac_Table[[#This Row],[Hospital Admit Date ]])</f>
        <v>44084</v>
      </c>
      <c r="D842" s="11" t="str">
        <f t="shared" si="13"/>
        <v>15:47</v>
      </c>
      <c r="E842" s="9">
        <v>44085.331250000003</v>
      </c>
      <c r="F842" s="10">
        <f>INT(Cardiac_Table[[#This Row],[Procedure Start Date and Time]])</f>
        <v>44085</v>
      </c>
      <c r="G842" s="12">
        <f>MOD(Cardiac_Table[[#This Row],[Procedure Start Date and Time]],1)</f>
        <v>0.33125000000291038</v>
      </c>
      <c r="H842">
        <v>4</v>
      </c>
      <c r="I842" t="s">
        <v>4</v>
      </c>
      <c r="J842" t="s">
        <v>3</v>
      </c>
      <c r="K842" t="s">
        <v>21</v>
      </c>
      <c r="L842">
        <v>72</v>
      </c>
      <c r="M842">
        <v>7.65</v>
      </c>
      <c r="N842">
        <v>1.17</v>
      </c>
      <c r="O842" t="s">
        <v>15</v>
      </c>
      <c r="P842">
        <v>62</v>
      </c>
      <c r="Q842">
        <v>175</v>
      </c>
      <c r="R842">
        <v>95</v>
      </c>
      <c r="S842">
        <v>41</v>
      </c>
      <c r="T842" t="s">
        <v>50</v>
      </c>
      <c r="U842">
        <f>IF(Cardiac_Table[[#This Row],[Patient Status at Discharge]]="Died", 1,0)</f>
        <v>0</v>
      </c>
      <c r="V842">
        <f>Cardiac_Table[[#This Row],[Risk of Death % (Model 1)]]/100</f>
        <v>7.6499999999999999E-2</v>
      </c>
      <c r="W842">
        <f>Cardiac_Table[[#This Row],[Risk of Death % (Model 2)]]/100</f>
        <v>1.1699999999999999E-2</v>
      </c>
      <c r="X842" s="18">
        <f>Cardiac_Table[[#This Row],[Procedure Start Date and Time]]-Cardiac_Table[[#This Row],[Hospital Admit Date ]]</f>
        <v>0.67361111111677019</v>
      </c>
    </row>
    <row r="843" spans="1:24" x14ac:dyDescent="0.35">
      <c r="A843">
        <v>853</v>
      </c>
      <c r="B843" s="9">
        <v>44081.458333333336</v>
      </c>
      <c r="C843" s="10">
        <f>INT(Cardiac_Table[[#This Row],[Hospital Admit Date ]])</f>
        <v>44081</v>
      </c>
      <c r="D843" s="11" t="str">
        <f t="shared" si="13"/>
        <v>11:00</v>
      </c>
      <c r="E843" s="9">
        <v>44085.335416666669</v>
      </c>
      <c r="F843" s="10">
        <f>INT(Cardiac_Table[[#This Row],[Procedure Start Date and Time]])</f>
        <v>44085</v>
      </c>
      <c r="G843" s="12">
        <f>MOD(Cardiac_Table[[#This Row],[Procedure Start Date and Time]],1)</f>
        <v>0.33541666666860692</v>
      </c>
      <c r="H843">
        <v>5</v>
      </c>
      <c r="I843" t="s">
        <v>4</v>
      </c>
      <c r="J843" t="s">
        <v>10</v>
      </c>
      <c r="K843" t="s">
        <v>24</v>
      </c>
      <c r="L843">
        <v>68</v>
      </c>
      <c r="M843">
        <v>1.59</v>
      </c>
      <c r="N843">
        <v>0.7</v>
      </c>
      <c r="O843" t="s">
        <v>15</v>
      </c>
      <c r="P843">
        <v>127</v>
      </c>
      <c r="Q843">
        <v>165</v>
      </c>
      <c r="R843">
        <v>69</v>
      </c>
      <c r="S843">
        <v>66</v>
      </c>
      <c r="T843" t="s">
        <v>48</v>
      </c>
      <c r="U843">
        <f>IF(Cardiac_Table[[#This Row],[Patient Status at Discharge]]="Died", 1,0)</f>
        <v>0</v>
      </c>
      <c r="V843">
        <f>Cardiac_Table[[#This Row],[Risk of Death % (Model 1)]]/100</f>
        <v>1.5900000000000001E-2</v>
      </c>
      <c r="W843">
        <f>Cardiac_Table[[#This Row],[Risk of Death % (Model 2)]]/100</f>
        <v>6.9999999999999993E-3</v>
      </c>
      <c r="X843" s="18">
        <f>Cardiac_Table[[#This Row],[Procedure Start Date and Time]]-Cardiac_Table[[#This Row],[Hospital Admit Date ]]</f>
        <v>3.8770833333328483</v>
      </c>
    </row>
    <row r="844" spans="1:24" x14ac:dyDescent="0.35">
      <c r="A844">
        <v>854</v>
      </c>
      <c r="B844" s="9">
        <v>44083.555555555555</v>
      </c>
      <c r="C844" s="10">
        <f>INT(Cardiac_Table[[#This Row],[Hospital Admit Date ]])</f>
        <v>44083</v>
      </c>
      <c r="D844" s="11" t="str">
        <f t="shared" si="13"/>
        <v>13:20</v>
      </c>
      <c r="E844" s="9">
        <v>44085.340277777781</v>
      </c>
      <c r="F844" s="10">
        <f>INT(Cardiac_Table[[#This Row],[Procedure Start Date and Time]])</f>
        <v>44085</v>
      </c>
      <c r="G844" s="12">
        <f>MOD(Cardiac_Table[[#This Row],[Procedure Start Date and Time]],1)</f>
        <v>0.34027777778101154</v>
      </c>
      <c r="H844">
        <v>2</v>
      </c>
      <c r="I844" t="s">
        <v>6</v>
      </c>
      <c r="J844" t="s">
        <v>10</v>
      </c>
      <c r="K844" t="s">
        <v>31</v>
      </c>
      <c r="L844">
        <v>69</v>
      </c>
      <c r="M844">
        <v>2.9</v>
      </c>
      <c r="N844">
        <v>1.03</v>
      </c>
      <c r="O844" t="s">
        <v>15</v>
      </c>
      <c r="P844">
        <v>120</v>
      </c>
      <c r="Q844">
        <v>166</v>
      </c>
      <c r="R844">
        <v>65</v>
      </c>
      <c r="S844">
        <v>55</v>
      </c>
      <c r="T844" t="s">
        <v>48</v>
      </c>
      <c r="U844">
        <f>IF(Cardiac_Table[[#This Row],[Patient Status at Discharge]]="Died", 1,0)</f>
        <v>0</v>
      </c>
      <c r="V844">
        <f>Cardiac_Table[[#This Row],[Risk of Death % (Model 1)]]/100</f>
        <v>2.8999999999999998E-2</v>
      </c>
      <c r="W844">
        <f>Cardiac_Table[[#This Row],[Risk of Death % (Model 2)]]/100</f>
        <v>1.03E-2</v>
      </c>
      <c r="X844" s="18">
        <f>Cardiac_Table[[#This Row],[Procedure Start Date and Time]]-Cardiac_Table[[#This Row],[Hospital Admit Date ]]</f>
        <v>1.7847222222262644</v>
      </c>
    </row>
    <row r="845" spans="1:24" x14ac:dyDescent="0.35">
      <c r="A845">
        <v>855</v>
      </c>
      <c r="B845" s="9">
        <v>44083.447916666664</v>
      </c>
      <c r="C845" s="10">
        <f>INT(Cardiac_Table[[#This Row],[Hospital Admit Date ]])</f>
        <v>44083</v>
      </c>
      <c r="D845" s="11" t="str">
        <f t="shared" si="13"/>
        <v>10:45</v>
      </c>
      <c r="E845" s="9">
        <v>44085.561111111114</v>
      </c>
      <c r="F845" s="10">
        <f>INT(Cardiac_Table[[#This Row],[Procedure Start Date and Time]])</f>
        <v>44085</v>
      </c>
      <c r="G845" s="12">
        <f>MOD(Cardiac_Table[[#This Row],[Procedure Start Date and Time]],1)</f>
        <v>0.56111111111385981</v>
      </c>
      <c r="H845">
        <v>2</v>
      </c>
      <c r="I845" t="s">
        <v>6</v>
      </c>
      <c r="J845" t="s">
        <v>11</v>
      </c>
      <c r="K845" t="s">
        <v>31</v>
      </c>
      <c r="L845">
        <v>82</v>
      </c>
      <c r="M845">
        <v>6.61</v>
      </c>
      <c r="N845">
        <v>5.56</v>
      </c>
      <c r="O845" t="s">
        <v>15</v>
      </c>
      <c r="P845">
        <v>104</v>
      </c>
      <c r="Q845">
        <v>163</v>
      </c>
      <c r="R845">
        <v>99</v>
      </c>
      <c r="S845">
        <v>55</v>
      </c>
      <c r="T845" t="s">
        <v>48</v>
      </c>
      <c r="U845">
        <f>IF(Cardiac_Table[[#This Row],[Patient Status at Discharge]]="Died", 1,0)</f>
        <v>0</v>
      </c>
      <c r="V845">
        <f>Cardiac_Table[[#This Row],[Risk of Death % (Model 1)]]/100</f>
        <v>6.6100000000000006E-2</v>
      </c>
      <c r="W845">
        <f>Cardiac_Table[[#This Row],[Risk of Death % (Model 2)]]/100</f>
        <v>5.5599999999999997E-2</v>
      </c>
      <c r="X845" s="18">
        <f>Cardiac_Table[[#This Row],[Procedure Start Date and Time]]-Cardiac_Table[[#This Row],[Hospital Admit Date ]]</f>
        <v>2.1131944444496185</v>
      </c>
    </row>
    <row r="846" spans="1:24" x14ac:dyDescent="0.35">
      <c r="A846">
        <v>856</v>
      </c>
      <c r="B846" s="9">
        <v>44084.71875</v>
      </c>
      <c r="C846" s="10">
        <f>INT(Cardiac_Table[[#This Row],[Hospital Admit Date ]])</f>
        <v>44084</v>
      </c>
      <c r="D846" s="11" t="str">
        <f t="shared" si="13"/>
        <v>17:15</v>
      </c>
      <c r="E846" s="9">
        <v>44085.569444444445</v>
      </c>
      <c r="F846" s="10">
        <f>INT(Cardiac_Table[[#This Row],[Procedure Start Date and Time]])</f>
        <v>44085</v>
      </c>
      <c r="G846" s="12">
        <f>MOD(Cardiac_Table[[#This Row],[Procedure Start Date and Time]],1)</f>
        <v>0.56944444444525288</v>
      </c>
      <c r="H846">
        <v>5</v>
      </c>
      <c r="I846" t="s">
        <v>4</v>
      </c>
      <c r="J846" t="s">
        <v>10</v>
      </c>
      <c r="K846" t="s">
        <v>24</v>
      </c>
      <c r="L846">
        <v>74</v>
      </c>
      <c r="M846">
        <v>2.36</v>
      </c>
      <c r="N846">
        <v>1.18</v>
      </c>
      <c r="O846" t="s">
        <v>15</v>
      </c>
      <c r="P846">
        <v>67</v>
      </c>
      <c r="Q846">
        <v>180</v>
      </c>
      <c r="R846">
        <v>98</v>
      </c>
      <c r="S846">
        <v>48</v>
      </c>
      <c r="T846" t="s">
        <v>50</v>
      </c>
      <c r="U846">
        <f>IF(Cardiac_Table[[#This Row],[Patient Status at Discharge]]="Died", 1,0)</f>
        <v>0</v>
      </c>
      <c r="V846">
        <f>Cardiac_Table[[#This Row],[Risk of Death % (Model 1)]]/100</f>
        <v>2.3599999999999999E-2</v>
      </c>
      <c r="W846">
        <f>Cardiac_Table[[#This Row],[Risk of Death % (Model 2)]]/100</f>
        <v>1.18E-2</v>
      </c>
      <c r="X846" s="18">
        <f>Cardiac_Table[[#This Row],[Procedure Start Date and Time]]-Cardiac_Table[[#This Row],[Hospital Admit Date ]]</f>
        <v>0.85069444444525288</v>
      </c>
    </row>
    <row r="847" spans="1:24" x14ac:dyDescent="0.35">
      <c r="A847">
        <v>857</v>
      </c>
      <c r="B847" s="9">
        <v>44085.291666666664</v>
      </c>
      <c r="C847" s="10">
        <f>INT(Cardiac_Table[[#This Row],[Hospital Admit Date ]])</f>
        <v>44085</v>
      </c>
      <c r="D847" s="11" t="str">
        <f t="shared" si="13"/>
        <v>07:00</v>
      </c>
      <c r="E847" s="9">
        <v>44085.569444444445</v>
      </c>
      <c r="F847" s="10">
        <f>INT(Cardiac_Table[[#This Row],[Procedure Start Date and Time]])</f>
        <v>44085</v>
      </c>
      <c r="G847" s="12">
        <f>MOD(Cardiac_Table[[#This Row],[Procedure Start Date and Time]],1)</f>
        <v>0.56944444444525288</v>
      </c>
      <c r="H847">
        <v>4</v>
      </c>
      <c r="I847" t="s">
        <v>4</v>
      </c>
      <c r="J847" t="s">
        <v>10</v>
      </c>
      <c r="K847" t="s">
        <v>21</v>
      </c>
      <c r="L847">
        <v>77</v>
      </c>
      <c r="M847">
        <v>2.87</v>
      </c>
      <c r="N847">
        <v>1.0900000000000001</v>
      </c>
      <c r="O847" t="s">
        <v>15</v>
      </c>
      <c r="P847">
        <v>70</v>
      </c>
      <c r="Q847">
        <v>180</v>
      </c>
      <c r="R847">
        <v>100</v>
      </c>
      <c r="S847">
        <v>52</v>
      </c>
      <c r="T847" t="s">
        <v>48</v>
      </c>
      <c r="U847">
        <f>IF(Cardiac_Table[[#This Row],[Patient Status at Discharge]]="Died", 1,0)</f>
        <v>0</v>
      </c>
      <c r="V847">
        <f>Cardiac_Table[[#This Row],[Risk of Death % (Model 1)]]/100</f>
        <v>2.87E-2</v>
      </c>
      <c r="W847">
        <f>Cardiac_Table[[#This Row],[Risk of Death % (Model 2)]]/100</f>
        <v>1.09E-2</v>
      </c>
      <c r="X847" s="18">
        <f>Cardiac_Table[[#This Row],[Procedure Start Date and Time]]-Cardiac_Table[[#This Row],[Hospital Admit Date ]]</f>
        <v>0.27777777778101154</v>
      </c>
    </row>
    <row r="848" spans="1:24" x14ac:dyDescent="0.35">
      <c r="A848">
        <v>858</v>
      </c>
      <c r="B848" s="9">
        <v>44085.30972222222</v>
      </c>
      <c r="C848" s="10">
        <f>INT(Cardiac_Table[[#This Row],[Hospital Admit Date ]])</f>
        <v>44085</v>
      </c>
      <c r="D848" s="11" t="str">
        <f t="shared" si="13"/>
        <v>07:26</v>
      </c>
      <c r="E848" s="9">
        <v>44086.341666666667</v>
      </c>
      <c r="F848" s="10">
        <f>INT(Cardiac_Table[[#This Row],[Procedure Start Date and Time]])</f>
        <v>44086</v>
      </c>
      <c r="G848" s="12">
        <f>MOD(Cardiac_Table[[#This Row],[Procedure Start Date and Time]],1)</f>
        <v>0.34166666666715173</v>
      </c>
      <c r="H848">
        <v>5</v>
      </c>
      <c r="I848" t="s">
        <v>4</v>
      </c>
      <c r="J848" t="s">
        <v>11</v>
      </c>
      <c r="K848" t="s">
        <v>32</v>
      </c>
      <c r="L848">
        <v>82</v>
      </c>
      <c r="M848">
        <v>18.25</v>
      </c>
      <c r="N848">
        <v>9.65</v>
      </c>
      <c r="O848" t="s">
        <v>13</v>
      </c>
      <c r="P848">
        <v>86</v>
      </c>
      <c r="Q848">
        <v>176</v>
      </c>
      <c r="R848">
        <v>9.5</v>
      </c>
      <c r="S848">
        <v>57</v>
      </c>
      <c r="T848" t="s">
        <v>48</v>
      </c>
      <c r="U848">
        <f>IF(Cardiac_Table[[#This Row],[Patient Status at Discharge]]="Died", 1,0)</f>
        <v>1</v>
      </c>
      <c r="V848">
        <f>Cardiac_Table[[#This Row],[Risk of Death % (Model 1)]]/100</f>
        <v>0.1825</v>
      </c>
      <c r="W848">
        <f>Cardiac_Table[[#This Row],[Risk of Death % (Model 2)]]/100</f>
        <v>9.6500000000000002E-2</v>
      </c>
      <c r="X848" s="18">
        <f>Cardiac_Table[[#This Row],[Procedure Start Date and Time]]-Cardiac_Table[[#This Row],[Hospital Admit Date ]]</f>
        <v>1.0319444444467081</v>
      </c>
    </row>
    <row r="849" spans="1:24" x14ac:dyDescent="0.35">
      <c r="A849">
        <v>859</v>
      </c>
      <c r="B849" s="9">
        <v>44085.676388888889</v>
      </c>
      <c r="C849" s="10">
        <f>INT(Cardiac_Table[[#This Row],[Hospital Admit Date ]])</f>
        <v>44085</v>
      </c>
      <c r="D849" s="11" t="str">
        <f t="shared" si="13"/>
        <v>16:14</v>
      </c>
      <c r="E849" s="9">
        <v>44086.463194444441</v>
      </c>
      <c r="F849" s="10">
        <f>INT(Cardiac_Table[[#This Row],[Procedure Start Date and Time]])</f>
        <v>44086</v>
      </c>
      <c r="G849" s="12">
        <f>MOD(Cardiac_Table[[#This Row],[Procedure Start Date and Time]],1)</f>
        <v>0.46319444444088731</v>
      </c>
      <c r="H849">
        <v>5</v>
      </c>
      <c r="I849" t="s">
        <v>4</v>
      </c>
      <c r="J849" t="s">
        <v>11</v>
      </c>
      <c r="K849" t="s">
        <v>32</v>
      </c>
      <c r="L849">
        <v>73</v>
      </c>
      <c r="M849">
        <v>8.82</v>
      </c>
      <c r="N849">
        <v>3.86</v>
      </c>
      <c r="O849" t="s">
        <v>15</v>
      </c>
      <c r="P849">
        <v>134</v>
      </c>
      <c r="Q849">
        <v>176</v>
      </c>
      <c r="R849">
        <v>100</v>
      </c>
      <c r="S849">
        <v>41</v>
      </c>
      <c r="T849" t="s">
        <v>50</v>
      </c>
      <c r="U849">
        <f>IF(Cardiac_Table[[#This Row],[Patient Status at Discharge]]="Died", 1,0)</f>
        <v>0</v>
      </c>
      <c r="V849">
        <f>Cardiac_Table[[#This Row],[Risk of Death % (Model 1)]]/100</f>
        <v>8.8200000000000001E-2</v>
      </c>
      <c r="W849">
        <f>Cardiac_Table[[#This Row],[Risk of Death % (Model 2)]]/100</f>
        <v>3.8599999999999995E-2</v>
      </c>
      <c r="X849" s="18">
        <f>Cardiac_Table[[#This Row],[Procedure Start Date and Time]]-Cardiac_Table[[#This Row],[Hospital Admit Date ]]</f>
        <v>0.78680555555183673</v>
      </c>
    </row>
    <row r="850" spans="1:24" x14ac:dyDescent="0.35">
      <c r="A850">
        <v>860</v>
      </c>
      <c r="B850" s="9">
        <v>44087.666666666664</v>
      </c>
      <c r="C850" s="10">
        <f>INT(Cardiac_Table[[#This Row],[Hospital Admit Date ]])</f>
        <v>44087</v>
      </c>
      <c r="D850" s="11" t="str">
        <f t="shared" si="13"/>
        <v>16:00</v>
      </c>
      <c r="E850" s="9">
        <v>44088.338194444441</v>
      </c>
      <c r="F850" s="10">
        <f>INT(Cardiac_Table[[#This Row],[Procedure Start Date and Time]])</f>
        <v>44088</v>
      </c>
      <c r="G850" s="12">
        <f>MOD(Cardiac_Table[[#This Row],[Procedure Start Date and Time]],1)</f>
        <v>0.33819444444088731</v>
      </c>
      <c r="H850">
        <v>4</v>
      </c>
      <c r="I850" t="s">
        <v>4</v>
      </c>
      <c r="J850" t="s">
        <v>3</v>
      </c>
      <c r="K850" t="s">
        <v>33</v>
      </c>
      <c r="L850">
        <v>69</v>
      </c>
      <c r="M850">
        <v>5.92</v>
      </c>
      <c r="N850">
        <v>7.08</v>
      </c>
      <c r="O850" t="s">
        <v>15</v>
      </c>
      <c r="P850">
        <v>89</v>
      </c>
      <c r="Q850">
        <v>161</v>
      </c>
      <c r="R850">
        <v>86</v>
      </c>
      <c r="S850">
        <v>28</v>
      </c>
      <c r="T850" t="s">
        <v>49</v>
      </c>
      <c r="U850">
        <f>IF(Cardiac_Table[[#This Row],[Patient Status at Discharge]]="Died", 1,0)</f>
        <v>0</v>
      </c>
      <c r="V850">
        <f>Cardiac_Table[[#This Row],[Risk of Death % (Model 1)]]/100</f>
        <v>5.9200000000000003E-2</v>
      </c>
      <c r="W850">
        <f>Cardiac_Table[[#This Row],[Risk of Death % (Model 2)]]/100</f>
        <v>7.0800000000000002E-2</v>
      </c>
      <c r="X850" s="18">
        <f>Cardiac_Table[[#This Row],[Procedure Start Date and Time]]-Cardiac_Table[[#This Row],[Hospital Admit Date ]]</f>
        <v>0.67152777777664596</v>
      </c>
    </row>
    <row r="851" spans="1:24" x14ac:dyDescent="0.35">
      <c r="A851">
        <v>861</v>
      </c>
      <c r="B851" s="9">
        <v>44087.666666666664</v>
      </c>
      <c r="C851" s="10">
        <f>INT(Cardiac_Table[[#This Row],[Hospital Admit Date ]])</f>
        <v>44087</v>
      </c>
      <c r="D851" s="11" t="str">
        <f t="shared" si="13"/>
        <v>16:00</v>
      </c>
      <c r="E851" s="9">
        <v>44088.338888888888</v>
      </c>
      <c r="F851" s="10">
        <f>INT(Cardiac_Table[[#This Row],[Procedure Start Date and Time]])</f>
        <v>44088</v>
      </c>
      <c r="G851" s="12">
        <f>MOD(Cardiac_Table[[#This Row],[Procedure Start Date and Time]],1)</f>
        <v>0.33888888888759539</v>
      </c>
      <c r="H851">
        <v>6</v>
      </c>
      <c r="I851" t="s">
        <v>4</v>
      </c>
      <c r="J851" t="s">
        <v>1</v>
      </c>
      <c r="K851" t="s">
        <v>23</v>
      </c>
      <c r="L851">
        <v>77</v>
      </c>
      <c r="M851">
        <v>18.37</v>
      </c>
      <c r="N851">
        <v>1.92</v>
      </c>
      <c r="O851" t="s">
        <v>15</v>
      </c>
      <c r="P851">
        <v>92</v>
      </c>
      <c r="Q851">
        <v>172</v>
      </c>
      <c r="R851">
        <v>77</v>
      </c>
      <c r="S851">
        <v>57</v>
      </c>
      <c r="T851" t="s">
        <v>48</v>
      </c>
      <c r="U851">
        <f>IF(Cardiac_Table[[#This Row],[Patient Status at Discharge]]="Died", 1,0)</f>
        <v>0</v>
      </c>
      <c r="V851">
        <f>Cardiac_Table[[#This Row],[Risk of Death % (Model 1)]]/100</f>
        <v>0.1837</v>
      </c>
      <c r="W851">
        <f>Cardiac_Table[[#This Row],[Risk of Death % (Model 2)]]/100</f>
        <v>1.9199999999999998E-2</v>
      </c>
      <c r="X851" s="18">
        <f>Cardiac_Table[[#This Row],[Procedure Start Date and Time]]-Cardiac_Table[[#This Row],[Hospital Admit Date ]]</f>
        <v>0.67222222222335404</v>
      </c>
    </row>
    <row r="852" spans="1:24" x14ac:dyDescent="0.35">
      <c r="A852">
        <v>862</v>
      </c>
      <c r="B852" s="9">
        <v>44087.665277777778</v>
      </c>
      <c r="C852" s="10">
        <f>INT(Cardiac_Table[[#This Row],[Hospital Admit Date ]])</f>
        <v>44087</v>
      </c>
      <c r="D852" s="11" t="str">
        <f t="shared" si="13"/>
        <v>15:58</v>
      </c>
      <c r="E852" s="9">
        <v>44088.34097222222</v>
      </c>
      <c r="F852" s="10">
        <f>INT(Cardiac_Table[[#This Row],[Procedure Start Date and Time]])</f>
        <v>44088</v>
      </c>
      <c r="G852" s="12">
        <f>MOD(Cardiac_Table[[#This Row],[Procedure Start Date and Time]],1)</f>
        <v>0.34097222222044365</v>
      </c>
      <c r="H852">
        <v>5</v>
      </c>
      <c r="I852" t="s">
        <v>4</v>
      </c>
      <c r="J852" t="s">
        <v>10</v>
      </c>
      <c r="K852" t="s">
        <v>29</v>
      </c>
      <c r="L852">
        <v>56</v>
      </c>
      <c r="M852">
        <v>0.88</v>
      </c>
      <c r="N852">
        <v>0.5</v>
      </c>
      <c r="O852" t="s">
        <v>15</v>
      </c>
      <c r="P852">
        <v>76</v>
      </c>
      <c r="Q852">
        <v>174</v>
      </c>
      <c r="R852">
        <v>83</v>
      </c>
      <c r="S852">
        <v>40</v>
      </c>
      <c r="T852" t="s">
        <v>50</v>
      </c>
      <c r="U852">
        <f>IF(Cardiac_Table[[#This Row],[Patient Status at Discharge]]="Died", 1,0)</f>
        <v>0</v>
      </c>
      <c r="V852">
        <f>Cardiac_Table[[#This Row],[Risk of Death % (Model 1)]]/100</f>
        <v>8.8000000000000005E-3</v>
      </c>
      <c r="W852">
        <f>Cardiac_Table[[#This Row],[Risk of Death % (Model 2)]]/100</f>
        <v>5.0000000000000001E-3</v>
      </c>
      <c r="X852" s="18">
        <f>Cardiac_Table[[#This Row],[Procedure Start Date and Time]]-Cardiac_Table[[#This Row],[Hospital Admit Date ]]</f>
        <v>0.6756944444423425</v>
      </c>
    </row>
    <row r="853" spans="1:24" x14ac:dyDescent="0.35">
      <c r="A853">
        <v>863</v>
      </c>
      <c r="B853" s="9">
        <v>44087.652777777781</v>
      </c>
      <c r="C853" s="10">
        <f>INT(Cardiac_Table[[#This Row],[Hospital Admit Date ]])</f>
        <v>44087</v>
      </c>
      <c r="D853" s="11" t="str">
        <f t="shared" si="13"/>
        <v>15:40</v>
      </c>
      <c r="E853" s="9">
        <v>44088.342361111114</v>
      </c>
      <c r="F853" s="10">
        <f>INT(Cardiac_Table[[#This Row],[Procedure Start Date and Time]])</f>
        <v>44088</v>
      </c>
      <c r="G853" s="12">
        <f>MOD(Cardiac_Table[[#This Row],[Procedure Start Date and Time]],1)</f>
        <v>0.34236111111385981</v>
      </c>
      <c r="H853">
        <v>3</v>
      </c>
      <c r="I853" t="s">
        <v>4</v>
      </c>
      <c r="J853" t="s">
        <v>3</v>
      </c>
      <c r="K853" t="s">
        <v>30</v>
      </c>
      <c r="L853">
        <v>58</v>
      </c>
      <c r="M853">
        <v>2.08</v>
      </c>
      <c r="N853">
        <v>0.84</v>
      </c>
      <c r="O853" t="s">
        <v>15</v>
      </c>
      <c r="P853">
        <v>93</v>
      </c>
      <c r="Q853">
        <v>170</v>
      </c>
      <c r="R853">
        <v>72</v>
      </c>
      <c r="S853">
        <v>60</v>
      </c>
      <c r="T853" t="s">
        <v>48</v>
      </c>
      <c r="U853">
        <f>IF(Cardiac_Table[[#This Row],[Patient Status at Discharge]]="Died", 1,0)</f>
        <v>0</v>
      </c>
      <c r="V853">
        <f>Cardiac_Table[[#This Row],[Risk of Death % (Model 1)]]/100</f>
        <v>2.0799999999999999E-2</v>
      </c>
      <c r="W853">
        <f>Cardiac_Table[[#This Row],[Risk of Death % (Model 2)]]/100</f>
        <v>8.3999999999999995E-3</v>
      </c>
      <c r="X853" s="18">
        <f>Cardiac_Table[[#This Row],[Procedure Start Date and Time]]-Cardiac_Table[[#This Row],[Hospital Admit Date ]]</f>
        <v>0.68958333333284827</v>
      </c>
    </row>
    <row r="854" spans="1:24" x14ac:dyDescent="0.35">
      <c r="A854">
        <v>864</v>
      </c>
      <c r="B854" s="9">
        <v>44087.649305555555</v>
      </c>
      <c r="C854" s="10">
        <f>INT(Cardiac_Table[[#This Row],[Hospital Admit Date ]])</f>
        <v>44087</v>
      </c>
      <c r="D854" s="11" t="str">
        <f t="shared" si="13"/>
        <v>15:35</v>
      </c>
      <c r="E854" s="9">
        <v>44088.345833333333</v>
      </c>
      <c r="F854" s="10">
        <f>INT(Cardiac_Table[[#This Row],[Procedure Start Date and Time]])</f>
        <v>44088</v>
      </c>
      <c r="G854" s="12">
        <f>MOD(Cardiac_Table[[#This Row],[Procedure Start Date and Time]],1)</f>
        <v>0.34583333333284827</v>
      </c>
      <c r="H854">
        <v>2</v>
      </c>
      <c r="I854" t="s">
        <v>4</v>
      </c>
      <c r="J854" t="s">
        <v>3</v>
      </c>
      <c r="K854" t="s">
        <v>32</v>
      </c>
      <c r="L854">
        <v>78</v>
      </c>
      <c r="M854">
        <v>9.43</v>
      </c>
      <c r="N854">
        <v>2.17</v>
      </c>
      <c r="O854" t="s">
        <v>15</v>
      </c>
      <c r="P854">
        <v>196</v>
      </c>
      <c r="Q854">
        <v>168</v>
      </c>
      <c r="R854">
        <v>111</v>
      </c>
      <c r="S854">
        <v>40</v>
      </c>
      <c r="T854" t="s">
        <v>50</v>
      </c>
      <c r="U854">
        <f>IF(Cardiac_Table[[#This Row],[Patient Status at Discharge]]="Died", 1,0)</f>
        <v>0</v>
      </c>
      <c r="V854">
        <f>Cardiac_Table[[#This Row],[Risk of Death % (Model 1)]]/100</f>
        <v>9.4299999999999995E-2</v>
      </c>
      <c r="W854">
        <f>Cardiac_Table[[#This Row],[Risk of Death % (Model 2)]]/100</f>
        <v>2.1700000000000001E-2</v>
      </c>
      <c r="X854" s="18">
        <f>Cardiac_Table[[#This Row],[Procedure Start Date and Time]]-Cardiac_Table[[#This Row],[Hospital Admit Date ]]</f>
        <v>0.69652777777810115</v>
      </c>
    </row>
    <row r="855" spans="1:24" x14ac:dyDescent="0.35">
      <c r="A855">
        <v>865</v>
      </c>
      <c r="B855" s="9">
        <v>44081.666666666664</v>
      </c>
      <c r="C855" s="10">
        <f>INT(Cardiac_Table[[#This Row],[Hospital Admit Date ]])</f>
        <v>44081</v>
      </c>
      <c r="D855" s="11" t="str">
        <f t="shared" si="13"/>
        <v>16:00</v>
      </c>
      <c r="E855" s="9">
        <v>44088.49722222222</v>
      </c>
      <c r="F855" s="10">
        <f>INT(Cardiac_Table[[#This Row],[Procedure Start Date and Time]])</f>
        <v>44088</v>
      </c>
      <c r="G855" s="12">
        <f>MOD(Cardiac_Table[[#This Row],[Procedure Start Date and Time]],1)</f>
        <v>0.49722222222044365</v>
      </c>
      <c r="H855">
        <v>2</v>
      </c>
      <c r="I855" t="s">
        <v>4</v>
      </c>
      <c r="J855" t="s">
        <v>3</v>
      </c>
      <c r="K855" t="s">
        <v>32</v>
      </c>
      <c r="L855">
        <v>70</v>
      </c>
      <c r="M855">
        <v>13.24</v>
      </c>
      <c r="N855">
        <v>3.14</v>
      </c>
      <c r="O855" t="s">
        <v>15</v>
      </c>
      <c r="P855">
        <v>112</v>
      </c>
      <c r="Q855">
        <v>178</v>
      </c>
      <c r="R855">
        <v>85</v>
      </c>
      <c r="S855">
        <v>60</v>
      </c>
      <c r="T855" t="s">
        <v>48</v>
      </c>
      <c r="U855">
        <f>IF(Cardiac_Table[[#This Row],[Patient Status at Discharge]]="Died", 1,0)</f>
        <v>0</v>
      </c>
      <c r="V855">
        <f>Cardiac_Table[[#This Row],[Risk of Death % (Model 1)]]/100</f>
        <v>0.13239999999999999</v>
      </c>
      <c r="W855">
        <f>Cardiac_Table[[#This Row],[Risk of Death % (Model 2)]]/100</f>
        <v>3.1400000000000004E-2</v>
      </c>
      <c r="X855" s="18">
        <f>Cardiac_Table[[#This Row],[Procedure Start Date and Time]]-Cardiac_Table[[#This Row],[Hospital Admit Date ]]</f>
        <v>6.8305555555562023</v>
      </c>
    </row>
    <row r="856" spans="1:24" x14ac:dyDescent="0.35">
      <c r="A856">
        <v>866</v>
      </c>
      <c r="B856" s="9">
        <v>44086.416666666664</v>
      </c>
      <c r="C856" s="10">
        <f>INT(Cardiac_Table[[#This Row],[Hospital Admit Date ]])</f>
        <v>44086</v>
      </c>
      <c r="D856" s="11" t="str">
        <f t="shared" si="13"/>
        <v>10:00</v>
      </c>
      <c r="E856" s="9">
        <v>44088.545138888891</v>
      </c>
      <c r="F856" s="10">
        <f>INT(Cardiac_Table[[#This Row],[Procedure Start Date and Time]])</f>
        <v>44088</v>
      </c>
      <c r="G856" s="12">
        <f>MOD(Cardiac_Table[[#This Row],[Procedure Start Date and Time]],1)</f>
        <v>0.54513888889050577</v>
      </c>
      <c r="H856">
        <v>6</v>
      </c>
      <c r="I856" t="s">
        <v>6</v>
      </c>
      <c r="J856" t="s">
        <v>11</v>
      </c>
      <c r="K856" t="s">
        <v>23</v>
      </c>
      <c r="L856">
        <v>72</v>
      </c>
      <c r="M856">
        <v>3.51</v>
      </c>
      <c r="N856">
        <v>1.66</v>
      </c>
      <c r="O856" t="s">
        <v>15</v>
      </c>
      <c r="P856">
        <v>83</v>
      </c>
      <c r="Q856">
        <v>163</v>
      </c>
      <c r="R856">
        <v>75</v>
      </c>
      <c r="S856">
        <v>29</v>
      </c>
      <c r="T856" t="s">
        <v>49</v>
      </c>
      <c r="U856">
        <f>IF(Cardiac_Table[[#This Row],[Patient Status at Discharge]]="Died", 1,0)</f>
        <v>0</v>
      </c>
      <c r="V856">
        <f>Cardiac_Table[[#This Row],[Risk of Death % (Model 1)]]/100</f>
        <v>3.5099999999999999E-2</v>
      </c>
      <c r="W856">
        <f>Cardiac_Table[[#This Row],[Risk of Death % (Model 2)]]/100</f>
        <v>1.66E-2</v>
      </c>
      <c r="X856" s="18">
        <f>Cardiac_Table[[#This Row],[Procedure Start Date and Time]]-Cardiac_Table[[#This Row],[Hospital Admit Date ]]</f>
        <v>2.1284722222262644</v>
      </c>
    </row>
    <row r="857" spans="1:24" x14ac:dyDescent="0.35">
      <c r="A857">
        <v>867</v>
      </c>
      <c r="B857" s="9">
        <v>44086.569444444445</v>
      </c>
      <c r="C857" s="10">
        <f>INT(Cardiac_Table[[#This Row],[Hospital Admit Date ]])</f>
        <v>44086</v>
      </c>
      <c r="D857" s="11" t="str">
        <f t="shared" si="13"/>
        <v>13:40</v>
      </c>
      <c r="E857" s="9">
        <v>44088.546527777777</v>
      </c>
      <c r="F857" s="10">
        <f>INT(Cardiac_Table[[#This Row],[Procedure Start Date and Time]])</f>
        <v>44088</v>
      </c>
      <c r="G857" s="12">
        <f>MOD(Cardiac_Table[[#This Row],[Procedure Start Date and Time]],1)</f>
        <v>0.54652777777664596</v>
      </c>
      <c r="H857">
        <v>4</v>
      </c>
      <c r="I857" t="s">
        <v>6</v>
      </c>
      <c r="J857" t="s">
        <v>10</v>
      </c>
      <c r="K857" t="s">
        <v>33</v>
      </c>
      <c r="L857">
        <v>72</v>
      </c>
      <c r="M857">
        <v>3.91</v>
      </c>
      <c r="N857">
        <v>2.27</v>
      </c>
      <c r="O857" t="s">
        <v>15</v>
      </c>
      <c r="P857">
        <v>110</v>
      </c>
      <c r="Q857">
        <v>154</v>
      </c>
      <c r="R857">
        <v>88</v>
      </c>
      <c r="S857">
        <v>29</v>
      </c>
      <c r="T857" t="s">
        <v>49</v>
      </c>
      <c r="U857">
        <f>IF(Cardiac_Table[[#This Row],[Patient Status at Discharge]]="Died", 1,0)</f>
        <v>0</v>
      </c>
      <c r="V857">
        <f>Cardiac_Table[[#This Row],[Risk of Death % (Model 1)]]/100</f>
        <v>3.9100000000000003E-2</v>
      </c>
      <c r="W857">
        <f>Cardiac_Table[[#This Row],[Risk of Death % (Model 2)]]/100</f>
        <v>2.2700000000000001E-2</v>
      </c>
      <c r="X857" s="18">
        <f>Cardiac_Table[[#This Row],[Procedure Start Date and Time]]-Cardiac_Table[[#This Row],[Hospital Admit Date ]]</f>
        <v>1.9770833333313931</v>
      </c>
    </row>
    <row r="858" spans="1:24" x14ac:dyDescent="0.35">
      <c r="A858">
        <v>868</v>
      </c>
      <c r="B858" s="9">
        <v>44077.5</v>
      </c>
      <c r="C858" s="10">
        <f>INT(Cardiac_Table[[#This Row],[Hospital Admit Date ]])</f>
        <v>44077</v>
      </c>
      <c r="D858" s="11" t="str">
        <f t="shared" si="13"/>
        <v>12:00</v>
      </c>
      <c r="E858" s="9">
        <v>44088.55972222222</v>
      </c>
      <c r="F858" s="10">
        <f>INT(Cardiac_Table[[#This Row],[Procedure Start Date and Time]])</f>
        <v>44088</v>
      </c>
      <c r="G858" s="12">
        <f>MOD(Cardiac_Table[[#This Row],[Procedure Start Date and Time]],1)</f>
        <v>0.55972222222044365</v>
      </c>
      <c r="H858">
        <v>3</v>
      </c>
      <c r="I858" t="s">
        <v>6</v>
      </c>
      <c r="J858" t="s">
        <v>10</v>
      </c>
      <c r="K858" t="s">
        <v>30</v>
      </c>
      <c r="L858">
        <v>61</v>
      </c>
      <c r="M858">
        <v>1.01</v>
      </c>
      <c r="N858">
        <v>0.71</v>
      </c>
      <c r="O858" t="s">
        <v>15</v>
      </c>
      <c r="P858">
        <v>85</v>
      </c>
      <c r="Q858">
        <v>173</v>
      </c>
      <c r="R858">
        <v>82</v>
      </c>
      <c r="S858">
        <v>25</v>
      </c>
      <c r="T858" t="s">
        <v>49</v>
      </c>
      <c r="U858">
        <f>IF(Cardiac_Table[[#This Row],[Patient Status at Discharge]]="Died", 1,0)</f>
        <v>0</v>
      </c>
      <c r="V858">
        <f>Cardiac_Table[[#This Row],[Risk of Death % (Model 1)]]/100</f>
        <v>1.01E-2</v>
      </c>
      <c r="W858">
        <f>Cardiac_Table[[#This Row],[Risk of Death % (Model 2)]]/100</f>
        <v>7.0999999999999995E-3</v>
      </c>
      <c r="X858" s="18">
        <f>Cardiac_Table[[#This Row],[Procedure Start Date and Time]]-Cardiac_Table[[#This Row],[Hospital Admit Date ]]</f>
        <v>11.059722222220444</v>
      </c>
    </row>
    <row r="859" spans="1:24" x14ac:dyDescent="0.35">
      <c r="A859">
        <v>869</v>
      </c>
      <c r="B859" s="9">
        <v>44086.454861111109</v>
      </c>
      <c r="C859" s="10">
        <f>INT(Cardiac_Table[[#This Row],[Hospital Admit Date ]])</f>
        <v>44086</v>
      </c>
      <c r="D859" s="11" t="str">
        <f t="shared" si="13"/>
        <v>10:55</v>
      </c>
      <c r="E859" s="9">
        <v>44088.614583333336</v>
      </c>
      <c r="F859" s="10">
        <f>INT(Cardiac_Table[[#This Row],[Procedure Start Date and Time]])</f>
        <v>44088</v>
      </c>
      <c r="G859" s="12">
        <f>MOD(Cardiac_Table[[#This Row],[Procedure Start Date and Time]],1)</f>
        <v>0.61458333333575865</v>
      </c>
      <c r="H859">
        <v>5</v>
      </c>
      <c r="I859" t="s">
        <v>6</v>
      </c>
      <c r="J859" t="s">
        <v>10</v>
      </c>
      <c r="K859" t="s">
        <v>29</v>
      </c>
      <c r="L859">
        <v>65</v>
      </c>
      <c r="M859">
        <v>13.48</v>
      </c>
      <c r="N859">
        <v>25.78</v>
      </c>
      <c r="O859" t="s">
        <v>15</v>
      </c>
      <c r="P859">
        <v>78</v>
      </c>
      <c r="Q859">
        <v>167</v>
      </c>
      <c r="R859">
        <v>72</v>
      </c>
      <c r="S859">
        <v>52</v>
      </c>
      <c r="T859" t="s">
        <v>48</v>
      </c>
      <c r="U859">
        <f>IF(Cardiac_Table[[#This Row],[Patient Status at Discharge]]="Died", 1,0)</f>
        <v>0</v>
      </c>
      <c r="V859">
        <f>Cardiac_Table[[#This Row],[Risk of Death % (Model 1)]]/100</f>
        <v>0.1348</v>
      </c>
      <c r="W859">
        <f>Cardiac_Table[[#This Row],[Risk of Death % (Model 2)]]/100</f>
        <v>0.25780000000000003</v>
      </c>
      <c r="X859" s="18">
        <f>Cardiac_Table[[#This Row],[Procedure Start Date and Time]]-Cardiac_Table[[#This Row],[Hospital Admit Date ]]</f>
        <v>2.1597222222262644</v>
      </c>
    </row>
    <row r="860" spans="1:24" x14ac:dyDescent="0.35">
      <c r="A860">
        <v>870</v>
      </c>
      <c r="B860" s="9">
        <v>44076.583333333336</v>
      </c>
      <c r="C860" s="10">
        <f>INT(Cardiac_Table[[#This Row],[Hospital Admit Date ]])</f>
        <v>44076</v>
      </c>
      <c r="D860" s="11" t="str">
        <f t="shared" si="13"/>
        <v>14:00</v>
      </c>
      <c r="E860" s="9">
        <v>44089.338888888888</v>
      </c>
      <c r="F860" s="10">
        <f>INT(Cardiac_Table[[#This Row],[Procedure Start Date and Time]])</f>
        <v>44089</v>
      </c>
      <c r="G860" s="12">
        <f>MOD(Cardiac_Table[[#This Row],[Procedure Start Date and Time]],1)</f>
        <v>0.33888888888759539</v>
      </c>
      <c r="H860">
        <v>2</v>
      </c>
      <c r="I860" t="s">
        <v>6</v>
      </c>
      <c r="J860" t="s">
        <v>11</v>
      </c>
      <c r="K860" t="s">
        <v>35</v>
      </c>
      <c r="L860">
        <v>77</v>
      </c>
      <c r="M860">
        <v>9.99</v>
      </c>
      <c r="N860">
        <v>12.6</v>
      </c>
      <c r="O860" t="s">
        <v>15</v>
      </c>
      <c r="P860">
        <v>132</v>
      </c>
      <c r="Q860">
        <v>182</v>
      </c>
      <c r="R860">
        <v>82</v>
      </c>
      <c r="S860">
        <v>51</v>
      </c>
      <c r="T860" t="s">
        <v>48</v>
      </c>
      <c r="U860">
        <f>IF(Cardiac_Table[[#This Row],[Patient Status at Discharge]]="Died", 1,0)</f>
        <v>0</v>
      </c>
      <c r="V860">
        <f>Cardiac_Table[[#This Row],[Risk of Death % (Model 1)]]/100</f>
        <v>9.9900000000000003E-2</v>
      </c>
      <c r="W860">
        <f>Cardiac_Table[[#This Row],[Risk of Death % (Model 2)]]/100</f>
        <v>0.126</v>
      </c>
      <c r="X860" s="18">
        <f>Cardiac_Table[[#This Row],[Procedure Start Date and Time]]-Cardiac_Table[[#This Row],[Hospital Admit Date ]]</f>
        <v>12.755555555551837</v>
      </c>
    </row>
    <row r="861" spans="1:24" x14ac:dyDescent="0.35">
      <c r="A861">
        <v>871</v>
      </c>
      <c r="B861" s="9">
        <v>44087.458333333336</v>
      </c>
      <c r="C861" s="10">
        <f>INT(Cardiac_Table[[#This Row],[Hospital Admit Date ]])</f>
        <v>44087</v>
      </c>
      <c r="D861" s="11" t="str">
        <f t="shared" si="13"/>
        <v>11:00</v>
      </c>
      <c r="E861" s="9">
        <v>44089.340277777781</v>
      </c>
      <c r="F861" s="10">
        <f>INT(Cardiac_Table[[#This Row],[Procedure Start Date and Time]])</f>
        <v>44089</v>
      </c>
      <c r="G861" s="12">
        <f>MOD(Cardiac_Table[[#This Row],[Procedure Start Date and Time]],1)</f>
        <v>0.34027777778101154</v>
      </c>
      <c r="H861">
        <v>5</v>
      </c>
      <c r="I861" t="s">
        <v>6</v>
      </c>
      <c r="J861" t="s">
        <v>11</v>
      </c>
      <c r="K861" t="s">
        <v>26</v>
      </c>
      <c r="L861">
        <v>79</v>
      </c>
      <c r="M861">
        <v>5.48</v>
      </c>
      <c r="N861">
        <v>3.61</v>
      </c>
      <c r="O861" t="s">
        <v>15</v>
      </c>
      <c r="P861">
        <v>74</v>
      </c>
      <c r="Q861">
        <v>170</v>
      </c>
      <c r="R861">
        <v>70</v>
      </c>
      <c r="S861">
        <v>47</v>
      </c>
      <c r="T861" t="s">
        <v>50</v>
      </c>
      <c r="U861">
        <f>IF(Cardiac_Table[[#This Row],[Patient Status at Discharge]]="Died", 1,0)</f>
        <v>0</v>
      </c>
      <c r="V861">
        <f>Cardiac_Table[[#This Row],[Risk of Death % (Model 1)]]/100</f>
        <v>5.4800000000000001E-2</v>
      </c>
      <c r="W861">
        <f>Cardiac_Table[[#This Row],[Risk of Death % (Model 2)]]/100</f>
        <v>3.61E-2</v>
      </c>
      <c r="X861" s="18">
        <f>Cardiac_Table[[#This Row],[Procedure Start Date and Time]]-Cardiac_Table[[#This Row],[Hospital Admit Date ]]</f>
        <v>1.8819444444452529</v>
      </c>
    </row>
    <row r="862" spans="1:24" x14ac:dyDescent="0.35">
      <c r="A862">
        <v>872</v>
      </c>
      <c r="B862" s="9">
        <v>44088.666666666664</v>
      </c>
      <c r="C862" s="10">
        <f>INT(Cardiac_Table[[#This Row],[Hospital Admit Date ]])</f>
        <v>44088</v>
      </c>
      <c r="D862" s="11" t="str">
        <f t="shared" si="13"/>
        <v>16:00</v>
      </c>
      <c r="E862" s="9">
        <v>44089.340277777781</v>
      </c>
      <c r="F862" s="10">
        <f>INT(Cardiac_Table[[#This Row],[Procedure Start Date and Time]])</f>
        <v>44089</v>
      </c>
      <c r="G862" s="12">
        <f>MOD(Cardiac_Table[[#This Row],[Procedure Start Date and Time]],1)</f>
        <v>0.34027777778101154</v>
      </c>
      <c r="H862">
        <v>4</v>
      </c>
      <c r="I862" t="s">
        <v>4</v>
      </c>
      <c r="J862" t="s">
        <v>3</v>
      </c>
      <c r="K862" t="s">
        <v>32</v>
      </c>
      <c r="L862">
        <v>53</v>
      </c>
      <c r="M862">
        <v>1.51</v>
      </c>
      <c r="N862">
        <v>0.67</v>
      </c>
      <c r="O862" t="s">
        <v>15</v>
      </c>
      <c r="P862">
        <v>99</v>
      </c>
      <c r="Q862">
        <v>179</v>
      </c>
      <c r="R862">
        <v>110</v>
      </c>
      <c r="S862">
        <v>37</v>
      </c>
      <c r="T862" t="s">
        <v>50</v>
      </c>
      <c r="U862">
        <f>IF(Cardiac_Table[[#This Row],[Patient Status at Discharge]]="Died", 1,0)</f>
        <v>0</v>
      </c>
      <c r="V862">
        <f>Cardiac_Table[[#This Row],[Risk of Death % (Model 1)]]/100</f>
        <v>1.5100000000000001E-2</v>
      </c>
      <c r="W862">
        <f>Cardiac_Table[[#This Row],[Risk of Death % (Model 2)]]/100</f>
        <v>6.7000000000000002E-3</v>
      </c>
      <c r="X862" s="18">
        <f>Cardiac_Table[[#This Row],[Procedure Start Date and Time]]-Cardiac_Table[[#This Row],[Hospital Admit Date ]]</f>
        <v>0.67361111111677019</v>
      </c>
    </row>
    <row r="863" spans="1:24" x14ac:dyDescent="0.35">
      <c r="A863">
        <v>873</v>
      </c>
      <c r="B863" s="9">
        <v>44080.532638888886</v>
      </c>
      <c r="C863" s="10">
        <f>INT(Cardiac_Table[[#This Row],[Hospital Admit Date ]])</f>
        <v>44080</v>
      </c>
      <c r="D863" s="11" t="str">
        <f t="shared" si="13"/>
        <v>12:47</v>
      </c>
      <c r="E863" s="9">
        <v>44089.347916666666</v>
      </c>
      <c r="F863" s="10">
        <f>INT(Cardiac_Table[[#This Row],[Procedure Start Date and Time]])</f>
        <v>44089</v>
      </c>
      <c r="G863" s="12">
        <f>MOD(Cardiac_Table[[#This Row],[Procedure Start Date and Time]],1)</f>
        <v>0.34791666666569654</v>
      </c>
      <c r="H863">
        <v>6</v>
      </c>
      <c r="I863" t="s">
        <v>6</v>
      </c>
      <c r="J863" t="s">
        <v>10</v>
      </c>
      <c r="K863" t="s">
        <v>24</v>
      </c>
      <c r="L863">
        <v>74</v>
      </c>
      <c r="M863">
        <v>15.4</v>
      </c>
      <c r="N863">
        <v>4.2699999999999996</v>
      </c>
      <c r="O863" t="s">
        <v>15</v>
      </c>
      <c r="P863">
        <v>65</v>
      </c>
      <c r="Q863">
        <v>171</v>
      </c>
      <c r="R863">
        <v>80</v>
      </c>
      <c r="S863">
        <v>55</v>
      </c>
      <c r="T863" t="s">
        <v>48</v>
      </c>
      <c r="U863">
        <f>IF(Cardiac_Table[[#This Row],[Patient Status at Discharge]]="Died", 1,0)</f>
        <v>0</v>
      </c>
      <c r="V863">
        <f>Cardiac_Table[[#This Row],[Risk of Death % (Model 1)]]/100</f>
        <v>0.154</v>
      </c>
      <c r="W863">
        <f>Cardiac_Table[[#This Row],[Risk of Death % (Model 2)]]/100</f>
        <v>4.2699999999999995E-2</v>
      </c>
      <c r="X863" s="18">
        <f>Cardiac_Table[[#This Row],[Procedure Start Date and Time]]-Cardiac_Table[[#This Row],[Hospital Admit Date ]]</f>
        <v>8.8152777777795563</v>
      </c>
    </row>
    <row r="864" spans="1:24" x14ac:dyDescent="0.35">
      <c r="A864">
        <v>874</v>
      </c>
      <c r="B864" s="9">
        <v>44088.666666666664</v>
      </c>
      <c r="C864" s="10">
        <f>INT(Cardiac_Table[[#This Row],[Hospital Admit Date ]])</f>
        <v>44088</v>
      </c>
      <c r="D864" s="11" t="str">
        <f t="shared" si="13"/>
        <v>16:00</v>
      </c>
      <c r="E864" s="9">
        <v>44089.484722222223</v>
      </c>
      <c r="F864" s="10">
        <f>INT(Cardiac_Table[[#This Row],[Procedure Start Date and Time]])</f>
        <v>44089</v>
      </c>
      <c r="G864" s="12">
        <f>MOD(Cardiac_Table[[#This Row],[Procedure Start Date and Time]],1)</f>
        <v>0.48472222222335404</v>
      </c>
      <c r="H864">
        <v>4</v>
      </c>
      <c r="I864" t="s">
        <v>4</v>
      </c>
      <c r="J864" t="s">
        <v>11</v>
      </c>
      <c r="K864" t="s">
        <v>32</v>
      </c>
      <c r="L864">
        <v>80</v>
      </c>
      <c r="M864">
        <v>5.83</v>
      </c>
      <c r="N864">
        <v>2.73</v>
      </c>
      <c r="O864" t="s">
        <v>15</v>
      </c>
      <c r="P864">
        <v>76</v>
      </c>
      <c r="Q864">
        <v>147</v>
      </c>
      <c r="R864">
        <v>50</v>
      </c>
      <c r="S864">
        <v>35</v>
      </c>
      <c r="T864" t="s">
        <v>50</v>
      </c>
      <c r="U864">
        <f>IF(Cardiac_Table[[#This Row],[Patient Status at Discharge]]="Died", 1,0)</f>
        <v>0</v>
      </c>
      <c r="V864">
        <f>Cardiac_Table[[#This Row],[Risk of Death % (Model 1)]]/100</f>
        <v>5.8299999999999998E-2</v>
      </c>
      <c r="W864">
        <f>Cardiac_Table[[#This Row],[Risk of Death % (Model 2)]]/100</f>
        <v>2.7300000000000001E-2</v>
      </c>
      <c r="X864" s="18">
        <f>Cardiac_Table[[#This Row],[Procedure Start Date and Time]]-Cardiac_Table[[#This Row],[Hospital Admit Date ]]</f>
        <v>0.81805555555911269</v>
      </c>
    </row>
    <row r="865" spans="1:24" x14ac:dyDescent="0.35">
      <c r="A865">
        <v>875</v>
      </c>
      <c r="B865" s="9">
        <v>44088.666666666664</v>
      </c>
      <c r="C865" s="10">
        <f>INT(Cardiac_Table[[#This Row],[Hospital Admit Date ]])</f>
        <v>44088</v>
      </c>
      <c r="D865" s="11" t="str">
        <f t="shared" si="13"/>
        <v>16:00</v>
      </c>
      <c r="E865" s="9">
        <v>44089.588888888888</v>
      </c>
      <c r="F865" s="10">
        <f>INT(Cardiac_Table[[#This Row],[Procedure Start Date and Time]])</f>
        <v>44089</v>
      </c>
      <c r="G865" s="12">
        <f>MOD(Cardiac_Table[[#This Row],[Procedure Start Date and Time]],1)</f>
        <v>0.58888888888759539</v>
      </c>
      <c r="H865">
        <v>6</v>
      </c>
      <c r="I865" t="s">
        <v>4</v>
      </c>
      <c r="J865" t="s">
        <v>3</v>
      </c>
      <c r="K865" t="s">
        <v>24</v>
      </c>
      <c r="L865">
        <v>79</v>
      </c>
      <c r="M865">
        <v>8.1</v>
      </c>
      <c r="N865">
        <v>2.12</v>
      </c>
      <c r="O865" t="s">
        <v>15</v>
      </c>
      <c r="P865">
        <v>104</v>
      </c>
      <c r="Q865">
        <v>174</v>
      </c>
      <c r="R865">
        <v>95</v>
      </c>
      <c r="S865">
        <v>65</v>
      </c>
      <c r="T865" t="s">
        <v>48</v>
      </c>
      <c r="U865">
        <f>IF(Cardiac_Table[[#This Row],[Patient Status at Discharge]]="Died", 1,0)</f>
        <v>0</v>
      </c>
      <c r="V865">
        <f>Cardiac_Table[[#This Row],[Risk of Death % (Model 1)]]/100</f>
        <v>8.1000000000000003E-2</v>
      </c>
      <c r="W865">
        <f>Cardiac_Table[[#This Row],[Risk of Death % (Model 2)]]/100</f>
        <v>2.12E-2</v>
      </c>
      <c r="X865" s="18">
        <f>Cardiac_Table[[#This Row],[Procedure Start Date and Time]]-Cardiac_Table[[#This Row],[Hospital Admit Date ]]</f>
        <v>0.92222222222335404</v>
      </c>
    </row>
    <row r="866" spans="1:24" x14ac:dyDescent="0.35">
      <c r="A866">
        <v>876</v>
      </c>
      <c r="B866" s="9">
        <v>44088.580555555556</v>
      </c>
      <c r="C866" s="10">
        <f>INT(Cardiac_Table[[#This Row],[Hospital Admit Date ]])</f>
        <v>44088</v>
      </c>
      <c r="D866" s="11" t="str">
        <f t="shared" si="13"/>
        <v>13:56</v>
      </c>
      <c r="E866" s="9">
        <v>44089.602083333331</v>
      </c>
      <c r="F866" s="10">
        <f>INT(Cardiac_Table[[#This Row],[Procedure Start Date and Time]])</f>
        <v>44089</v>
      </c>
      <c r="G866" s="12">
        <f>MOD(Cardiac_Table[[#This Row],[Procedure Start Date and Time]],1)</f>
        <v>0.60208333333139308</v>
      </c>
      <c r="H866">
        <v>5</v>
      </c>
      <c r="I866" t="s">
        <v>4</v>
      </c>
      <c r="J866" t="s">
        <v>11</v>
      </c>
      <c r="K866" t="s">
        <v>26</v>
      </c>
      <c r="L866">
        <v>55</v>
      </c>
      <c r="M866">
        <v>1.51</v>
      </c>
      <c r="N866">
        <v>0.96</v>
      </c>
      <c r="O866" t="s">
        <v>15</v>
      </c>
      <c r="P866">
        <v>107</v>
      </c>
      <c r="Q866">
        <v>160</v>
      </c>
      <c r="R866">
        <v>63</v>
      </c>
      <c r="S866">
        <v>55</v>
      </c>
      <c r="T866" t="s">
        <v>48</v>
      </c>
      <c r="U866">
        <f>IF(Cardiac_Table[[#This Row],[Patient Status at Discharge]]="Died", 1,0)</f>
        <v>0</v>
      </c>
      <c r="V866">
        <f>Cardiac_Table[[#This Row],[Risk of Death % (Model 1)]]/100</f>
        <v>1.5100000000000001E-2</v>
      </c>
      <c r="W866">
        <f>Cardiac_Table[[#This Row],[Risk of Death % (Model 2)]]/100</f>
        <v>9.5999999999999992E-3</v>
      </c>
      <c r="X866" s="18">
        <f>Cardiac_Table[[#This Row],[Procedure Start Date and Time]]-Cardiac_Table[[#This Row],[Hospital Admit Date ]]</f>
        <v>1.0215277777751908</v>
      </c>
    </row>
    <row r="867" spans="1:24" x14ac:dyDescent="0.35">
      <c r="A867">
        <v>877</v>
      </c>
      <c r="B867" s="9">
        <v>44087.416666666664</v>
      </c>
      <c r="C867" s="10">
        <f>INT(Cardiac_Table[[#This Row],[Hospital Admit Date ]])</f>
        <v>44087</v>
      </c>
      <c r="D867" s="11" t="str">
        <f t="shared" si="13"/>
        <v>10:00</v>
      </c>
      <c r="E867" s="9">
        <v>44089.619444444441</v>
      </c>
      <c r="F867" s="10">
        <f>INT(Cardiac_Table[[#This Row],[Procedure Start Date and Time]])</f>
        <v>44089</v>
      </c>
      <c r="G867" s="12">
        <f>MOD(Cardiac_Table[[#This Row],[Procedure Start Date and Time]],1)</f>
        <v>0.61944444444088731</v>
      </c>
      <c r="H867">
        <v>2</v>
      </c>
      <c r="I867" t="s">
        <v>4</v>
      </c>
      <c r="J867" t="s">
        <v>3</v>
      </c>
      <c r="K867" t="s">
        <v>35</v>
      </c>
      <c r="L867">
        <v>56</v>
      </c>
      <c r="M867">
        <v>5.96</v>
      </c>
      <c r="N867">
        <v>5.22</v>
      </c>
      <c r="O867" t="s">
        <v>15</v>
      </c>
      <c r="P867">
        <v>98</v>
      </c>
      <c r="Q867">
        <v>181</v>
      </c>
      <c r="R867">
        <v>91</v>
      </c>
      <c r="S867">
        <v>55</v>
      </c>
      <c r="T867" t="s">
        <v>48</v>
      </c>
      <c r="U867">
        <f>IF(Cardiac_Table[[#This Row],[Patient Status at Discharge]]="Died", 1,0)</f>
        <v>0</v>
      </c>
      <c r="V867">
        <f>Cardiac_Table[[#This Row],[Risk of Death % (Model 1)]]/100</f>
        <v>5.96E-2</v>
      </c>
      <c r="W867">
        <f>Cardiac_Table[[#This Row],[Risk of Death % (Model 2)]]/100</f>
        <v>5.2199999999999996E-2</v>
      </c>
      <c r="X867" s="18">
        <f>Cardiac_Table[[#This Row],[Procedure Start Date and Time]]-Cardiac_Table[[#This Row],[Hospital Admit Date ]]</f>
        <v>2.202777777776646</v>
      </c>
    </row>
    <row r="868" spans="1:24" x14ac:dyDescent="0.35">
      <c r="A868">
        <v>878</v>
      </c>
      <c r="B868" s="9">
        <v>44089.294444444444</v>
      </c>
      <c r="C868" s="10">
        <f>INT(Cardiac_Table[[#This Row],[Hospital Admit Date ]])</f>
        <v>44089</v>
      </c>
      <c r="D868" s="11" t="str">
        <f t="shared" si="13"/>
        <v>07:04</v>
      </c>
      <c r="E868" s="9">
        <v>44089.650694444441</v>
      </c>
      <c r="F868" s="10">
        <f>INT(Cardiac_Table[[#This Row],[Procedure Start Date and Time]])</f>
        <v>44089</v>
      </c>
      <c r="G868" s="12">
        <f>MOD(Cardiac_Table[[#This Row],[Procedure Start Date and Time]],1)</f>
        <v>0.65069444444088731</v>
      </c>
      <c r="H868">
        <v>4</v>
      </c>
      <c r="I868" t="s">
        <v>4</v>
      </c>
      <c r="J868" t="s">
        <v>3</v>
      </c>
      <c r="K868" t="s">
        <v>25</v>
      </c>
      <c r="L868">
        <v>67</v>
      </c>
      <c r="M868">
        <v>4.09</v>
      </c>
      <c r="N868">
        <v>0.82</v>
      </c>
      <c r="O868" t="s">
        <v>15</v>
      </c>
      <c r="P868">
        <v>100</v>
      </c>
      <c r="Q868">
        <v>167</v>
      </c>
      <c r="R868">
        <v>57</v>
      </c>
      <c r="S868">
        <v>15</v>
      </c>
      <c r="T868" t="s">
        <v>51</v>
      </c>
      <c r="U868">
        <f>IF(Cardiac_Table[[#This Row],[Patient Status at Discharge]]="Died", 1,0)</f>
        <v>0</v>
      </c>
      <c r="V868">
        <f>Cardiac_Table[[#This Row],[Risk of Death % (Model 1)]]/100</f>
        <v>4.0899999999999999E-2</v>
      </c>
      <c r="W868">
        <f>Cardiac_Table[[#This Row],[Risk of Death % (Model 2)]]/100</f>
        <v>8.199999999999999E-3</v>
      </c>
      <c r="X868" s="18">
        <f>Cardiac_Table[[#This Row],[Procedure Start Date and Time]]-Cardiac_Table[[#This Row],[Hospital Admit Date ]]</f>
        <v>0.35624999999708962</v>
      </c>
    </row>
    <row r="869" spans="1:24" x14ac:dyDescent="0.35">
      <c r="A869">
        <v>879</v>
      </c>
      <c r="B869" s="9">
        <v>44089.647916666669</v>
      </c>
      <c r="C869" s="10">
        <f>INT(Cardiac_Table[[#This Row],[Hospital Admit Date ]])</f>
        <v>44089</v>
      </c>
      <c r="D869" s="11" t="str">
        <f t="shared" si="13"/>
        <v>15:33</v>
      </c>
      <c r="E869" s="9">
        <v>44090.329861111109</v>
      </c>
      <c r="F869" s="10">
        <f>INT(Cardiac_Table[[#This Row],[Procedure Start Date and Time]])</f>
        <v>44090</v>
      </c>
      <c r="G869" s="12">
        <f>MOD(Cardiac_Table[[#This Row],[Procedure Start Date and Time]],1)</f>
        <v>0.32986111110949423</v>
      </c>
      <c r="H869">
        <v>2</v>
      </c>
      <c r="I869" t="s">
        <v>4</v>
      </c>
      <c r="J869" t="s">
        <v>3</v>
      </c>
      <c r="K869" t="s">
        <v>28</v>
      </c>
      <c r="L869">
        <v>64</v>
      </c>
      <c r="M869">
        <v>6.88</v>
      </c>
      <c r="N869">
        <v>3.95</v>
      </c>
      <c r="O869" t="s">
        <v>15</v>
      </c>
      <c r="P869">
        <v>81</v>
      </c>
      <c r="Q869">
        <v>182</v>
      </c>
      <c r="R869">
        <v>113</v>
      </c>
      <c r="S869">
        <v>51</v>
      </c>
      <c r="T869" t="s">
        <v>48</v>
      </c>
      <c r="U869">
        <f>IF(Cardiac_Table[[#This Row],[Patient Status at Discharge]]="Died", 1,0)</f>
        <v>0</v>
      </c>
      <c r="V869">
        <f>Cardiac_Table[[#This Row],[Risk of Death % (Model 1)]]/100</f>
        <v>6.88E-2</v>
      </c>
      <c r="W869">
        <f>Cardiac_Table[[#This Row],[Risk of Death % (Model 2)]]/100</f>
        <v>3.95E-2</v>
      </c>
      <c r="X869" s="18">
        <f>Cardiac_Table[[#This Row],[Procedure Start Date and Time]]-Cardiac_Table[[#This Row],[Hospital Admit Date ]]</f>
        <v>0.68194444444088731</v>
      </c>
    </row>
    <row r="870" spans="1:24" x14ac:dyDescent="0.35">
      <c r="A870">
        <v>880</v>
      </c>
      <c r="B870" s="9">
        <v>44089.665972222225</v>
      </c>
      <c r="C870" s="10">
        <f>INT(Cardiac_Table[[#This Row],[Hospital Admit Date ]])</f>
        <v>44089</v>
      </c>
      <c r="D870" s="11" t="str">
        <f t="shared" si="13"/>
        <v>15:59</v>
      </c>
      <c r="E870" s="9">
        <v>44090.336111111108</v>
      </c>
      <c r="F870" s="10">
        <f>INT(Cardiac_Table[[#This Row],[Procedure Start Date and Time]])</f>
        <v>44090</v>
      </c>
      <c r="G870" s="12">
        <f>MOD(Cardiac_Table[[#This Row],[Procedure Start Date and Time]],1)</f>
        <v>0.33611111110803904</v>
      </c>
      <c r="H870">
        <v>4</v>
      </c>
      <c r="I870" t="s">
        <v>4</v>
      </c>
      <c r="J870" t="s">
        <v>11</v>
      </c>
      <c r="K870" t="s">
        <v>24</v>
      </c>
      <c r="L870">
        <v>69</v>
      </c>
      <c r="M870">
        <v>5.42</v>
      </c>
      <c r="N870">
        <v>1.89</v>
      </c>
      <c r="O870" t="s">
        <v>15</v>
      </c>
      <c r="P870">
        <v>62</v>
      </c>
      <c r="Q870">
        <v>176</v>
      </c>
      <c r="R870">
        <v>89</v>
      </c>
      <c r="S870">
        <v>62</v>
      </c>
      <c r="T870" t="s">
        <v>48</v>
      </c>
      <c r="U870">
        <f>IF(Cardiac_Table[[#This Row],[Patient Status at Discharge]]="Died", 1,0)</f>
        <v>0</v>
      </c>
      <c r="V870">
        <f>Cardiac_Table[[#This Row],[Risk of Death % (Model 1)]]/100</f>
        <v>5.4199999999999998E-2</v>
      </c>
      <c r="W870">
        <f>Cardiac_Table[[#This Row],[Risk of Death % (Model 2)]]/100</f>
        <v>1.89E-2</v>
      </c>
      <c r="X870" s="18">
        <f>Cardiac_Table[[#This Row],[Procedure Start Date and Time]]-Cardiac_Table[[#This Row],[Hospital Admit Date ]]</f>
        <v>0.67013888888322981</v>
      </c>
    </row>
    <row r="871" spans="1:24" x14ac:dyDescent="0.35">
      <c r="A871">
        <v>881</v>
      </c>
      <c r="B871" s="9">
        <v>44086.431250000001</v>
      </c>
      <c r="C871" s="10">
        <f>INT(Cardiac_Table[[#This Row],[Hospital Admit Date ]])</f>
        <v>44086</v>
      </c>
      <c r="D871" s="11" t="str">
        <f t="shared" si="13"/>
        <v>10:21</v>
      </c>
      <c r="E871" s="9">
        <v>44090.338888888888</v>
      </c>
      <c r="F871" s="10">
        <f>INT(Cardiac_Table[[#This Row],[Procedure Start Date and Time]])</f>
        <v>44090</v>
      </c>
      <c r="G871" s="12">
        <f>MOD(Cardiac_Table[[#This Row],[Procedure Start Date and Time]],1)</f>
        <v>0.33888888888759539</v>
      </c>
      <c r="H871">
        <v>5</v>
      </c>
      <c r="I871" t="s">
        <v>6</v>
      </c>
      <c r="J871" t="s">
        <v>10</v>
      </c>
      <c r="K871" t="s">
        <v>31</v>
      </c>
      <c r="L871">
        <v>52</v>
      </c>
      <c r="M871">
        <v>1.51</v>
      </c>
      <c r="N871">
        <v>1.34</v>
      </c>
      <c r="O871" t="s">
        <v>15</v>
      </c>
      <c r="P871">
        <v>89</v>
      </c>
      <c r="Q871">
        <v>159</v>
      </c>
      <c r="R871">
        <v>68</v>
      </c>
      <c r="S871">
        <v>55</v>
      </c>
      <c r="T871" t="s">
        <v>48</v>
      </c>
      <c r="U871">
        <f>IF(Cardiac_Table[[#This Row],[Patient Status at Discharge]]="Died", 1,0)</f>
        <v>0</v>
      </c>
      <c r="V871">
        <f>Cardiac_Table[[#This Row],[Risk of Death % (Model 1)]]/100</f>
        <v>1.5100000000000001E-2</v>
      </c>
      <c r="W871">
        <f>Cardiac_Table[[#This Row],[Risk of Death % (Model 2)]]/100</f>
        <v>1.34E-2</v>
      </c>
      <c r="X871" s="18">
        <f>Cardiac_Table[[#This Row],[Procedure Start Date and Time]]-Cardiac_Table[[#This Row],[Hospital Admit Date ]]</f>
        <v>3.9076388888861402</v>
      </c>
    </row>
    <row r="872" spans="1:24" x14ac:dyDescent="0.35">
      <c r="A872">
        <v>882</v>
      </c>
      <c r="B872" s="9">
        <v>44075.654166666667</v>
      </c>
      <c r="C872" s="10">
        <f>INT(Cardiac_Table[[#This Row],[Hospital Admit Date ]])</f>
        <v>44075</v>
      </c>
      <c r="D872" s="11" t="str">
        <f t="shared" si="13"/>
        <v>15:42</v>
      </c>
      <c r="E872" s="9">
        <v>44090.347222222219</v>
      </c>
      <c r="F872" s="10">
        <f>INT(Cardiac_Table[[#This Row],[Procedure Start Date and Time]])</f>
        <v>44090</v>
      </c>
      <c r="G872" s="12">
        <f>MOD(Cardiac_Table[[#This Row],[Procedure Start Date and Time]],1)</f>
        <v>0.34722222221898846</v>
      </c>
      <c r="H872">
        <v>6</v>
      </c>
      <c r="I872" t="s">
        <v>6</v>
      </c>
      <c r="J872" t="s">
        <v>10</v>
      </c>
      <c r="K872" t="s">
        <v>30</v>
      </c>
      <c r="L872">
        <v>82</v>
      </c>
      <c r="M872">
        <v>6.63</v>
      </c>
      <c r="N872">
        <v>1.49</v>
      </c>
      <c r="O872" t="s">
        <v>15</v>
      </c>
      <c r="P872">
        <v>99</v>
      </c>
      <c r="Q872">
        <v>166</v>
      </c>
      <c r="R872">
        <v>91</v>
      </c>
      <c r="S872">
        <v>52</v>
      </c>
      <c r="T872" t="s">
        <v>48</v>
      </c>
      <c r="U872">
        <f>IF(Cardiac_Table[[#This Row],[Patient Status at Discharge]]="Died", 1,0)</f>
        <v>0</v>
      </c>
      <c r="V872">
        <f>Cardiac_Table[[#This Row],[Risk of Death % (Model 1)]]/100</f>
        <v>6.6299999999999998E-2</v>
      </c>
      <c r="W872">
        <f>Cardiac_Table[[#This Row],[Risk of Death % (Model 2)]]/100</f>
        <v>1.49E-2</v>
      </c>
      <c r="X872" s="18">
        <f>Cardiac_Table[[#This Row],[Procedure Start Date and Time]]-Cardiac_Table[[#This Row],[Hospital Admit Date ]]</f>
        <v>14.693055555551837</v>
      </c>
    </row>
    <row r="873" spans="1:24" x14ac:dyDescent="0.35">
      <c r="A873">
        <v>883</v>
      </c>
      <c r="B873" s="9">
        <v>44090.304166666669</v>
      </c>
      <c r="C873" s="10">
        <f>INT(Cardiac_Table[[#This Row],[Hospital Admit Date ]])</f>
        <v>44090</v>
      </c>
      <c r="D873" s="11" t="str">
        <f t="shared" si="13"/>
        <v>07:18</v>
      </c>
      <c r="E873" s="9">
        <v>44090.533333333333</v>
      </c>
      <c r="F873" s="10">
        <f>INT(Cardiac_Table[[#This Row],[Procedure Start Date and Time]])</f>
        <v>44090</v>
      </c>
      <c r="G873" s="12">
        <f>MOD(Cardiac_Table[[#This Row],[Procedure Start Date and Time]],1)</f>
        <v>0.53333333333284827</v>
      </c>
      <c r="H873">
        <v>6</v>
      </c>
      <c r="I873" t="s">
        <v>4</v>
      </c>
      <c r="J873" t="s">
        <v>10</v>
      </c>
      <c r="K873" t="s">
        <v>30</v>
      </c>
      <c r="L873">
        <v>63</v>
      </c>
      <c r="M873">
        <v>1.59</v>
      </c>
      <c r="N873">
        <v>1.07</v>
      </c>
      <c r="O873" t="s">
        <v>15</v>
      </c>
      <c r="P873">
        <v>79</v>
      </c>
      <c r="Q873">
        <v>183</v>
      </c>
      <c r="R873">
        <v>73</v>
      </c>
      <c r="S873">
        <v>50</v>
      </c>
      <c r="T873" t="s">
        <v>50</v>
      </c>
      <c r="U873">
        <f>IF(Cardiac_Table[[#This Row],[Patient Status at Discharge]]="Died", 1,0)</f>
        <v>0</v>
      </c>
      <c r="V873">
        <f>Cardiac_Table[[#This Row],[Risk of Death % (Model 1)]]/100</f>
        <v>1.5900000000000001E-2</v>
      </c>
      <c r="W873">
        <f>Cardiac_Table[[#This Row],[Risk of Death % (Model 2)]]/100</f>
        <v>1.0700000000000001E-2</v>
      </c>
      <c r="X873" s="18">
        <f>Cardiac_Table[[#This Row],[Procedure Start Date and Time]]-Cardiac_Table[[#This Row],[Hospital Admit Date ]]</f>
        <v>0.22916666666424135</v>
      </c>
    </row>
    <row r="874" spans="1:24" x14ac:dyDescent="0.35">
      <c r="A874">
        <v>884</v>
      </c>
      <c r="B874" s="9">
        <v>44089.667361111111</v>
      </c>
      <c r="C874" s="10">
        <f>INT(Cardiac_Table[[#This Row],[Hospital Admit Date ]])</f>
        <v>44089</v>
      </c>
      <c r="D874" s="11" t="str">
        <f t="shared" si="13"/>
        <v>16:01</v>
      </c>
      <c r="E874" s="9">
        <v>44090.576388888891</v>
      </c>
      <c r="F874" s="10">
        <f>INT(Cardiac_Table[[#This Row],[Procedure Start Date and Time]])</f>
        <v>44090</v>
      </c>
      <c r="G874" s="12">
        <f>MOD(Cardiac_Table[[#This Row],[Procedure Start Date and Time]],1)</f>
        <v>0.57638888889050577</v>
      </c>
      <c r="H874">
        <v>5</v>
      </c>
      <c r="I874" t="s">
        <v>4</v>
      </c>
      <c r="J874" t="s">
        <v>10</v>
      </c>
      <c r="K874" t="s">
        <v>31</v>
      </c>
      <c r="L874">
        <v>66</v>
      </c>
      <c r="M874">
        <v>7.54</v>
      </c>
      <c r="N874">
        <v>12.87</v>
      </c>
      <c r="O874" t="s">
        <v>15</v>
      </c>
      <c r="P874">
        <v>75</v>
      </c>
      <c r="Q874">
        <v>173</v>
      </c>
      <c r="R874">
        <v>100</v>
      </c>
      <c r="S874">
        <v>51</v>
      </c>
      <c r="T874" t="s">
        <v>48</v>
      </c>
      <c r="U874">
        <f>IF(Cardiac_Table[[#This Row],[Patient Status at Discharge]]="Died", 1,0)</f>
        <v>0</v>
      </c>
      <c r="V874">
        <f>Cardiac_Table[[#This Row],[Risk of Death % (Model 1)]]/100</f>
        <v>7.5399999999999995E-2</v>
      </c>
      <c r="W874">
        <f>Cardiac_Table[[#This Row],[Risk of Death % (Model 2)]]/100</f>
        <v>0.12869999999999998</v>
      </c>
      <c r="X874" s="18">
        <f>Cardiac_Table[[#This Row],[Procedure Start Date and Time]]-Cardiac_Table[[#This Row],[Hospital Admit Date ]]</f>
        <v>0.90902777777955635</v>
      </c>
    </row>
    <row r="875" spans="1:24" x14ac:dyDescent="0.35">
      <c r="A875">
        <v>885</v>
      </c>
      <c r="B875" s="9">
        <v>44084.503472222219</v>
      </c>
      <c r="C875" s="10">
        <f>INT(Cardiac_Table[[#This Row],[Hospital Admit Date ]])</f>
        <v>44084</v>
      </c>
      <c r="D875" s="11" t="str">
        <f t="shared" si="13"/>
        <v>12:05</v>
      </c>
      <c r="E875" s="9">
        <v>44090.607638888891</v>
      </c>
      <c r="F875" s="10">
        <f>INT(Cardiac_Table[[#This Row],[Procedure Start Date and Time]])</f>
        <v>44090</v>
      </c>
      <c r="G875" s="12">
        <f>MOD(Cardiac_Table[[#This Row],[Procedure Start Date and Time]],1)</f>
        <v>0.60763888889050577</v>
      </c>
      <c r="H875">
        <v>4</v>
      </c>
      <c r="I875" t="s">
        <v>6</v>
      </c>
      <c r="J875" t="s">
        <v>10</v>
      </c>
      <c r="K875" t="s">
        <v>24</v>
      </c>
      <c r="L875">
        <v>78</v>
      </c>
      <c r="M875">
        <v>8.18</v>
      </c>
      <c r="N875">
        <v>1.78</v>
      </c>
      <c r="O875" t="s">
        <v>15</v>
      </c>
      <c r="P875">
        <v>87</v>
      </c>
      <c r="Q875">
        <v>170</v>
      </c>
      <c r="R875">
        <v>70</v>
      </c>
      <c r="S875">
        <v>54</v>
      </c>
      <c r="T875" t="s">
        <v>48</v>
      </c>
      <c r="U875">
        <f>IF(Cardiac_Table[[#This Row],[Patient Status at Discharge]]="Died", 1,0)</f>
        <v>0</v>
      </c>
      <c r="V875">
        <f>Cardiac_Table[[#This Row],[Risk of Death % (Model 1)]]/100</f>
        <v>8.1799999999999998E-2</v>
      </c>
      <c r="W875">
        <f>Cardiac_Table[[#This Row],[Risk of Death % (Model 2)]]/100</f>
        <v>1.78E-2</v>
      </c>
      <c r="X875" s="18">
        <f>Cardiac_Table[[#This Row],[Procedure Start Date and Time]]-Cardiac_Table[[#This Row],[Hospital Admit Date ]]</f>
        <v>6.1041666666715173</v>
      </c>
    </row>
    <row r="876" spans="1:24" x14ac:dyDescent="0.35">
      <c r="A876">
        <v>886</v>
      </c>
      <c r="B876" s="9">
        <v>44090.293055555558</v>
      </c>
      <c r="C876" s="10">
        <f>INT(Cardiac_Table[[#This Row],[Hospital Admit Date ]])</f>
        <v>44090</v>
      </c>
      <c r="D876" s="11" t="str">
        <f t="shared" si="13"/>
        <v>07:02</v>
      </c>
      <c r="E876" s="9">
        <v>44090.616666666669</v>
      </c>
      <c r="F876" s="10">
        <f>INT(Cardiac_Table[[#This Row],[Procedure Start Date and Time]])</f>
        <v>44090</v>
      </c>
      <c r="G876" s="12">
        <f>MOD(Cardiac_Table[[#This Row],[Procedure Start Date and Time]],1)</f>
        <v>0.61666666666860692</v>
      </c>
      <c r="H876">
        <v>2</v>
      </c>
      <c r="I876" t="s">
        <v>4</v>
      </c>
      <c r="J876" t="s">
        <v>3</v>
      </c>
      <c r="K876" t="s">
        <v>28</v>
      </c>
      <c r="L876">
        <v>72</v>
      </c>
      <c r="M876">
        <v>4.8099999999999996</v>
      </c>
      <c r="N876">
        <v>2.27</v>
      </c>
      <c r="O876" t="s">
        <v>15</v>
      </c>
      <c r="P876">
        <v>120</v>
      </c>
      <c r="Q876">
        <v>179</v>
      </c>
      <c r="R876">
        <v>100</v>
      </c>
      <c r="S876">
        <v>53</v>
      </c>
      <c r="T876" t="s">
        <v>48</v>
      </c>
      <c r="U876">
        <f>IF(Cardiac_Table[[#This Row],[Patient Status at Discharge]]="Died", 1,0)</f>
        <v>0</v>
      </c>
      <c r="V876">
        <f>Cardiac_Table[[#This Row],[Risk of Death % (Model 1)]]/100</f>
        <v>4.8099999999999997E-2</v>
      </c>
      <c r="W876">
        <f>Cardiac_Table[[#This Row],[Risk of Death % (Model 2)]]/100</f>
        <v>2.2700000000000001E-2</v>
      </c>
      <c r="X876" s="18">
        <f>Cardiac_Table[[#This Row],[Procedure Start Date and Time]]-Cardiac_Table[[#This Row],[Hospital Admit Date ]]</f>
        <v>0.32361111111094942</v>
      </c>
    </row>
    <row r="877" spans="1:24" x14ac:dyDescent="0.35">
      <c r="A877">
        <v>887</v>
      </c>
      <c r="B877" s="9">
        <v>44090.666666666664</v>
      </c>
      <c r="C877" s="10">
        <f>INT(Cardiac_Table[[#This Row],[Hospital Admit Date ]])</f>
        <v>44090</v>
      </c>
      <c r="D877" s="11" t="str">
        <f t="shared" si="13"/>
        <v>16:00</v>
      </c>
      <c r="E877" s="9">
        <v>44091.333333333336</v>
      </c>
      <c r="F877" s="10">
        <f>INT(Cardiac_Table[[#This Row],[Procedure Start Date and Time]])</f>
        <v>44091</v>
      </c>
      <c r="G877" s="12">
        <f>MOD(Cardiac_Table[[#This Row],[Procedure Start Date and Time]],1)</f>
        <v>0.33333333333575865</v>
      </c>
      <c r="H877">
        <v>2</v>
      </c>
      <c r="I877" t="s">
        <v>4</v>
      </c>
      <c r="J877" t="s">
        <v>1</v>
      </c>
      <c r="K877" t="s">
        <v>32</v>
      </c>
      <c r="L877">
        <v>69</v>
      </c>
      <c r="M877">
        <v>37.47</v>
      </c>
      <c r="N877">
        <v>12.1</v>
      </c>
      <c r="O877" t="s">
        <v>15</v>
      </c>
      <c r="P877">
        <v>144</v>
      </c>
      <c r="Q877">
        <v>162</v>
      </c>
      <c r="R877">
        <v>65</v>
      </c>
      <c r="S877">
        <v>55</v>
      </c>
      <c r="T877" t="s">
        <v>48</v>
      </c>
      <c r="U877">
        <f>IF(Cardiac_Table[[#This Row],[Patient Status at Discharge]]="Died", 1,0)</f>
        <v>0</v>
      </c>
      <c r="V877">
        <f>Cardiac_Table[[#This Row],[Risk of Death % (Model 1)]]/100</f>
        <v>0.37469999999999998</v>
      </c>
      <c r="W877">
        <f>Cardiac_Table[[#This Row],[Risk of Death % (Model 2)]]/100</f>
        <v>0.121</v>
      </c>
      <c r="X877" s="18">
        <f>Cardiac_Table[[#This Row],[Procedure Start Date and Time]]-Cardiac_Table[[#This Row],[Hospital Admit Date ]]</f>
        <v>0.66666666667151731</v>
      </c>
    </row>
    <row r="878" spans="1:24" x14ac:dyDescent="0.35">
      <c r="A878">
        <v>888</v>
      </c>
      <c r="B878" s="9">
        <v>44090.65347222222</v>
      </c>
      <c r="C878" s="10">
        <f>INT(Cardiac_Table[[#This Row],[Hospital Admit Date ]])</f>
        <v>44090</v>
      </c>
      <c r="D878" s="11" t="str">
        <f t="shared" si="13"/>
        <v>15:41</v>
      </c>
      <c r="E878" s="9">
        <v>44091.340277777781</v>
      </c>
      <c r="F878" s="10">
        <f>INT(Cardiac_Table[[#This Row],[Procedure Start Date and Time]])</f>
        <v>44091</v>
      </c>
      <c r="G878" s="12">
        <f>MOD(Cardiac_Table[[#This Row],[Procedure Start Date and Time]],1)</f>
        <v>0.34027777778101154</v>
      </c>
      <c r="H878">
        <v>4</v>
      </c>
      <c r="I878" t="s">
        <v>4</v>
      </c>
      <c r="J878" t="s">
        <v>3</v>
      </c>
      <c r="K878" t="s">
        <v>31</v>
      </c>
      <c r="L878">
        <v>85</v>
      </c>
      <c r="M878">
        <v>7.96</v>
      </c>
      <c r="N878">
        <v>1.36</v>
      </c>
      <c r="O878" t="s">
        <v>15</v>
      </c>
      <c r="P878">
        <v>107</v>
      </c>
      <c r="Q878">
        <v>160</v>
      </c>
      <c r="R878">
        <v>71</v>
      </c>
      <c r="S878">
        <v>55</v>
      </c>
      <c r="T878" t="s">
        <v>48</v>
      </c>
      <c r="U878">
        <f>IF(Cardiac_Table[[#This Row],[Patient Status at Discharge]]="Died", 1,0)</f>
        <v>0</v>
      </c>
      <c r="V878">
        <f>Cardiac_Table[[#This Row],[Risk of Death % (Model 1)]]/100</f>
        <v>7.9600000000000004E-2</v>
      </c>
      <c r="W878">
        <f>Cardiac_Table[[#This Row],[Risk of Death % (Model 2)]]/100</f>
        <v>1.3600000000000001E-2</v>
      </c>
      <c r="X878" s="18">
        <f>Cardiac_Table[[#This Row],[Procedure Start Date and Time]]-Cardiac_Table[[#This Row],[Hospital Admit Date ]]</f>
        <v>0.68680555556056788</v>
      </c>
    </row>
    <row r="879" spans="1:24" x14ac:dyDescent="0.35">
      <c r="A879">
        <v>889</v>
      </c>
      <c r="B879" s="9">
        <v>44090.67083333333</v>
      </c>
      <c r="C879" s="10">
        <f>INT(Cardiac_Table[[#This Row],[Hospital Admit Date ]])</f>
        <v>44090</v>
      </c>
      <c r="D879" s="11" t="str">
        <f t="shared" si="13"/>
        <v>16:06</v>
      </c>
      <c r="E879" s="9">
        <v>44091.359027777777</v>
      </c>
      <c r="F879" s="10">
        <f>INT(Cardiac_Table[[#This Row],[Procedure Start Date and Time]])</f>
        <v>44091</v>
      </c>
      <c r="G879" s="12">
        <f>MOD(Cardiac_Table[[#This Row],[Procedure Start Date and Time]],1)</f>
        <v>0.35902777777664596</v>
      </c>
      <c r="H879">
        <v>5</v>
      </c>
      <c r="I879" t="s">
        <v>4</v>
      </c>
      <c r="J879" t="s">
        <v>10</v>
      </c>
      <c r="K879" t="s">
        <v>27</v>
      </c>
      <c r="L879">
        <v>67</v>
      </c>
      <c r="M879">
        <v>1.49</v>
      </c>
      <c r="N879">
        <v>0.68</v>
      </c>
      <c r="O879" t="s">
        <v>15</v>
      </c>
      <c r="P879">
        <v>80</v>
      </c>
      <c r="Q879">
        <v>170</v>
      </c>
      <c r="R879">
        <v>80</v>
      </c>
      <c r="S879">
        <v>40</v>
      </c>
      <c r="T879" t="s">
        <v>50</v>
      </c>
      <c r="U879">
        <f>IF(Cardiac_Table[[#This Row],[Patient Status at Discharge]]="Died", 1,0)</f>
        <v>0</v>
      </c>
      <c r="V879">
        <f>Cardiac_Table[[#This Row],[Risk of Death % (Model 1)]]/100</f>
        <v>1.49E-2</v>
      </c>
      <c r="W879">
        <f>Cardiac_Table[[#This Row],[Risk of Death % (Model 2)]]/100</f>
        <v>6.8000000000000005E-3</v>
      </c>
      <c r="X879" s="18">
        <f>Cardiac_Table[[#This Row],[Procedure Start Date and Time]]-Cardiac_Table[[#This Row],[Hospital Admit Date ]]</f>
        <v>0.68819444444670808</v>
      </c>
    </row>
    <row r="880" spans="1:24" x14ac:dyDescent="0.35">
      <c r="A880">
        <v>890</v>
      </c>
      <c r="B880" s="9">
        <v>44091.291666666664</v>
      </c>
      <c r="C880" s="10">
        <f>INT(Cardiac_Table[[#This Row],[Hospital Admit Date ]])</f>
        <v>44091</v>
      </c>
      <c r="D880" s="11" t="str">
        <f t="shared" si="13"/>
        <v>07:00</v>
      </c>
      <c r="E880" s="9">
        <v>44091.520833333336</v>
      </c>
      <c r="F880" s="10">
        <f>INT(Cardiac_Table[[#This Row],[Procedure Start Date and Time]])</f>
        <v>44091</v>
      </c>
      <c r="G880" s="12">
        <f>MOD(Cardiac_Table[[#This Row],[Procedure Start Date and Time]],1)</f>
        <v>0.52083333333575865</v>
      </c>
      <c r="H880">
        <v>4</v>
      </c>
      <c r="I880" t="s">
        <v>4</v>
      </c>
      <c r="J880" t="s">
        <v>10</v>
      </c>
      <c r="K880" t="s">
        <v>31</v>
      </c>
      <c r="L880">
        <v>74</v>
      </c>
      <c r="M880">
        <v>4.45</v>
      </c>
      <c r="N880">
        <v>1.41</v>
      </c>
      <c r="O880" t="s">
        <v>15</v>
      </c>
      <c r="P880">
        <v>63</v>
      </c>
      <c r="Q880">
        <v>173</v>
      </c>
      <c r="R880">
        <v>83</v>
      </c>
      <c r="S880">
        <v>46</v>
      </c>
      <c r="T880" t="s">
        <v>50</v>
      </c>
      <c r="U880">
        <f>IF(Cardiac_Table[[#This Row],[Patient Status at Discharge]]="Died", 1,0)</f>
        <v>0</v>
      </c>
      <c r="V880">
        <f>Cardiac_Table[[#This Row],[Risk of Death % (Model 1)]]/100</f>
        <v>4.4500000000000005E-2</v>
      </c>
      <c r="W880">
        <f>Cardiac_Table[[#This Row],[Risk of Death % (Model 2)]]/100</f>
        <v>1.41E-2</v>
      </c>
      <c r="X880" s="18">
        <f>Cardiac_Table[[#This Row],[Procedure Start Date and Time]]-Cardiac_Table[[#This Row],[Hospital Admit Date ]]</f>
        <v>0.22916666667151731</v>
      </c>
    </row>
    <row r="881" spans="1:24" x14ac:dyDescent="0.35">
      <c r="A881">
        <v>891</v>
      </c>
      <c r="B881" s="9">
        <v>44089.688888888886</v>
      </c>
      <c r="C881" s="10">
        <f>INT(Cardiac_Table[[#This Row],[Hospital Admit Date ]])</f>
        <v>44089</v>
      </c>
      <c r="D881" s="11" t="str">
        <f t="shared" si="13"/>
        <v>16:32</v>
      </c>
      <c r="E881" s="9">
        <v>44091.524305555555</v>
      </c>
      <c r="F881" s="10">
        <f>INT(Cardiac_Table[[#This Row],[Procedure Start Date and Time]])</f>
        <v>44091</v>
      </c>
      <c r="G881" s="12">
        <f>MOD(Cardiac_Table[[#This Row],[Procedure Start Date and Time]],1)</f>
        <v>0.52430555555474712</v>
      </c>
      <c r="H881">
        <v>2</v>
      </c>
      <c r="I881" t="s">
        <v>4</v>
      </c>
      <c r="J881" t="s">
        <v>3</v>
      </c>
      <c r="K881" t="s">
        <v>32</v>
      </c>
      <c r="L881">
        <v>67</v>
      </c>
      <c r="M881">
        <v>7.07</v>
      </c>
      <c r="N881">
        <v>2.11</v>
      </c>
      <c r="O881" t="s">
        <v>15</v>
      </c>
      <c r="P881">
        <v>72</v>
      </c>
      <c r="Q881">
        <v>165</v>
      </c>
      <c r="R881">
        <v>92</v>
      </c>
      <c r="S881">
        <v>65</v>
      </c>
      <c r="T881" t="s">
        <v>48</v>
      </c>
      <c r="U881">
        <f>IF(Cardiac_Table[[#This Row],[Patient Status at Discharge]]="Died", 1,0)</f>
        <v>0</v>
      </c>
      <c r="V881">
        <f>Cardiac_Table[[#This Row],[Risk of Death % (Model 1)]]/100</f>
        <v>7.0699999999999999E-2</v>
      </c>
      <c r="W881">
        <f>Cardiac_Table[[#This Row],[Risk of Death % (Model 2)]]/100</f>
        <v>2.1099999999999997E-2</v>
      </c>
      <c r="X881" s="18">
        <f>Cardiac_Table[[#This Row],[Procedure Start Date and Time]]-Cardiac_Table[[#This Row],[Hospital Admit Date ]]</f>
        <v>1.8354166666686069</v>
      </c>
    </row>
    <row r="882" spans="1:24" x14ac:dyDescent="0.35">
      <c r="A882">
        <v>892</v>
      </c>
      <c r="B882" s="9">
        <v>44089.583333333336</v>
      </c>
      <c r="C882" s="10">
        <f>INT(Cardiac_Table[[#This Row],[Hospital Admit Date ]])</f>
        <v>44089</v>
      </c>
      <c r="D882" s="11" t="str">
        <f t="shared" si="13"/>
        <v>14:00</v>
      </c>
      <c r="E882" s="9">
        <v>44091.583333333336</v>
      </c>
      <c r="F882" s="10">
        <f>INT(Cardiac_Table[[#This Row],[Procedure Start Date and Time]])</f>
        <v>44091</v>
      </c>
      <c r="G882" s="12">
        <f>MOD(Cardiac_Table[[#This Row],[Procedure Start Date and Time]],1)</f>
        <v>0.58333333333575865</v>
      </c>
      <c r="H882">
        <v>5</v>
      </c>
      <c r="I882" t="s">
        <v>6</v>
      </c>
      <c r="J882" t="s">
        <v>3</v>
      </c>
      <c r="K882" t="s">
        <v>27</v>
      </c>
      <c r="L882">
        <v>60</v>
      </c>
      <c r="M882">
        <v>1.61</v>
      </c>
      <c r="N882">
        <v>0.77</v>
      </c>
      <c r="O882" t="s">
        <v>15</v>
      </c>
      <c r="P882">
        <v>103</v>
      </c>
      <c r="Q882">
        <v>170</v>
      </c>
      <c r="R882">
        <v>93</v>
      </c>
      <c r="S882">
        <v>55</v>
      </c>
      <c r="T882" t="s">
        <v>48</v>
      </c>
      <c r="U882">
        <f>IF(Cardiac_Table[[#This Row],[Patient Status at Discharge]]="Died", 1,0)</f>
        <v>0</v>
      </c>
      <c r="V882">
        <f>Cardiac_Table[[#This Row],[Risk of Death % (Model 1)]]/100</f>
        <v>1.61E-2</v>
      </c>
      <c r="W882">
        <f>Cardiac_Table[[#This Row],[Risk of Death % (Model 2)]]/100</f>
        <v>7.7000000000000002E-3</v>
      </c>
      <c r="X882" s="18">
        <f>Cardiac_Table[[#This Row],[Procedure Start Date and Time]]-Cardiac_Table[[#This Row],[Hospital Admit Date ]]</f>
        <v>2</v>
      </c>
    </row>
    <row r="883" spans="1:24" x14ac:dyDescent="0.35">
      <c r="A883">
        <v>893</v>
      </c>
      <c r="B883" s="9">
        <v>44091.665277777778</v>
      </c>
      <c r="C883" s="10">
        <f>INT(Cardiac_Table[[#This Row],[Hospital Admit Date ]])</f>
        <v>44091</v>
      </c>
      <c r="D883" s="11" t="str">
        <f t="shared" si="13"/>
        <v>15:58</v>
      </c>
      <c r="E883" s="9">
        <v>44092.32916666667</v>
      </c>
      <c r="F883" s="10">
        <f>INT(Cardiac_Table[[#This Row],[Procedure Start Date and Time]])</f>
        <v>44092</v>
      </c>
      <c r="G883" s="12">
        <f>MOD(Cardiac_Table[[#This Row],[Procedure Start Date and Time]],1)</f>
        <v>0.32916666667006211</v>
      </c>
      <c r="H883">
        <v>4</v>
      </c>
      <c r="I883" t="s">
        <v>4</v>
      </c>
      <c r="J883" t="s">
        <v>3</v>
      </c>
      <c r="K883" t="s">
        <v>24</v>
      </c>
      <c r="L883">
        <v>70</v>
      </c>
      <c r="M883">
        <v>4.95</v>
      </c>
      <c r="N883">
        <v>1.08</v>
      </c>
      <c r="O883" t="s">
        <v>15</v>
      </c>
      <c r="P883">
        <v>74</v>
      </c>
      <c r="Q883">
        <v>165</v>
      </c>
      <c r="R883">
        <v>91</v>
      </c>
      <c r="S883">
        <v>55</v>
      </c>
      <c r="T883" t="s">
        <v>48</v>
      </c>
      <c r="U883">
        <f>IF(Cardiac_Table[[#This Row],[Patient Status at Discharge]]="Died", 1,0)</f>
        <v>0</v>
      </c>
      <c r="V883">
        <f>Cardiac_Table[[#This Row],[Risk of Death % (Model 1)]]/100</f>
        <v>4.9500000000000002E-2</v>
      </c>
      <c r="W883">
        <f>Cardiac_Table[[#This Row],[Risk of Death % (Model 2)]]/100</f>
        <v>1.0800000000000001E-2</v>
      </c>
      <c r="X883" s="18">
        <f>Cardiac_Table[[#This Row],[Procedure Start Date and Time]]-Cardiac_Table[[#This Row],[Hospital Admit Date ]]</f>
        <v>0.66388888889196096</v>
      </c>
    </row>
    <row r="884" spans="1:24" x14ac:dyDescent="0.35">
      <c r="A884">
        <v>894</v>
      </c>
      <c r="B884" s="9">
        <v>44090.61041666667</v>
      </c>
      <c r="C884" s="10">
        <f>INT(Cardiac_Table[[#This Row],[Hospital Admit Date ]])</f>
        <v>44090</v>
      </c>
      <c r="D884" s="11" t="str">
        <f t="shared" si="13"/>
        <v>14:39</v>
      </c>
      <c r="E884" s="9">
        <v>44092.342361111114</v>
      </c>
      <c r="F884" s="10">
        <f>INT(Cardiac_Table[[#This Row],[Procedure Start Date and Time]])</f>
        <v>44092</v>
      </c>
      <c r="G884" s="12">
        <f>MOD(Cardiac_Table[[#This Row],[Procedure Start Date and Time]],1)</f>
        <v>0.34236111111385981</v>
      </c>
      <c r="H884">
        <v>2</v>
      </c>
      <c r="I884" t="s">
        <v>6</v>
      </c>
      <c r="J884" t="s">
        <v>10</v>
      </c>
      <c r="K884" t="s">
        <v>31</v>
      </c>
      <c r="L884">
        <v>72</v>
      </c>
      <c r="M884">
        <v>5.26</v>
      </c>
      <c r="N884">
        <v>2.0699999999999998</v>
      </c>
      <c r="O884" t="s">
        <v>15</v>
      </c>
      <c r="P884">
        <v>81</v>
      </c>
      <c r="Q884">
        <v>158</v>
      </c>
      <c r="R884">
        <v>83</v>
      </c>
      <c r="S884">
        <v>56</v>
      </c>
      <c r="T884" t="s">
        <v>48</v>
      </c>
      <c r="U884">
        <f>IF(Cardiac_Table[[#This Row],[Patient Status at Discharge]]="Died", 1,0)</f>
        <v>0</v>
      </c>
      <c r="V884">
        <f>Cardiac_Table[[#This Row],[Risk of Death % (Model 1)]]/100</f>
        <v>5.2600000000000001E-2</v>
      </c>
      <c r="W884">
        <f>Cardiac_Table[[#This Row],[Risk of Death % (Model 2)]]/100</f>
        <v>2.07E-2</v>
      </c>
      <c r="X884" s="18">
        <f>Cardiac_Table[[#This Row],[Procedure Start Date and Time]]-Cardiac_Table[[#This Row],[Hospital Admit Date ]]</f>
        <v>1.7319444444437977</v>
      </c>
    </row>
    <row r="885" spans="1:24" x14ac:dyDescent="0.35">
      <c r="A885">
        <v>895</v>
      </c>
      <c r="B885" s="9">
        <v>44091.675694444442</v>
      </c>
      <c r="C885" s="10">
        <f>INT(Cardiac_Table[[#This Row],[Hospital Admit Date ]])</f>
        <v>44091</v>
      </c>
      <c r="D885" s="11" t="str">
        <f t="shared" si="13"/>
        <v>16:13</v>
      </c>
      <c r="E885" s="9">
        <v>44092.345138888886</v>
      </c>
      <c r="F885" s="10">
        <f>INT(Cardiac_Table[[#This Row],[Procedure Start Date and Time]])</f>
        <v>44092</v>
      </c>
      <c r="G885" s="12">
        <f>MOD(Cardiac_Table[[#This Row],[Procedure Start Date and Time]],1)</f>
        <v>0.34513888888614019</v>
      </c>
      <c r="H885">
        <v>5</v>
      </c>
      <c r="I885" t="s">
        <v>4</v>
      </c>
      <c r="J885" t="s">
        <v>3</v>
      </c>
      <c r="K885" t="s">
        <v>21</v>
      </c>
      <c r="L885">
        <v>64</v>
      </c>
      <c r="M885">
        <v>2.09</v>
      </c>
      <c r="N885">
        <v>1.07</v>
      </c>
      <c r="O885" t="s">
        <v>15</v>
      </c>
      <c r="P885">
        <v>112</v>
      </c>
      <c r="Q885">
        <v>183</v>
      </c>
      <c r="R885">
        <v>77</v>
      </c>
      <c r="S885">
        <v>55</v>
      </c>
      <c r="T885" t="s">
        <v>48</v>
      </c>
      <c r="U885">
        <f>IF(Cardiac_Table[[#This Row],[Patient Status at Discharge]]="Died", 1,0)</f>
        <v>0</v>
      </c>
      <c r="V885">
        <f>Cardiac_Table[[#This Row],[Risk of Death % (Model 1)]]/100</f>
        <v>2.0899999999999998E-2</v>
      </c>
      <c r="W885">
        <f>Cardiac_Table[[#This Row],[Risk of Death % (Model 2)]]/100</f>
        <v>1.0700000000000001E-2</v>
      </c>
      <c r="X885" s="18">
        <f>Cardiac_Table[[#This Row],[Procedure Start Date and Time]]-Cardiac_Table[[#This Row],[Hospital Admit Date ]]</f>
        <v>0.66944444444379769</v>
      </c>
    </row>
    <row r="886" spans="1:24" x14ac:dyDescent="0.35">
      <c r="A886">
        <v>896</v>
      </c>
      <c r="B886" s="9">
        <v>44084.458333333336</v>
      </c>
      <c r="C886" s="10">
        <f>INT(Cardiac_Table[[#This Row],[Hospital Admit Date ]])</f>
        <v>44084</v>
      </c>
      <c r="D886" s="11" t="str">
        <f t="shared" si="13"/>
        <v>11:00</v>
      </c>
      <c r="E886" s="9">
        <v>44092.386111111111</v>
      </c>
      <c r="F886" s="10">
        <f>INT(Cardiac_Table[[#This Row],[Procedure Start Date and Time]])</f>
        <v>44092</v>
      </c>
      <c r="G886" s="12">
        <f>MOD(Cardiac_Table[[#This Row],[Procedure Start Date and Time]],1)</f>
        <v>0.38611111111094942</v>
      </c>
      <c r="H886">
        <v>6</v>
      </c>
      <c r="I886" t="s">
        <v>6</v>
      </c>
      <c r="J886" t="s">
        <v>10</v>
      </c>
      <c r="K886" t="s">
        <v>27</v>
      </c>
      <c r="L886">
        <v>45</v>
      </c>
      <c r="M886">
        <v>0.88</v>
      </c>
      <c r="N886">
        <v>0.69</v>
      </c>
      <c r="O886" t="s">
        <v>15</v>
      </c>
      <c r="P886">
        <v>78</v>
      </c>
      <c r="Q886">
        <v>176</v>
      </c>
      <c r="R886">
        <v>107</v>
      </c>
      <c r="S886">
        <v>55</v>
      </c>
      <c r="T886" t="s">
        <v>48</v>
      </c>
      <c r="U886">
        <f>IF(Cardiac_Table[[#This Row],[Patient Status at Discharge]]="Died", 1,0)</f>
        <v>0</v>
      </c>
      <c r="V886">
        <f>Cardiac_Table[[#This Row],[Risk of Death % (Model 1)]]/100</f>
        <v>8.8000000000000005E-3</v>
      </c>
      <c r="W886">
        <f>Cardiac_Table[[#This Row],[Risk of Death % (Model 2)]]/100</f>
        <v>6.8999999999999999E-3</v>
      </c>
      <c r="X886" s="18">
        <f>Cardiac_Table[[#This Row],[Procedure Start Date and Time]]-Cardiac_Table[[#This Row],[Hospital Admit Date ]]</f>
        <v>7.9277777777751908</v>
      </c>
    </row>
    <row r="887" spans="1:24" x14ac:dyDescent="0.35">
      <c r="A887">
        <v>897</v>
      </c>
      <c r="B887" s="9">
        <v>44092.291666666664</v>
      </c>
      <c r="C887" s="10">
        <f>INT(Cardiac_Table[[#This Row],[Hospital Admit Date ]])</f>
        <v>44092</v>
      </c>
      <c r="D887" s="11" t="str">
        <f t="shared" si="13"/>
        <v>07:00</v>
      </c>
      <c r="E887" s="9">
        <v>44092.552777777775</v>
      </c>
      <c r="F887" s="10">
        <f>INT(Cardiac_Table[[#This Row],[Procedure Start Date and Time]])</f>
        <v>44092</v>
      </c>
      <c r="G887" s="12">
        <f>MOD(Cardiac_Table[[#This Row],[Procedure Start Date and Time]],1)</f>
        <v>0.55277777777519077</v>
      </c>
      <c r="H887">
        <v>5</v>
      </c>
      <c r="I887" t="s">
        <v>4</v>
      </c>
      <c r="J887" t="s">
        <v>10</v>
      </c>
      <c r="K887" t="s">
        <v>21</v>
      </c>
      <c r="L887">
        <v>45</v>
      </c>
      <c r="M887">
        <v>0.88</v>
      </c>
      <c r="N887">
        <v>0.5</v>
      </c>
      <c r="O887" t="s">
        <v>15</v>
      </c>
      <c r="P887">
        <v>74</v>
      </c>
      <c r="Q887">
        <v>169</v>
      </c>
      <c r="R887">
        <v>85</v>
      </c>
      <c r="S887">
        <v>55</v>
      </c>
      <c r="T887" t="s">
        <v>48</v>
      </c>
      <c r="U887">
        <f>IF(Cardiac_Table[[#This Row],[Patient Status at Discharge]]="Died", 1,0)</f>
        <v>0</v>
      </c>
      <c r="V887">
        <f>Cardiac_Table[[#This Row],[Risk of Death % (Model 1)]]/100</f>
        <v>8.8000000000000005E-3</v>
      </c>
      <c r="W887">
        <f>Cardiac_Table[[#This Row],[Risk of Death % (Model 2)]]/100</f>
        <v>5.0000000000000001E-3</v>
      </c>
      <c r="X887" s="18">
        <f>Cardiac_Table[[#This Row],[Procedure Start Date and Time]]-Cardiac_Table[[#This Row],[Hospital Admit Date ]]</f>
        <v>0.26111111111094942</v>
      </c>
    </row>
    <row r="888" spans="1:24" x14ac:dyDescent="0.35">
      <c r="A888">
        <v>898</v>
      </c>
      <c r="B888" s="9">
        <v>44092.29791666667</v>
      </c>
      <c r="C888" s="10">
        <f>INT(Cardiac_Table[[#This Row],[Hospital Admit Date ]])</f>
        <v>44092</v>
      </c>
      <c r="D888" s="11" t="str">
        <f t="shared" si="13"/>
        <v>07:09</v>
      </c>
      <c r="E888" s="9">
        <v>44092.613194444442</v>
      </c>
      <c r="F888" s="10">
        <f>INT(Cardiac_Table[[#This Row],[Procedure Start Date and Time]])</f>
        <v>44092</v>
      </c>
      <c r="G888" s="12">
        <f>MOD(Cardiac_Table[[#This Row],[Procedure Start Date and Time]],1)</f>
        <v>0.6131944444423425</v>
      </c>
      <c r="H888">
        <v>2</v>
      </c>
      <c r="I888" t="s">
        <v>4</v>
      </c>
      <c r="J888" t="s">
        <v>10</v>
      </c>
      <c r="K888" t="s">
        <v>31</v>
      </c>
      <c r="L888">
        <v>71</v>
      </c>
      <c r="M888">
        <v>1.94</v>
      </c>
      <c r="N888">
        <v>0.76</v>
      </c>
      <c r="O888" t="s">
        <v>15</v>
      </c>
      <c r="P888">
        <v>87</v>
      </c>
      <c r="Q888">
        <v>154</v>
      </c>
      <c r="R888">
        <v>88</v>
      </c>
      <c r="S888">
        <v>65</v>
      </c>
      <c r="T888" t="s">
        <v>48</v>
      </c>
      <c r="U888">
        <f>IF(Cardiac_Table[[#This Row],[Patient Status at Discharge]]="Died", 1,0)</f>
        <v>0</v>
      </c>
      <c r="V888">
        <f>Cardiac_Table[[#This Row],[Risk of Death % (Model 1)]]/100</f>
        <v>1.9400000000000001E-2</v>
      </c>
      <c r="W888">
        <f>Cardiac_Table[[#This Row],[Risk of Death % (Model 2)]]/100</f>
        <v>7.6E-3</v>
      </c>
      <c r="X888" s="18">
        <f>Cardiac_Table[[#This Row],[Procedure Start Date and Time]]-Cardiac_Table[[#This Row],[Hospital Admit Date ]]</f>
        <v>0.31527777777228039</v>
      </c>
    </row>
    <row r="889" spans="1:24" x14ac:dyDescent="0.35">
      <c r="A889">
        <v>899</v>
      </c>
      <c r="B889" s="9">
        <v>44092.593055555553</v>
      </c>
      <c r="C889" s="10">
        <f>INT(Cardiac_Table[[#This Row],[Hospital Admit Date ]])</f>
        <v>44092</v>
      </c>
      <c r="D889" s="11" t="str">
        <f t="shared" si="13"/>
        <v>14:14</v>
      </c>
      <c r="E889" s="9">
        <v>44093.333333333336</v>
      </c>
      <c r="F889" s="10">
        <f>INT(Cardiac_Table[[#This Row],[Procedure Start Date and Time]])</f>
        <v>44093</v>
      </c>
      <c r="G889" s="12">
        <f>MOD(Cardiac_Table[[#This Row],[Procedure Start Date and Time]],1)</f>
        <v>0.33333333333575865</v>
      </c>
      <c r="H889">
        <v>4</v>
      </c>
      <c r="I889" t="s">
        <v>4</v>
      </c>
      <c r="J889" t="s">
        <v>1</v>
      </c>
      <c r="K889" t="s">
        <v>23</v>
      </c>
      <c r="L889">
        <v>46</v>
      </c>
      <c r="M889">
        <v>4.6500000000000004</v>
      </c>
      <c r="N889">
        <v>1.64</v>
      </c>
      <c r="O889" t="s">
        <v>15</v>
      </c>
      <c r="P889">
        <v>89</v>
      </c>
      <c r="Q889">
        <v>176</v>
      </c>
      <c r="R889">
        <v>104</v>
      </c>
      <c r="S889">
        <v>64</v>
      </c>
      <c r="T889" t="s">
        <v>48</v>
      </c>
      <c r="U889">
        <f>IF(Cardiac_Table[[#This Row],[Patient Status at Discharge]]="Died", 1,0)</f>
        <v>0</v>
      </c>
      <c r="V889">
        <f>Cardiac_Table[[#This Row],[Risk of Death % (Model 1)]]/100</f>
        <v>4.6500000000000007E-2</v>
      </c>
      <c r="W889">
        <f>Cardiac_Table[[#This Row],[Risk of Death % (Model 2)]]/100</f>
        <v>1.6399999999999998E-2</v>
      </c>
      <c r="X889" s="18">
        <f>Cardiac_Table[[#This Row],[Procedure Start Date and Time]]-Cardiac_Table[[#This Row],[Hospital Admit Date ]]</f>
        <v>0.74027777778246673</v>
      </c>
    </row>
    <row r="890" spans="1:24" x14ac:dyDescent="0.35">
      <c r="A890">
        <v>900</v>
      </c>
      <c r="B890" s="9">
        <v>44092.661805555559</v>
      </c>
      <c r="C890" s="10">
        <f>INT(Cardiac_Table[[#This Row],[Hospital Admit Date ]])</f>
        <v>44092</v>
      </c>
      <c r="D890" s="11" t="str">
        <f t="shared" si="13"/>
        <v>15:53</v>
      </c>
      <c r="E890" s="9">
        <v>44093.34375</v>
      </c>
      <c r="F890" s="10">
        <f>INT(Cardiac_Table[[#This Row],[Procedure Start Date and Time]])</f>
        <v>44093</v>
      </c>
      <c r="G890" s="12">
        <f>MOD(Cardiac_Table[[#This Row],[Procedure Start Date and Time]],1)</f>
        <v>0.34375</v>
      </c>
      <c r="H890">
        <v>5</v>
      </c>
      <c r="I890" t="s">
        <v>4</v>
      </c>
      <c r="J890" t="s">
        <v>11</v>
      </c>
      <c r="K890" t="s">
        <v>30</v>
      </c>
      <c r="L890">
        <v>83</v>
      </c>
      <c r="M890">
        <v>9.52</v>
      </c>
      <c r="N890">
        <v>2.73</v>
      </c>
      <c r="O890" t="s">
        <v>15</v>
      </c>
      <c r="P890">
        <v>77</v>
      </c>
      <c r="Q890">
        <v>174</v>
      </c>
      <c r="R890">
        <v>79</v>
      </c>
      <c r="S890">
        <v>53</v>
      </c>
      <c r="T890" t="s">
        <v>48</v>
      </c>
      <c r="U890">
        <f>IF(Cardiac_Table[[#This Row],[Patient Status at Discharge]]="Died", 1,0)</f>
        <v>0</v>
      </c>
      <c r="V890">
        <f>Cardiac_Table[[#This Row],[Risk of Death % (Model 1)]]/100</f>
        <v>9.5199999999999993E-2</v>
      </c>
      <c r="W890">
        <f>Cardiac_Table[[#This Row],[Risk of Death % (Model 2)]]/100</f>
        <v>2.7300000000000001E-2</v>
      </c>
      <c r="X890" s="18">
        <f>Cardiac_Table[[#This Row],[Procedure Start Date and Time]]-Cardiac_Table[[#This Row],[Hospital Admit Date ]]</f>
        <v>0.68194444444088731</v>
      </c>
    </row>
    <row r="891" spans="1:24" x14ac:dyDescent="0.35">
      <c r="A891">
        <v>901</v>
      </c>
      <c r="B891" s="9">
        <v>44092.588194444441</v>
      </c>
      <c r="C891" s="10">
        <f>INT(Cardiac_Table[[#This Row],[Hospital Admit Date ]])</f>
        <v>44092</v>
      </c>
      <c r="D891" s="11" t="str">
        <f t="shared" si="13"/>
        <v>14:07</v>
      </c>
      <c r="E891" s="9">
        <v>44093.513888888891</v>
      </c>
      <c r="F891" s="10">
        <f>INT(Cardiac_Table[[#This Row],[Procedure Start Date and Time]])</f>
        <v>44093</v>
      </c>
      <c r="G891" s="12">
        <f>MOD(Cardiac_Table[[#This Row],[Procedure Start Date and Time]],1)</f>
        <v>0.51388888889050577</v>
      </c>
      <c r="H891">
        <v>4</v>
      </c>
      <c r="I891" t="s">
        <v>4</v>
      </c>
      <c r="J891" t="s">
        <v>10</v>
      </c>
      <c r="K891" t="s">
        <v>23</v>
      </c>
      <c r="L891">
        <v>64</v>
      </c>
      <c r="M891">
        <v>1.23</v>
      </c>
      <c r="N891">
        <v>0.56000000000000005</v>
      </c>
      <c r="O891" t="s">
        <v>15</v>
      </c>
      <c r="P891">
        <v>75</v>
      </c>
      <c r="Q891">
        <v>158</v>
      </c>
      <c r="R891">
        <v>81</v>
      </c>
      <c r="S891">
        <v>70</v>
      </c>
      <c r="T891" t="s">
        <v>48</v>
      </c>
      <c r="U891">
        <f>IF(Cardiac_Table[[#This Row],[Patient Status at Discharge]]="Died", 1,0)</f>
        <v>0</v>
      </c>
      <c r="V891">
        <f>Cardiac_Table[[#This Row],[Risk of Death % (Model 1)]]/100</f>
        <v>1.23E-2</v>
      </c>
      <c r="W891">
        <f>Cardiac_Table[[#This Row],[Risk of Death % (Model 2)]]/100</f>
        <v>5.6000000000000008E-3</v>
      </c>
      <c r="X891" s="18">
        <f>Cardiac_Table[[#This Row],[Procedure Start Date and Time]]-Cardiac_Table[[#This Row],[Hospital Admit Date ]]</f>
        <v>0.92569444444961846</v>
      </c>
    </row>
    <row r="892" spans="1:24" x14ac:dyDescent="0.35">
      <c r="A892">
        <v>902</v>
      </c>
      <c r="B892" s="9">
        <v>44093.291666666664</v>
      </c>
      <c r="C892" s="10">
        <f>INT(Cardiac_Table[[#This Row],[Hospital Admit Date ]])</f>
        <v>44093</v>
      </c>
      <c r="D892" s="11" t="str">
        <f t="shared" si="13"/>
        <v>07:00</v>
      </c>
      <c r="E892" s="9">
        <v>44093.568749999999</v>
      </c>
      <c r="F892" s="10">
        <f>INT(Cardiac_Table[[#This Row],[Procedure Start Date and Time]])</f>
        <v>44093</v>
      </c>
      <c r="G892" s="12">
        <f>MOD(Cardiac_Table[[#This Row],[Procedure Start Date and Time]],1)</f>
        <v>0.56874999999854481</v>
      </c>
      <c r="H892">
        <v>5</v>
      </c>
      <c r="I892" t="s">
        <v>4</v>
      </c>
      <c r="J892" t="s">
        <v>10</v>
      </c>
      <c r="K892" t="s">
        <v>30</v>
      </c>
      <c r="L892">
        <v>70</v>
      </c>
      <c r="M892">
        <v>1.82</v>
      </c>
      <c r="N892">
        <v>0.74</v>
      </c>
      <c r="O892" t="s">
        <v>15</v>
      </c>
      <c r="P892">
        <v>80</v>
      </c>
      <c r="Q892">
        <v>155</v>
      </c>
      <c r="R892">
        <v>75</v>
      </c>
      <c r="S892">
        <v>55</v>
      </c>
      <c r="T892" t="s">
        <v>48</v>
      </c>
      <c r="U892">
        <f>IF(Cardiac_Table[[#This Row],[Patient Status at Discharge]]="Died", 1,0)</f>
        <v>0</v>
      </c>
      <c r="V892">
        <f>Cardiac_Table[[#This Row],[Risk of Death % (Model 1)]]/100</f>
        <v>1.8200000000000001E-2</v>
      </c>
      <c r="W892">
        <f>Cardiac_Table[[#This Row],[Risk of Death % (Model 2)]]/100</f>
        <v>7.4000000000000003E-3</v>
      </c>
      <c r="X892" s="18">
        <f>Cardiac_Table[[#This Row],[Procedure Start Date and Time]]-Cardiac_Table[[#This Row],[Hospital Admit Date ]]</f>
        <v>0.27708333333430346</v>
      </c>
    </row>
    <row r="893" spans="1:24" x14ac:dyDescent="0.35">
      <c r="A893">
        <v>903</v>
      </c>
      <c r="B893" s="9">
        <v>44094.652777777781</v>
      </c>
      <c r="C893" s="10">
        <f>INT(Cardiac_Table[[#This Row],[Hospital Admit Date ]])</f>
        <v>44094</v>
      </c>
      <c r="D893" s="11" t="str">
        <f t="shared" si="13"/>
        <v>15:40</v>
      </c>
      <c r="E893" s="9">
        <v>44095.348611111112</v>
      </c>
      <c r="F893" s="10">
        <f>INT(Cardiac_Table[[#This Row],[Procedure Start Date and Time]])</f>
        <v>44095</v>
      </c>
      <c r="G893" s="12">
        <f>MOD(Cardiac_Table[[#This Row],[Procedure Start Date and Time]],1)</f>
        <v>0.34861111111240461</v>
      </c>
      <c r="H893">
        <v>4</v>
      </c>
      <c r="I893" t="s">
        <v>4</v>
      </c>
      <c r="J893" t="s">
        <v>10</v>
      </c>
      <c r="K893" t="s">
        <v>33</v>
      </c>
      <c r="L893">
        <v>74</v>
      </c>
      <c r="M893">
        <v>11.1</v>
      </c>
      <c r="N893">
        <v>2.59</v>
      </c>
      <c r="O893" t="s">
        <v>15</v>
      </c>
      <c r="P893">
        <v>88</v>
      </c>
      <c r="Q893">
        <v>170</v>
      </c>
      <c r="R893">
        <v>78</v>
      </c>
      <c r="S893">
        <v>35</v>
      </c>
      <c r="T893" t="s">
        <v>50</v>
      </c>
      <c r="U893">
        <f>IF(Cardiac_Table[[#This Row],[Patient Status at Discharge]]="Died", 1,0)</f>
        <v>0</v>
      </c>
      <c r="V893">
        <f>Cardiac_Table[[#This Row],[Risk of Death % (Model 1)]]/100</f>
        <v>0.111</v>
      </c>
      <c r="W893">
        <f>Cardiac_Table[[#This Row],[Risk of Death % (Model 2)]]/100</f>
        <v>2.5899999999999999E-2</v>
      </c>
      <c r="X893" s="18">
        <f>Cardiac_Table[[#This Row],[Procedure Start Date and Time]]-Cardiac_Table[[#This Row],[Hospital Admit Date ]]</f>
        <v>0.69583333333139308</v>
      </c>
    </row>
    <row r="894" spans="1:24" x14ac:dyDescent="0.35">
      <c r="A894">
        <v>904</v>
      </c>
      <c r="B894" s="9">
        <v>44094.65625</v>
      </c>
      <c r="C894" s="10">
        <f>INT(Cardiac_Table[[#This Row],[Hospital Admit Date ]])</f>
        <v>44094</v>
      </c>
      <c r="D894" s="11" t="str">
        <f t="shared" si="13"/>
        <v>15:45</v>
      </c>
      <c r="E894" s="9">
        <v>44095.359027777777</v>
      </c>
      <c r="F894" s="10">
        <f>INT(Cardiac_Table[[#This Row],[Procedure Start Date and Time]])</f>
        <v>44095</v>
      </c>
      <c r="G894" s="12">
        <f>MOD(Cardiac_Table[[#This Row],[Procedure Start Date and Time]],1)</f>
        <v>0.35902777777664596</v>
      </c>
      <c r="H894">
        <v>6</v>
      </c>
      <c r="I894" t="s">
        <v>4</v>
      </c>
      <c r="J894" t="s">
        <v>11</v>
      </c>
      <c r="K894" t="s">
        <v>23</v>
      </c>
      <c r="L894">
        <v>66</v>
      </c>
      <c r="M894">
        <v>2.38</v>
      </c>
      <c r="N894">
        <v>1.02</v>
      </c>
      <c r="O894" t="s">
        <v>15</v>
      </c>
      <c r="P894">
        <v>127</v>
      </c>
      <c r="Q894">
        <v>150</v>
      </c>
      <c r="R894">
        <v>64</v>
      </c>
      <c r="S894">
        <v>45</v>
      </c>
      <c r="T894" t="s">
        <v>50</v>
      </c>
      <c r="U894">
        <f>IF(Cardiac_Table[[#This Row],[Patient Status at Discharge]]="Died", 1,0)</f>
        <v>0</v>
      </c>
      <c r="V894">
        <f>Cardiac_Table[[#This Row],[Risk of Death % (Model 1)]]/100</f>
        <v>2.3799999999999998E-2</v>
      </c>
      <c r="W894">
        <f>Cardiac_Table[[#This Row],[Risk of Death % (Model 2)]]/100</f>
        <v>1.0200000000000001E-2</v>
      </c>
      <c r="X894" s="18">
        <f>Cardiac_Table[[#This Row],[Procedure Start Date and Time]]-Cardiac_Table[[#This Row],[Hospital Admit Date ]]</f>
        <v>0.70277777777664596</v>
      </c>
    </row>
    <row r="895" spans="1:24" x14ac:dyDescent="0.35">
      <c r="A895">
        <v>905</v>
      </c>
      <c r="B895" s="9">
        <v>44094.666666666664</v>
      </c>
      <c r="C895" s="10">
        <f>INT(Cardiac_Table[[#This Row],[Hospital Admit Date ]])</f>
        <v>44094</v>
      </c>
      <c r="D895" s="11" t="str">
        <f t="shared" si="13"/>
        <v>16:00</v>
      </c>
      <c r="E895" s="9">
        <v>44095.537499999999</v>
      </c>
      <c r="F895" s="10">
        <f>INT(Cardiac_Table[[#This Row],[Procedure Start Date and Time]])</f>
        <v>44095</v>
      </c>
      <c r="G895" s="12">
        <f>MOD(Cardiac_Table[[#This Row],[Procedure Start Date and Time]],1)</f>
        <v>0.53749999999854481</v>
      </c>
      <c r="H895">
        <v>4</v>
      </c>
      <c r="I895" t="s">
        <v>4</v>
      </c>
      <c r="J895" t="s">
        <v>10</v>
      </c>
      <c r="K895" t="s">
        <v>32</v>
      </c>
      <c r="L895">
        <v>65</v>
      </c>
      <c r="M895">
        <v>3.2</v>
      </c>
      <c r="N895">
        <v>1.06</v>
      </c>
      <c r="O895" t="s">
        <v>15</v>
      </c>
      <c r="P895">
        <v>78</v>
      </c>
      <c r="Q895">
        <v>170</v>
      </c>
      <c r="R895">
        <v>83</v>
      </c>
      <c r="S895">
        <v>57</v>
      </c>
      <c r="T895" t="s">
        <v>48</v>
      </c>
      <c r="U895">
        <f>IF(Cardiac_Table[[#This Row],[Patient Status at Discharge]]="Died", 1,0)</f>
        <v>0</v>
      </c>
      <c r="V895">
        <f>Cardiac_Table[[#This Row],[Risk of Death % (Model 1)]]/100</f>
        <v>3.2000000000000001E-2</v>
      </c>
      <c r="W895">
        <f>Cardiac_Table[[#This Row],[Risk of Death % (Model 2)]]/100</f>
        <v>1.06E-2</v>
      </c>
      <c r="X895" s="18">
        <f>Cardiac_Table[[#This Row],[Procedure Start Date and Time]]-Cardiac_Table[[#This Row],[Hospital Admit Date ]]</f>
        <v>0.87083333333430346</v>
      </c>
    </row>
    <row r="896" spans="1:24" x14ac:dyDescent="0.35">
      <c r="A896">
        <v>906</v>
      </c>
      <c r="B896" s="9">
        <v>44091.42083333333</v>
      </c>
      <c r="C896" s="10">
        <f>INT(Cardiac_Table[[#This Row],[Hospital Admit Date ]])</f>
        <v>44091</v>
      </c>
      <c r="D896" s="11" t="str">
        <f t="shared" si="13"/>
        <v>10:06</v>
      </c>
      <c r="E896" s="9">
        <v>44095.590277777781</v>
      </c>
      <c r="F896" s="10">
        <f>INT(Cardiac_Table[[#This Row],[Procedure Start Date and Time]])</f>
        <v>44095</v>
      </c>
      <c r="G896" s="12">
        <f>MOD(Cardiac_Table[[#This Row],[Procedure Start Date and Time]],1)</f>
        <v>0.59027777778101154</v>
      </c>
      <c r="H896">
        <v>5</v>
      </c>
      <c r="I896" t="s">
        <v>6</v>
      </c>
      <c r="J896" t="s">
        <v>10</v>
      </c>
      <c r="K896" t="s">
        <v>33</v>
      </c>
      <c r="L896">
        <v>83</v>
      </c>
      <c r="M896">
        <v>20.21</v>
      </c>
      <c r="N896">
        <v>27.44</v>
      </c>
      <c r="O896" t="s">
        <v>15</v>
      </c>
      <c r="P896">
        <v>66</v>
      </c>
      <c r="Q896">
        <v>160</v>
      </c>
      <c r="R896">
        <v>64</v>
      </c>
      <c r="S896">
        <v>29</v>
      </c>
      <c r="T896" t="s">
        <v>49</v>
      </c>
      <c r="U896">
        <f>IF(Cardiac_Table[[#This Row],[Patient Status at Discharge]]="Died", 1,0)</f>
        <v>0</v>
      </c>
      <c r="V896">
        <f>Cardiac_Table[[#This Row],[Risk of Death % (Model 1)]]/100</f>
        <v>0.2021</v>
      </c>
      <c r="W896">
        <f>Cardiac_Table[[#This Row],[Risk of Death % (Model 2)]]/100</f>
        <v>0.27440000000000003</v>
      </c>
      <c r="X896" s="18">
        <f>Cardiac_Table[[#This Row],[Procedure Start Date and Time]]-Cardiac_Table[[#This Row],[Hospital Admit Date ]]</f>
        <v>4.1694444444510737</v>
      </c>
    </row>
    <row r="897" spans="1:24" x14ac:dyDescent="0.35">
      <c r="A897">
        <v>907</v>
      </c>
      <c r="B897" s="9">
        <v>44095.291666666664</v>
      </c>
      <c r="C897" s="10">
        <f>INT(Cardiac_Table[[#This Row],[Hospital Admit Date ]])</f>
        <v>44095</v>
      </c>
      <c r="D897" s="11" t="str">
        <f t="shared" si="13"/>
        <v>07:00</v>
      </c>
      <c r="E897" s="9">
        <v>44095.599305555559</v>
      </c>
      <c r="F897" s="10">
        <f>INT(Cardiac_Table[[#This Row],[Procedure Start Date and Time]])</f>
        <v>44095</v>
      </c>
      <c r="G897" s="12">
        <f>MOD(Cardiac_Table[[#This Row],[Procedure Start Date and Time]],1)</f>
        <v>0.59930555555911269</v>
      </c>
      <c r="H897">
        <v>6</v>
      </c>
      <c r="I897" t="s">
        <v>4</v>
      </c>
      <c r="J897" t="s">
        <v>1</v>
      </c>
      <c r="K897" t="s">
        <v>23</v>
      </c>
      <c r="L897">
        <v>66</v>
      </c>
      <c r="M897">
        <v>7.21</v>
      </c>
      <c r="N897">
        <v>1.95</v>
      </c>
      <c r="O897" t="s">
        <v>15</v>
      </c>
      <c r="P897">
        <v>68</v>
      </c>
      <c r="Q897">
        <v>150</v>
      </c>
      <c r="R897">
        <v>64</v>
      </c>
      <c r="S897">
        <v>55</v>
      </c>
      <c r="T897" t="s">
        <v>48</v>
      </c>
      <c r="U897">
        <f>IF(Cardiac_Table[[#This Row],[Patient Status at Discharge]]="Died", 1,0)</f>
        <v>0</v>
      </c>
      <c r="V897">
        <f>Cardiac_Table[[#This Row],[Risk of Death % (Model 1)]]/100</f>
        <v>7.2099999999999997E-2</v>
      </c>
      <c r="W897">
        <f>Cardiac_Table[[#This Row],[Risk of Death % (Model 2)]]/100</f>
        <v>1.95E-2</v>
      </c>
      <c r="X897" s="18">
        <f>Cardiac_Table[[#This Row],[Procedure Start Date and Time]]-Cardiac_Table[[#This Row],[Hospital Admit Date ]]</f>
        <v>0.30763888889487134</v>
      </c>
    </row>
    <row r="898" spans="1:24" x14ac:dyDescent="0.35">
      <c r="A898">
        <v>908</v>
      </c>
      <c r="B898" s="9">
        <v>44087.375</v>
      </c>
      <c r="C898" s="10">
        <f>INT(Cardiac_Table[[#This Row],[Hospital Admit Date ]])</f>
        <v>44087</v>
      </c>
      <c r="D898" s="11" t="str">
        <f t="shared" ref="D898:D961" si="14">TEXT(B898,"HH:MM")</f>
        <v>09:00</v>
      </c>
      <c r="E898" s="9">
        <v>44096.336805555555</v>
      </c>
      <c r="F898" s="10">
        <f>INT(Cardiac_Table[[#This Row],[Procedure Start Date and Time]])</f>
        <v>44096</v>
      </c>
      <c r="G898" s="12">
        <f>MOD(Cardiac_Table[[#This Row],[Procedure Start Date and Time]],1)</f>
        <v>0.33680555555474712</v>
      </c>
      <c r="H898">
        <v>2</v>
      </c>
      <c r="I898" t="s">
        <v>6</v>
      </c>
      <c r="J898" t="s">
        <v>10</v>
      </c>
      <c r="K898" t="s">
        <v>33</v>
      </c>
      <c r="L898">
        <v>85</v>
      </c>
      <c r="M898">
        <v>4.79</v>
      </c>
      <c r="N898">
        <v>2.09</v>
      </c>
      <c r="O898" t="s">
        <v>15</v>
      </c>
      <c r="P898">
        <v>147</v>
      </c>
      <c r="Q898">
        <v>150</v>
      </c>
      <c r="R898">
        <v>68</v>
      </c>
      <c r="S898">
        <v>25</v>
      </c>
      <c r="T898" t="s">
        <v>49</v>
      </c>
      <c r="U898">
        <f>IF(Cardiac_Table[[#This Row],[Patient Status at Discharge]]="Died", 1,0)</f>
        <v>0</v>
      </c>
      <c r="V898">
        <f>Cardiac_Table[[#This Row],[Risk of Death % (Model 1)]]/100</f>
        <v>4.7899999999999998E-2</v>
      </c>
      <c r="W898">
        <f>Cardiac_Table[[#This Row],[Risk of Death % (Model 2)]]/100</f>
        <v>2.0899999999999998E-2</v>
      </c>
      <c r="X898" s="18">
        <f>Cardiac_Table[[#This Row],[Procedure Start Date and Time]]-Cardiac_Table[[#This Row],[Hospital Admit Date ]]</f>
        <v>8.9618055555547471</v>
      </c>
    </row>
    <row r="899" spans="1:24" x14ac:dyDescent="0.35">
      <c r="A899">
        <v>909</v>
      </c>
      <c r="B899" s="9">
        <v>44095.666666666664</v>
      </c>
      <c r="C899" s="10">
        <f>INT(Cardiac_Table[[#This Row],[Hospital Admit Date ]])</f>
        <v>44095</v>
      </c>
      <c r="D899" s="11" t="str">
        <f t="shared" si="14"/>
        <v>16:00</v>
      </c>
      <c r="E899" s="9">
        <v>44096.34375</v>
      </c>
      <c r="F899" s="10">
        <f>INT(Cardiac_Table[[#This Row],[Procedure Start Date and Time]])</f>
        <v>44096</v>
      </c>
      <c r="G899" s="12">
        <f>MOD(Cardiac_Table[[#This Row],[Procedure Start Date and Time]],1)</f>
        <v>0.34375</v>
      </c>
      <c r="H899">
        <v>6</v>
      </c>
      <c r="I899" t="s">
        <v>4</v>
      </c>
      <c r="J899" t="s">
        <v>1</v>
      </c>
      <c r="K899" t="s">
        <v>29</v>
      </c>
      <c r="L899">
        <v>73</v>
      </c>
      <c r="M899">
        <v>11.02</v>
      </c>
      <c r="N899">
        <v>4.76</v>
      </c>
      <c r="O899" t="s">
        <v>15</v>
      </c>
      <c r="P899">
        <v>71</v>
      </c>
      <c r="Q899">
        <v>170</v>
      </c>
      <c r="R899">
        <v>80</v>
      </c>
      <c r="S899">
        <v>25</v>
      </c>
      <c r="T899" t="s">
        <v>49</v>
      </c>
      <c r="U899">
        <f>IF(Cardiac_Table[[#This Row],[Patient Status at Discharge]]="Died", 1,0)</f>
        <v>0</v>
      </c>
      <c r="V899">
        <f>Cardiac_Table[[#This Row],[Risk of Death % (Model 1)]]/100</f>
        <v>0.11019999999999999</v>
      </c>
      <c r="W899">
        <f>Cardiac_Table[[#This Row],[Risk of Death % (Model 2)]]/100</f>
        <v>4.7599999999999996E-2</v>
      </c>
      <c r="X899" s="18">
        <f>Cardiac_Table[[#This Row],[Procedure Start Date and Time]]-Cardiac_Table[[#This Row],[Hospital Admit Date ]]</f>
        <v>0.67708333333575865</v>
      </c>
    </row>
    <row r="900" spans="1:24" x14ac:dyDescent="0.35">
      <c r="A900">
        <v>910</v>
      </c>
      <c r="B900" s="9">
        <v>44094.583333333336</v>
      </c>
      <c r="C900" s="10">
        <f>INT(Cardiac_Table[[#This Row],[Hospital Admit Date ]])</f>
        <v>44094</v>
      </c>
      <c r="D900" s="11" t="str">
        <f t="shared" si="14"/>
        <v>14:00</v>
      </c>
      <c r="E900" s="9">
        <v>44096.347222222219</v>
      </c>
      <c r="F900" s="10">
        <f>INT(Cardiac_Table[[#This Row],[Procedure Start Date and Time]])</f>
        <v>44096</v>
      </c>
      <c r="G900" s="12">
        <f>MOD(Cardiac_Table[[#This Row],[Procedure Start Date and Time]],1)</f>
        <v>0.34722222221898846</v>
      </c>
      <c r="H900">
        <v>4</v>
      </c>
      <c r="I900" t="s">
        <v>6</v>
      </c>
      <c r="J900" t="s">
        <v>3</v>
      </c>
      <c r="K900" t="s">
        <v>35</v>
      </c>
      <c r="L900">
        <v>73</v>
      </c>
      <c r="M900">
        <v>9.4</v>
      </c>
      <c r="N900">
        <v>6.41</v>
      </c>
      <c r="O900" t="s">
        <v>15</v>
      </c>
      <c r="P900">
        <v>71</v>
      </c>
      <c r="Q900">
        <v>172</v>
      </c>
      <c r="R900">
        <v>90</v>
      </c>
      <c r="S900">
        <v>40</v>
      </c>
      <c r="T900" t="s">
        <v>50</v>
      </c>
      <c r="U900">
        <f>IF(Cardiac_Table[[#This Row],[Patient Status at Discharge]]="Died", 1,0)</f>
        <v>0</v>
      </c>
      <c r="V900">
        <f>Cardiac_Table[[#This Row],[Risk of Death % (Model 1)]]/100</f>
        <v>9.4E-2</v>
      </c>
      <c r="W900">
        <f>Cardiac_Table[[#This Row],[Risk of Death % (Model 2)]]/100</f>
        <v>6.4100000000000004E-2</v>
      </c>
      <c r="X900" s="18">
        <f>Cardiac_Table[[#This Row],[Procedure Start Date and Time]]-Cardiac_Table[[#This Row],[Hospital Admit Date ]]</f>
        <v>1.7638888888832298</v>
      </c>
    </row>
    <row r="901" spans="1:24" x14ac:dyDescent="0.35">
      <c r="A901">
        <v>911</v>
      </c>
      <c r="B901" s="9">
        <v>44084.413194444445</v>
      </c>
      <c r="C901" s="10">
        <f>INT(Cardiac_Table[[#This Row],[Hospital Admit Date ]])</f>
        <v>44084</v>
      </c>
      <c r="D901" s="11" t="str">
        <f t="shared" si="14"/>
        <v>09:55</v>
      </c>
      <c r="E901" s="9">
        <v>44096.354166666664</v>
      </c>
      <c r="F901" s="10">
        <f>INT(Cardiac_Table[[#This Row],[Procedure Start Date and Time]])</f>
        <v>44096</v>
      </c>
      <c r="G901" s="12">
        <f>MOD(Cardiac_Table[[#This Row],[Procedure Start Date and Time]],1)</f>
        <v>0.35416666666424135</v>
      </c>
      <c r="H901">
        <v>5</v>
      </c>
      <c r="I901" t="s">
        <v>6</v>
      </c>
      <c r="J901" t="s">
        <v>11</v>
      </c>
      <c r="K901" t="s">
        <v>26</v>
      </c>
      <c r="L901">
        <v>68</v>
      </c>
      <c r="M901">
        <v>42.5</v>
      </c>
      <c r="N901">
        <v>57.27</v>
      </c>
      <c r="O901" t="s">
        <v>13</v>
      </c>
      <c r="P901">
        <v>86</v>
      </c>
      <c r="Q901">
        <v>148</v>
      </c>
      <c r="R901">
        <v>61</v>
      </c>
      <c r="S901">
        <v>55</v>
      </c>
      <c r="T901" t="s">
        <v>48</v>
      </c>
      <c r="U901">
        <f>IF(Cardiac_Table[[#This Row],[Patient Status at Discharge]]="Died", 1,0)</f>
        <v>1</v>
      </c>
      <c r="V901">
        <f>Cardiac_Table[[#This Row],[Risk of Death % (Model 1)]]/100</f>
        <v>0.42499999999999999</v>
      </c>
      <c r="W901">
        <f>Cardiac_Table[[#This Row],[Risk of Death % (Model 2)]]/100</f>
        <v>0.57269999999999999</v>
      </c>
      <c r="X901" s="18">
        <f>Cardiac_Table[[#This Row],[Procedure Start Date and Time]]-Cardiac_Table[[#This Row],[Hospital Admit Date ]]</f>
        <v>11.940972222218988</v>
      </c>
    </row>
    <row r="902" spans="1:24" x14ac:dyDescent="0.35">
      <c r="A902">
        <v>912</v>
      </c>
      <c r="B902" s="9">
        <v>44091.493055555555</v>
      </c>
      <c r="C902" s="10">
        <f>INT(Cardiac_Table[[#This Row],[Hospital Admit Date ]])</f>
        <v>44091</v>
      </c>
      <c r="D902" s="11" t="str">
        <f t="shared" si="14"/>
        <v>11:50</v>
      </c>
      <c r="E902" s="9">
        <v>44096.520833333336</v>
      </c>
      <c r="F902" s="10">
        <f>INT(Cardiac_Table[[#This Row],[Procedure Start Date and Time]])</f>
        <v>44096</v>
      </c>
      <c r="G902" s="12">
        <f>MOD(Cardiac_Table[[#This Row],[Procedure Start Date and Time]],1)</f>
        <v>0.52083333333575865</v>
      </c>
      <c r="H902">
        <v>2</v>
      </c>
      <c r="I902" t="s">
        <v>6</v>
      </c>
      <c r="J902" t="s">
        <v>3</v>
      </c>
      <c r="K902" t="s">
        <v>33</v>
      </c>
      <c r="L902">
        <v>81</v>
      </c>
      <c r="M902">
        <v>8.44</v>
      </c>
      <c r="N902">
        <v>3.93</v>
      </c>
      <c r="O902" t="s">
        <v>15</v>
      </c>
      <c r="P902">
        <v>75</v>
      </c>
      <c r="Q902">
        <v>179</v>
      </c>
      <c r="R902">
        <v>101</v>
      </c>
      <c r="S902">
        <v>40</v>
      </c>
      <c r="T902" t="s">
        <v>50</v>
      </c>
      <c r="U902">
        <f>IF(Cardiac_Table[[#This Row],[Patient Status at Discharge]]="Died", 1,0)</f>
        <v>0</v>
      </c>
      <c r="V902">
        <f>Cardiac_Table[[#This Row],[Risk of Death % (Model 1)]]/100</f>
        <v>8.4399999999999989E-2</v>
      </c>
      <c r="W902">
        <f>Cardiac_Table[[#This Row],[Risk of Death % (Model 2)]]/100</f>
        <v>3.9300000000000002E-2</v>
      </c>
      <c r="X902" s="18">
        <f>Cardiac_Table[[#This Row],[Procedure Start Date and Time]]-Cardiac_Table[[#This Row],[Hospital Admit Date ]]</f>
        <v>5.0277777777810115</v>
      </c>
    </row>
    <row r="903" spans="1:24" x14ac:dyDescent="0.35">
      <c r="A903">
        <v>913</v>
      </c>
      <c r="B903" s="9">
        <v>44094.659722222219</v>
      </c>
      <c r="C903" s="10">
        <f>INT(Cardiac_Table[[#This Row],[Hospital Admit Date ]])</f>
        <v>44094</v>
      </c>
      <c r="D903" s="11" t="str">
        <f t="shared" si="14"/>
        <v>15:50</v>
      </c>
      <c r="E903" s="9">
        <v>44097.331250000003</v>
      </c>
      <c r="F903" s="10">
        <f>INT(Cardiac_Table[[#This Row],[Procedure Start Date and Time]])</f>
        <v>44097</v>
      </c>
      <c r="G903" s="12">
        <f>MOD(Cardiac_Table[[#This Row],[Procedure Start Date and Time]],1)</f>
        <v>0.33125000000291038</v>
      </c>
      <c r="H903">
        <v>5</v>
      </c>
      <c r="I903" t="s">
        <v>4</v>
      </c>
      <c r="J903" t="s">
        <v>3</v>
      </c>
      <c r="K903" t="s">
        <v>31</v>
      </c>
      <c r="L903">
        <v>75</v>
      </c>
      <c r="M903">
        <v>12.28</v>
      </c>
      <c r="N903">
        <v>2.83</v>
      </c>
      <c r="O903" t="s">
        <v>15</v>
      </c>
      <c r="P903">
        <v>69</v>
      </c>
      <c r="Q903">
        <v>176</v>
      </c>
      <c r="R903">
        <v>91</v>
      </c>
      <c r="S903">
        <v>40</v>
      </c>
      <c r="T903" t="s">
        <v>50</v>
      </c>
      <c r="U903">
        <f>IF(Cardiac_Table[[#This Row],[Patient Status at Discharge]]="Died", 1,0)</f>
        <v>0</v>
      </c>
      <c r="V903">
        <f>Cardiac_Table[[#This Row],[Risk of Death % (Model 1)]]/100</f>
        <v>0.12279999999999999</v>
      </c>
      <c r="W903">
        <f>Cardiac_Table[[#This Row],[Risk of Death % (Model 2)]]/100</f>
        <v>2.8300000000000002E-2</v>
      </c>
      <c r="X903" s="18">
        <f>Cardiac_Table[[#This Row],[Procedure Start Date and Time]]-Cardiac_Table[[#This Row],[Hospital Admit Date ]]</f>
        <v>2.6715277777839219</v>
      </c>
    </row>
    <row r="904" spans="1:24" x14ac:dyDescent="0.35">
      <c r="A904">
        <v>914</v>
      </c>
      <c r="B904" s="9">
        <v>44096.666666666664</v>
      </c>
      <c r="C904" s="10">
        <f>INT(Cardiac_Table[[#This Row],[Hospital Admit Date ]])</f>
        <v>44096</v>
      </c>
      <c r="D904" s="11" t="str">
        <f t="shared" si="14"/>
        <v>16:00</v>
      </c>
      <c r="E904" s="9">
        <v>44097.336805555555</v>
      </c>
      <c r="F904" s="10">
        <f>INT(Cardiac_Table[[#This Row],[Procedure Start Date and Time]])</f>
        <v>44097</v>
      </c>
      <c r="G904" s="12">
        <f>MOD(Cardiac_Table[[#This Row],[Procedure Start Date and Time]],1)</f>
        <v>0.33680555555474712</v>
      </c>
      <c r="H904">
        <v>2</v>
      </c>
      <c r="I904" t="s">
        <v>4</v>
      </c>
      <c r="J904" t="s">
        <v>3</v>
      </c>
      <c r="K904" t="s">
        <v>28</v>
      </c>
      <c r="L904">
        <v>49</v>
      </c>
      <c r="M904">
        <v>2.08</v>
      </c>
      <c r="N904">
        <v>0.84</v>
      </c>
      <c r="O904" t="s">
        <v>13</v>
      </c>
      <c r="P904">
        <v>82</v>
      </c>
      <c r="Q904">
        <v>175</v>
      </c>
      <c r="R904">
        <v>95</v>
      </c>
      <c r="S904">
        <v>45</v>
      </c>
      <c r="T904" t="s">
        <v>50</v>
      </c>
      <c r="U904">
        <f>IF(Cardiac_Table[[#This Row],[Patient Status at Discharge]]="Died", 1,0)</f>
        <v>1</v>
      </c>
      <c r="V904">
        <f>Cardiac_Table[[#This Row],[Risk of Death % (Model 1)]]/100</f>
        <v>2.0799999999999999E-2</v>
      </c>
      <c r="W904">
        <f>Cardiac_Table[[#This Row],[Risk of Death % (Model 2)]]/100</f>
        <v>8.3999999999999995E-3</v>
      </c>
      <c r="X904" s="18">
        <f>Cardiac_Table[[#This Row],[Procedure Start Date and Time]]-Cardiac_Table[[#This Row],[Hospital Admit Date ]]</f>
        <v>0.67013888889050577</v>
      </c>
    </row>
    <row r="905" spans="1:24" x14ac:dyDescent="0.35">
      <c r="A905">
        <v>915</v>
      </c>
      <c r="B905" s="9">
        <v>44096.666666666664</v>
      </c>
      <c r="C905" s="10">
        <f>INT(Cardiac_Table[[#This Row],[Hospital Admit Date ]])</f>
        <v>44096</v>
      </c>
      <c r="D905" s="11" t="str">
        <f t="shared" si="14"/>
        <v>16:00</v>
      </c>
      <c r="E905" s="9">
        <v>44097.34375</v>
      </c>
      <c r="F905" s="10">
        <f>INT(Cardiac_Table[[#This Row],[Procedure Start Date and Time]])</f>
        <v>44097</v>
      </c>
      <c r="G905" s="12">
        <f>MOD(Cardiac_Table[[#This Row],[Procedure Start Date and Time]],1)</f>
        <v>0.34375</v>
      </c>
      <c r="H905">
        <v>4</v>
      </c>
      <c r="I905" t="s">
        <v>4</v>
      </c>
      <c r="J905" t="s">
        <v>11</v>
      </c>
      <c r="K905" t="s">
        <v>24</v>
      </c>
      <c r="L905">
        <v>72</v>
      </c>
      <c r="M905">
        <v>5.24</v>
      </c>
      <c r="N905">
        <v>2.4700000000000002</v>
      </c>
      <c r="O905" t="s">
        <v>15</v>
      </c>
      <c r="P905">
        <v>68</v>
      </c>
      <c r="Q905">
        <v>178</v>
      </c>
      <c r="R905">
        <v>98</v>
      </c>
      <c r="S905">
        <v>20</v>
      </c>
      <c r="T905" t="s">
        <v>51</v>
      </c>
      <c r="U905">
        <f>IF(Cardiac_Table[[#This Row],[Patient Status at Discharge]]="Died", 1,0)</f>
        <v>0</v>
      </c>
      <c r="V905">
        <f>Cardiac_Table[[#This Row],[Risk of Death % (Model 1)]]/100</f>
        <v>5.2400000000000002E-2</v>
      </c>
      <c r="W905">
        <f>Cardiac_Table[[#This Row],[Risk of Death % (Model 2)]]/100</f>
        <v>2.4700000000000003E-2</v>
      </c>
      <c r="X905" s="18">
        <f>Cardiac_Table[[#This Row],[Procedure Start Date and Time]]-Cardiac_Table[[#This Row],[Hospital Admit Date ]]</f>
        <v>0.67708333333575865</v>
      </c>
    </row>
    <row r="906" spans="1:24" x14ac:dyDescent="0.35">
      <c r="A906">
        <v>916</v>
      </c>
      <c r="B906" s="9">
        <v>44096.666666666664</v>
      </c>
      <c r="C906" s="10">
        <f>INT(Cardiac_Table[[#This Row],[Hospital Admit Date ]])</f>
        <v>44096</v>
      </c>
      <c r="D906" s="11" t="str">
        <f t="shared" si="14"/>
        <v>16:00</v>
      </c>
      <c r="E906" s="9">
        <v>44097.34375</v>
      </c>
      <c r="F906" s="10">
        <f>INT(Cardiac_Table[[#This Row],[Procedure Start Date and Time]])</f>
        <v>44097</v>
      </c>
      <c r="G906" s="12">
        <f>MOD(Cardiac_Table[[#This Row],[Procedure Start Date and Time]],1)</f>
        <v>0.34375</v>
      </c>
      <c r="H906">
        <v>6</v>
      </c>
      <c r="I906" t="s">
        <v>4</v>
      </c>
      <c r="J906" t="s">
        <v>10</v>
      </c>
      <c r="K906" t="s">
        <v>30</v>
      </c>
      <c r="L906">
        <v>60</v>
      </c>
      <c r="M906">
        <v>0.94</v>
      </c>
      <c r="N906">
        <v>0.67</v>
      </c>
      <c r="O906" t="s">
        <v>15</v>
      </c>
      <c r="P906">
        <v>77</v>
      </c>
      <c r="Q906">
        <v>157</v>
      </c>
      <c r="R906">
        <v>69</v>
      </c>
      <c r="S906">
        <v>45</v>
      </c>
      <c r="T906" t="s">
        <v>50</v>
      </c>
      <c r="U906">
        <f>IF(Cardiac_Table[[#This Row],[Patient Status at Discharge]]="Died", 1,0)</f>
        <v>0</v>
      </c>
      <c r="V906">
        <f>Cardiac_Table[[#This Row],[Risk of Death % (Model 1)]]/100</f>
        <v>9.3999999999999986E-3</v>
      </c>
      <c r="W906">
        <f>Cardiac_Table[[#This Row],[Risk of Death % (Model 2)]]/100</f>
        <v>6.7000000000000002E-3</v>
      </c>
      <c r="X906" s="18">
        <f>Cardiac_Table[[#This Row],[Procedure Start Date and Time]]-Cardiac_Table[[#This Row],[Hospital Admit Date ]]</f>
        <v>0.67708333333575865</v>
      </c>
    </row>
    <row r="907" spans="1:24" x14ac:dyDescent="0.35">
      <c r="A907">
        <v>917</v>
      </c>
      <c r="B907" s="9">
        <v>44092.893750000003</v>
      </c>
      <c r="C907" s="10">
        <f>INT(Cardiac_Table[[#This Row],[Hospital Admit Date ]])</f>
        <v>44092</v>
      </c>
      <c r="D907" s="11" t="str">
        <f t="shared" si="14"/>
        <v>21:27</v>
      </c>
      <c r="E907" s="9">
        <v>44097.551388888889</v>
      </c>
      <c r="F907" s="10">
        <f>INT(Cardiac_Table[[#This Row],[Procedure Start Date and Time]])</f>
        <v>44097</v>
      </c>
      <c r="G907" s="12">
        <f>MOD(Cardiac_Table[[#This Row],[Procedure Start Date and Time]],1)</f>
        <v>0.55138888888905058</v>
      </c>
      <c r="H907">
        <v>6</v>
      </c>
      <c r="I907" t="s">
        <v>6</v>
      </c>
      <c r="J907" t="s">
        <v>11</v>
      </c>
      <c r="K907" t="s">
        <v>30</v>
      </c>
      <c r="L907">
        <v>84</v>
      </c>
      <c r="M907">
        <v>54.16</v>
      </c>
      <c r="N907">
        <v>9.5</v>
      </c>
      <c r="O907" t="s">
        <v>15</v>
      </c>
      <c r="P907">
        <v>98</v>
      </c>
      <c r="Q907">
        <v>160</v>
      </c>
      <c r="R907">
        <v>79</v>
      </c>
      <c r="S907">
        <v>65</v>
      </c>
      <c r="T907" t="s">
        <v>48</v>
      </c>
      <c r="U907">
        <f>IF(Cardiac_Table[[#This Row],[Patient Status at Discharge]]="Died", 1,0)</f>
        <v>0</v>
      </c>
      <c r="V907">
        <f>Cardiac_Table[[#This Row],[Risk of Death % (Model 1)]]/100</f>
        <v>0.54159999999999997</v>
      </c>
      <c r="W907">
        <f>Cardiac_Table[[#This Row],[Risk of Death % (Model 2)]]/100</f>
        <v>9.5000000000000001E-2</v>
      </c>
      <c r="X907" s="18">
        <f>Cardiac_Table[[#This Row],[Procedure Start Date and Time]]-Cardiac_Table[[#This Row],[Hospital Admit Date ]]</f>
        <v>4.6576388888861402</v>
      </c>
    </row>
    <row r="908" spans="1:24" x14ac:dyDescent="0.35">
      <c r="A908">
        <v>918</v>
      </c>
      <c r="B908" s="9">
        <v>44097.291666666664</v>
      </c>
      <c r="C908" s="10">
        <f>INT(Cardiac_Table[[#This Row],[Hospital Admit Date ]])</f>
        <v>44097</v>
      </c>
      <c r="D908" s="11" t="str">
        <f t="shared" si="14"/>
        <v>07:00</v>
      </c>
      <c r="E908" s="9">
        <v>44097.650694444441</v>
      </c>
      <c r="F908" s="10">
        <f>INT(Cardiac_Table[[#This Row],[Procedure Start Date and Time]])</f>
        <v>44097</v>
      </c>
      <c r="G908" s="12">
        <f>MOD(Cardiac_Table[[#This Row],[Procedure Start Date and Time]],1)</f>
        <v>0.65069444444088731</v>
      </c>
      <c r="H908">
        <v>4</v>
      </c>
      <c r="I908" t="s">
        <v>4</v>
      </c>
      <c r="J908" t="s">
        <v>3</v>
      </c>
      <c r="K908" t="s">
        <v>31</v>
      </c>
      <c r="L908">
        <v>79</v>
      </c>
      <c r="M908">
        <v>15.46</v>
      </c>
      <c r="N908">
        <v>2.35</v>
      </c>
      <c r="O908" t="s">
        <v>15</v>
      </c>
      <c r="P908">
        <v>69</v>
      </c>
      <c r="Q908">
        <v>155</v>
      </c>
      <c r="R908">
        <v>62</v>
      </c>
      <c r="S908">
        <v>45</v>
      </c>
      <c r="T908" t="s">
        <v>50</v>
      </c>
      <c r="U908">
        <f>IF(Cardiac_Table[[#This Row],[Patient Status at Discharge]]="Died", 1,0)</f>
        <v>0</v>
      </c>
      <c r="V908">
        <f>Cardiac_Table[[#This Row],[Risk of Death % (Model 1)]]/100</f>
        <v>0.15460000000000002</v>
      </c>
      <c r="W908">
        <f>Cardiac_Table[[#This Row],[Risk of Death % (Model 2)]]/100</f>
        <v>2.35E-2</v>
      </c>
      <c r="X908" s="18">
        <f>Cardiac_Table[[#This Row],[Procedure Start Date and Time]]-Cardiac_Table[[#This Row],[Hospital Admit Date ]]</f>
        <v>0.35902777777664596</v>
      </c>
    </row>
    <row r="909" spans="1:24" x14ac:dyDescent="0.35">
      <c r="A909">
        <v>919</v>
      </c>
      <c r="B909" s="9">
        <v>44095.666666666664</v>
      </c>
      <c r="C909" s="10">
        <f>INT(Cardiac_Table[[#This Row],[Hospital Admit Date ]])</f>
        <v>44095</v>
      </c>
      <c r="D909" s="11" t="str">
        <f t="shared" si="14"/>
        <v>16:00</v>
      </c>
      <c r="E909" s="9">
        <v>44098.333333333336</v>
      </c>
      <c r="F909" s="10">
        <f>INT(Cardiac_Table[[#This Row],[Procedure Start Date and Time]])</f>
        <v>44098</v>
      </c>
      <c r="G909" s="12">
        <f>MOD(Cardiac_Table[[#This Row],[Procedure Start Date and Time]],1)</f>
        <v>0.33333333333575865</v>
      </c>
      <c r="H909">
        <v>3</v>
      </c>
      <c r="I909" t="s">
        <v>4</v>
      </c>
      <c r="J909" t="s">
        <v>11</v>
      </c>
      <c r="K909" t="s">
        <v>33</v>
      </c>
      <c r="L909">
        <v>81</v>
      </c>
      <c r="M909">
        <v>12.49</v>
      </c>
      <c r="N909">
        <v>7.82</v>
      </c>
      <c r="O909" t="s">
        <v>15</v>
      </c>
      <c r="P909">
        <v>69</v>
      </c>
      <c r="Q909">
        <v>174</v>
      </c>
      <c r="R909">
        <v>105</v>
      </c>
      <c r="S909">
        <v>54</v>
      </c>
      <c r="T909" t="s">
        <v>48</v>
      </c>
      <c r="U909">
        <f>IF(Cardiac_Table[[#This Row],[Patient Status at Discharge]]="Died", 1,0)</f>
        <v>0</v>
      </c>
      <c r="V909">
        <f>Cardiac_Table[[#This Row],[Risk of Death % (Model 1)]]/100</f>
        <v>0.1249</v>
      </c>
      <c r="W909">
        <f>Cardiac_Table[[#This Row],[Risk of Death % (Model 2)]]/100</f>
        <v>7.8200000000000006E-2</v>
      </c>
      <c r="X909" s="18">
        <f>Cardiac_Table[[#This Row],[Procedure Start Date and Time]]-Cardiac_Table[[#This Row],[Hospital Admit Date ]]</f>
        <v>2.6666666666715173</v>
      </c>
    </row>
    <row r="910" spans="1:24" x14ac:dyDescent="0.35">
      <c r="A910">
        <v>920</v>
      </c>
      <c r="B910" s="9">
        <v>44096.707638888889</v>
      </c>
      <c r="C910" s="10">
        <f>INT(Cardiac_Table[[#This Row],[Hospital Admit Date ]])</f>
        <v>44096</v>
      </c>
      <c r="D910" s="11" t="str">
        <f t="shared" si="14"/>
        <v>16:59</v>
      </c>
      <c r="E910" s="9">
        <v>44098.340277777781</v>
      </c>
      <c r="F910" s="10">
        <f>INT(Cardiac_Table[[#This Row],[Procedure Start Date and Time]])</f>
        <v>44098</v>
      </c>
      <c r="G910" s="12">
        <f>MOD(Cardiac_Table[[#This Row],[Procedure Start Date and Time]],1)</f>
        <v>0.34027777778101154</v>
      </c>
      <c r="H910">
        <v>4</v>
      </c>
      <c r="I910" t="s">
        <v>6</v>
      </c>
      <c r="J910" t="s">
        <v>3</v>
      </c>
      <c r="K910" t="s">
        <v>32</v>
      </c>
      <c r="L910">
        <v>78</v>
      </c>
      <c r="M910">
        <v>5.14</v>
      </c>
      <c r="N910">
        <v>1.27</v>
      </c>
      <c r="O910" t="s">
        <v>15</v>
      </c>
      <c r="P910">
        <v>93</v>
      </c>
      <c r="Q910">
        <v>162</v>
      </c>
      <c r="R910">
        <v>69</v>
      </c>
      <c r="S910">
        <v>40</v>
      </c>
      <c r="T910" t="s">
        <v>50</v>
      </c>
      <c r="U910">
        <f>IF(Cardiac_Table[[#This Row],[Patient Status at Discharge]]="Died", 1,0)</f>
        <v>0</v>
      </c>
      <c r="V910">
        <f>Cardiac_Table[[#This Row],[Risk of Death % (Model 1)]]/100</f>
        <v>5.1399999999999994E-2</v>
      </c>
      <c r="W910">
        <f>Cardiac_Table[[#This Row],[Risk of Death % (Model 2)]]/100</f>
        <v>1.2699999999999999E-2</v>
      </c>
      <c r="X910" s="18">
        <f>Cardiac_Table[[#This Row],[Procedure Start Date and Time]]-Cardiac_Table[[#This Row],[Hospital Admit Date ]]</f>
        <v>1.632638888891961</v>
      </c>
    </row>
    <row r="911" spans="1:24" x14ac:dyDescent="0.35">
      <c r="A911">
        <v>921</v>
      </c>
      <c r="B911" s="9">
        <v>44097.449305555558</v>
      </c>
      <c r="C911" s="10">
        <f>INT(Cardiac_Table[[#This Row],[Hospital Admit Date ]])</f>
        <v>44097</v>
      </c>
      <c r="D911" s="11" t="str">
        <f t="shared" si="14"/>
        <v>10:47</v>
      </c>
      <c r="E911" s="9">
        <v>44098.34375</v>
      </c>
      <c r="F911" s="10">
        <f>INT(Cardiac_Table[[#This Row],[Procedure Start Date and Time]])</f>
        <v>44098</v>
      </c>
      <c r="G911" s="12">
        <f>MOD(Cardiac_Table[[#This Row],[Procedure Start Date and Time]],1)</f>
        <v>0.34375</v>
      </c>
      <c r="H911">
        <v>2</v>
      </c>
      <c r="I911" t="s">
        <v>4</v>
      </c>
      <c r="J911" t="s">
        <v>10</v>
      </c>
      <c r="K911" t="s">
        <v>31</v>
      </c>
      <c r="L911">
        <v>50</v>
      </c>
      <c r="M911">
        <v>5.0199999999999996</v>
      </c>
      <c r="N911">
        <v>4.53</v>
      </c>
      <c r="O911" t="s">
        <v>15</v>
      </c>
      <c r="P911">
        <v>77</v>
      </c>
      <c r="Q911">
        <v>169</v>
      </c>
      <c r="R911">
        <v>99</v>
      </c>
      <c r="S911">
        <v>60</v>
      </c>
      <c r="T911" t="s">
        <v>48</v>
      </c>
      <c r="U911">
        <f>IF(Cardiac_Table[[#This Row],[Patient Status at Discharge]]="Died", 1,0)</f>
        <v>0</v>
      </c>
      <c r="V911">
        <f>Cardiac_Table[[#This Row],[Risk of Death % (Model 1)]]/100</f>
        <v>5.0199999999999995E-2</v>
      </c>
      <c r="W911">
        <f>Cardiac_Table[[#This Row],[Risk of Death % (Model 2)]]/100</f>
        <v>4.53E-2</v>
      </c>
      <c r="X911" s="18">
        <f>Cardiac_Table[[#This Row],[Procedure Start Date and Time]]-Cardiac_Table[[#This Row],[Hospital Admit Date ]]</f>
        <v>0.8944444444423425</v>
      </c>
    </row>
    <row r="912" spans="1:24" x14ac:dyDescent="0.35">
      <c r="A912">
        <v>922</v>
      </c>
      <c r="B912" s="9">
        <v>44097.649305555555</v>
      </c>
      <c r="C912" s="10">
        <f>INT(Cardiac_Table[[#This Row],[Hospital Admit Date ]])</f>
        <v>44097</v>
      </c>
      <c r="D912" s="11" t="str">
        <f t="shared" si="14"/>
        <v>15:35</v>
      </c>
      <c r="E912" s="9">
        <v>44098.347222222219</v>
      </c>
      <c r="F912" s="10">
        <f>INT(Cardiac_Table[[#This Row],[Procedure Start Date and Time]])</f>
        <v>44098</v>
      </c>
      <c r="G912" s="12">
        <f>MOD(Cardiac_Table[[#This Row],[Procedure Start Date and Time]],1)</f>
        <v>0.34722222221898846</v>
      </c>
      <c r="H912">
        <v>5</v>
      </c>
      <c r="I912" t="s">
        <v>4</v>
      </c>
      <c r="J912" t="s">
        <v>1</v>
      </c>
      <c r="K912" t="s">
        <v>21</v>
      </c>
      <c r="L912">
        <v>49</v>
      </c>
      <c r="M912">
        <v>31.52</v>
      </c>
      <c r="N912">
        <v>10.51</v>
      </c>
      <c r="O912" t="s">
        <v>15</v>
      </c>
      <c r="P912">
        <v>82</v>
      </c>
      <c r="Q912">
        <v>175</v>
      </c>
      <c r="R912">
        <v>77</v>
      </c>
      <c r="S912">
        <v>33</v>
      </c>
      <c r="T912" t="s">
        <v>50</v>
      </c>
      <c r="U912">
        <f>IF(Cardiac_Table[[#This Row],[Patient Status at Discharge]]="Died", 1,0)</f>
        <v>0</v>
      </c>
      <c r="V912">
        <f>Cardiac_Table[[#This Row],[Risk of Death % (Model 1)]]/100</f>
        <v>0.31519999999999998</v>
      </c>
      <c r="W912">
        <f>Cardiac_Table[[#This Row],[Risk of Death % (Model 2)]]/100</f>
        <v>0.1051</v>
      </c>
      <c r="X912" s="18">
        <f>Cardiac_Table[[#This Row],[Procedure Start Date and Time]]-Cardiac_Table[[#This Row],[Hospital Admit Date ]]</f>
        <v>0.69791666666424135</v>
      </c>
    </row>
    <row r="913" spans="1:24" x14ac:dyDescent="0.35">
      <c r="A913">
        <v>923</v>
      </c>
      <c r="B913" s="9">
        <v>44097.666666666664</v>
      </c>
      <c r="C913" s="10">
        <f>INT(Cardiac_Table[[#This Row],[Hospital Admit Date ]])</f>
        <v>44097</v>
      </c>
      <c r="D913" s="11" t="str">
        <f t="shared" si="14"/>
        <v>16:00</v>
      </c>
      <c r="E913" s="9">
        <v>44098.347222222219</v>
      </c>
      <c r="F913" s="10">
        <f>INT(Cardiac_Table[[#This Row],[Procedure Start Date and Time]])</f>
        <v>44098</v>
      </c>
      <c r="G913" s="12">
        <f>MOD(Cardiac_Table[[#This Row],[Procedure Start Date and Time]],1)</f>
        <v>0.34722222221898846</v>
      </c>
      <c r="H913">
        <v>6</v>
      </c>
      <c r="I913" t="s">
        <v>4</v>
      </c>
      <c r="J913" t="s">
        <v>3</v>
      </c>
      <c r="K913" t="s">
        <v>23</v>
      </c>
      <c r="L913">
        <v>77</v>
      </c>
      <c r="M913">
        <v>4.83</v>
      </c>
      <c r="N913">
        <v>0.81</v>
      </c>
      <c r="O913" t="s">
        <v>15</v>
      </c>
      <c r="P913">
        <v>62</v>
      </c>
      <c r="Q913">
        <v>176</v>
      </c>
      <c r="R913">
        <v>93</v>
      </c>
      <c r="S913">
        <v>65</v>
      </c>
      <c r="T913" t="s">
        <v>48</v>
      </c>
      <c r="U913">
        <f>IF(Cardiac_Table[[#This Row],[Patient Status at Discharge]]="Died", 1,0)</f>
        <v>0</v>
      </c>
      <c r="V913">
        <f>Cardiac_Table[[#This Row],[Risk of Death % (Model 1)]]/100</f>
        <v>4.8300000000000003E-2</v>
      </c>
      <c r="W913">
        <f>Cardiac_Table[[#This Row],[Risk of Death % (Model 2)]]/100</f>
        <v>8.1000000000000013E-3</v>
      </c>
      <c r="X913" s="18">
        <f>Cardiac_Table[[#This Row],[Procedure Start Date and Time]]-Cardiac_Table[[#This Row],[Hospital Admit Date ]]</f>
        <v>0.68055555555474712</v>
      </c>
    </row>
    <row r="914" spans="1:24" x14ac:dyDescent="0.35">
      <c r="A914">
        <v>924</v>
      </c>
      <c r="B914" s="9">
        <v>44094.583333333336</v>
      </c>
      <c r="C914" s="10">
        <f>INT(Cardiac_Table[[#This Row],[Hospital Admit Date ]])</f>
        <v>44094</v>
      </c>
      <c r="D914" s="11" t="str">
        <f t="shared" si="14"/>
        <v>14:00</v>
      </c>
      <c r="E914" s="9">
        <v>44098.475694444445</v>
      </c>
      <c r="F914" s="10">
        <f>INT(Cardiac_Table[[#This Row],[Procedure Start Date and Time]])</f>
        <v>44098</v>
      </c>
      <c r="G914" s="12">
        <f>MOD(Cardiac_Table[[#This Row],[Procedure Start Date and Time]],1)</f>
        <v>0.47569444444525288</v>
      </c>
      <c r="H914">
        <v>4</v>
      </c>
      <c r="I914" t="s">
        <v>6</v>
      </c>
      <c r="J914" t="s">
        <v>11</v>
      </c>
      <c r="K914" t="s">
        <v>32</v>
      </c>
      <c r="L914">
        <v>72</v>
      </c>
      <c r="M914">
        <v>3.51</v>
      </c>
      <c r="N914">
        <v>1.84</v>
      </c>
      <c r="O914" t="s">
        <v>15</v>
      </c>
      <c r="P914">
        <v>116</v>
      </c>
      <c r="Q914">
        <v>163</v>
      </c>
      <c r="R914">
        <v>64</v>
      </c>
      <c r="S914">
        <v>15</v>
      </c>
      <c r="T914" t="s">
        <v>51</v>
      </c>
      <c r="U914">
        <f>IF(Cardiac_Table[[#This Row],[Patient Status at Discharge]]="Died", 1,0)</f>
        <v>0</v>
      </c>
      <c r="V914">
        <f>Cardiac_Table[[#This Row],[Risk of Death % (Model 1)]]/100</f>
        <v>3.5099999999999999E-2</v>
      </c>
      <c r="W914">
        <f>Cardiac_Table[[#This Row],[Risk of Death % (Model 2)]]/100</f>
        <v>1.84E-2</v>
      </c>
      <c r="X914" s="18">
        <f>Cardiac_Table[[#This Row],[Procedure Start Date and Time]]-Cardiac_Table[[#This Row],[Hospital Admit Date ]]</f>
        <v>3.8923611111094942</v>
      </c>
    </row>
    <row r="915" spans="1:24" x14ac:dyDescent="0.35">
      <c r="A915">
        <v>925</v>
      </c>
      <c r="B915" s="9">
        <v>44097.666666666664</v>
      </c>
      <c r="C915" s="10">
        <f>INT(Cardiac_Table[[#This Row],[Hospital Admit Date ]])</f>
        <v>44097</v>
      </c>
      <c r="D915" s="11" t="str">
        <f t="shared" si="14"/>
        <v>16:00</v>
      </c>
      <c r="E915" s="9">
        <v>44098.574999999997</v>
      </c>
      <c r="F915" s="10">
        <f>INT(Cardiac_Table[[#This Row],[Procedure Start Date and Time]])</f>
        <v>44098</v>
      </c>
      <c r="G915" s="12">
        <f>MOD(Cardiac_Table[[#This Row],[Procedure Start Date and Time]],1)</f>
        <v>0.57499999999708962</v>
      </c>
      <c r="H915">
        <v>3</v>
      </c>
      <c r="I915" t="s">
        <v>4</v>
      </c>
      <c r="J915" t="s">
        <v>10</v>
      </c>
      <c r="K915" t="s">
        <v>33</v>
      </c>
      <c r="L915">
        <v>51</v>
      </c>
      <c r="M915">
        <v>0.88</v>
      </c>
      <c r="N915">
        <v>0.79</v>
      </c>
      <c r="O915" t="s">
        <v>15</v>
      </c>
      <c r="P915">
        <v>131</v>
      </c>
      <c r="Q915">
        <v>188</v>
      </c>
      <c r="R915">
        <v>109</v>
      </c>
      <c r="S915">
        <v>60</v>
      </c>
      <c r="T915" t="s">
        <v>48</v>
      </c>
      <c r="U915">
        <f>IF(Cardiac_Table[[#This Row],[Patient Status at Discharge]]="Died", 1,0)</f>
        <v>0</v>
      </c>
      <c r="V915">
        <f>Cardiac_Table[[#This Row],[Risk of Death % (Model 1)]]/100</f>
        <v>8.8000000000000005E-3</v>
      </c>
      <c r="W915">
        <f>Cardiac_Table[[#This Row],[Risk of Death % (Model 2)]]/100</f>
        <v>7.9000000000000008E-3</v>
      </c>
      <c r="X915" s="18">
        <f>Cardiac_Table[[#This Row],[Procedure Start Date and Time]]-Cardiac_Table[[#This Row],[Hospital Admit Date ]]</f>
        <v>0.90833333333284827</v>
      </c>
    </row>
    <row r="916" spans="1:24" x14ac:dyDescent="0.35">
      <c r="A916">
        <v>926</v>
      </c>
      <c r="B916" s="9">
        <v>44096.5625</v>
      </c>
      <c r="C916" s="10">
        <f>INT(Cardiac_Table[[#This Row],[Hospital Admit Date ]])</f>
        <v>44096</v>
      </c>
      <c r="D916" s="11" t="str">
        <f t="shared" si="14"/>
        <v>13:30</v>
      </c>
      <c r="E916" s="9">
        <v>44098.593055555553</v>
      </c>
      <c r="F916" s="10">
        <f>INT(Cardiac_Table[[#This Row],[Procedure Start Date and Time]])</f>
        <v>44098</v>
      </c>
      <c r="G916" s="12">
        <f>MOD(Cardiac_Table[[#This Row],[Procedure Start Date and Time]],1)</f>
        <v>0.59305555555329192</v>
      </c>
      <c r="H916">
        <v>2</v>
      </c>
      <c r="I916" t="s">
        <v>6</v>
      </c>
      <c r="J916" t="s">
        <v>10</v>
      </c>
      <c r="K916" t="s">
        <v>31</v>
      </c>
      <c r="L916">
        <v>70</v>
      </c>
      <c r="M916">
        <v>3.09</v>
      </c>
      <c r="N916">
        <v>3.08</v>
      </c>
      <c r="O916" t="s">
        <v>15</v>
      </c>
      <c r="P916">
        <v>79</v>
      </c>
      <c r="Q916">
        <v>178</v>
      </c>
      <c r="R916">
        <v>80</v>
      </c>
      <c r="S916">
        <v>60</v>
      </c>
      <c r="T916" t="s">
        <v>48</v>
      </c>
      <c r="U916">
        <f>IF(Cardiac_Table[[#This Row],[Patient Status at Discharge]]="Died", 1,0)</f>
        <v>0</v>
      </c>
      <c r="V916">
        <f>Cardiac_Table[[#This Row],[Risk of Death % (Model 1)]]/100</f>
        <v>3.0899999999999997E-2</v>
      </c>
      <c r="W916">
        <f>Cardiac_Table[[#This Row],[Risk of Death % (Model 2)]]/100</f>
        <v>3.0800000000000001E-2</v>
      </c>
      <c r="X916" s="18">
        <f>Cardiac_Table[[#This Row],[Procedure Start Date and Time]]-Cardiac_Table[[#This Row],[Hospital Admit Date ]]</f>
        <v>2.0305555555532919</v>
      </c>
    </row>
    <row r="917" spans="1:24" x14ac:dyDescent="0.35">
      <c r="A917">
        <v>927</v>
      </c>
      <c r="B917" s="9">
        <v>44098.289583333331</v>
      </c>
      <c r="C917" s="10">
        <f>INT(Cardiac_Table[[#This Row],[Hospital Admit Date ]])</f>
        <v>44098</v>
      </c>
      <c r="D917" s="11" t="str">
        <f t="shared" si="14"/>
        <v>06:57</v>
      </c>
      <c r="E917" s="9">
        <v>44098.602777777778</v>
      </c>
      <c r="F917" s="10">
        <f>INT(Cardiac_Table[[#This Row],[Procedure Start Date and Time]])</f>
        <v>44098</v>
      </c>
      <c r="G917" s="12">
        <f>MOD(Cardiac_Table[[#This Row],[Procedure Start Date and Time]],1)</f>
        <v>0.60277777777810115</v>
      </c>
      <c r="H917">
        <v>6</v>
      </c>
      <c r="I917" t="s">
        <v>4</v>
      </c>
      <c r="J917" t="s">
        <v>10</v>
      </c>
      <c r="K917" t="s">
        <v>23</v>
      </c>
      <c r="L917">
        <v>73</v>
      </c>
      <c r="M917">
        <v>3.05</v>
      </c>
      <c r="N917">
        <v>0.9</v>
      </c>
      <c r="O917" t="s">
        <v>15</v>
      </c>
      <c r="P917">
        <v>81</v>
      </c>
      <c r="Q917">
        <v>163</v>
      </c>
      <c r="R917">
        <v>67</v>
      </c>
      <c r="S917">
        <v>55</v>
      </c>
      <c r="T917" t="s">
        <v>48</v>
      </c>
      <c r="U917">
        <f>IF(Cardiac_Table[[#This Row],[Patient Status at Discharge]]="Died", 1,0)</f>
        <v>0</v>
      </c>
      <c r="V917">
        <f>Cardiac_Table[[#This Row],[Risk of Death % (Model 1)]]/100</f>
        <v>3.0499999999999999E-2</v>
      </c>
      <c r="W917">
        <f>Cardiac_Table[[#This Row],[Risk of Death % (Model 2)]]/100</f>
        <v>9.0000000000000011E-3</v>
      </c>
      <c r="X917" s="18">
        <f>Cardiac_Table[[#This Row],[Procedure Start Date and Time]]-Cardiac_Table[[#This Row],[Hospital Admit Date ]]</f>
        <v>0.31319444444670808</v>
      </c>
    </row>
    <row r="918" spans="1:24" x14ac:dyDescent="0.35">
      <c r="A918">
        <v>928</v>
      </c>
      <c r="B918" s="9">
        <v>44098.646527777775</v>
      </c>
      <c r="C918" s="10">
        <f>INT(Cardiac_Table[[#This Row],[Hospital Admit Date ]])</f>
        <v>44098</v>
      </c>
      <c r="D918" s="11" t="str">
        <f t="shared" si="14"/>
        <v>15:31</v>
      </c>
      <c r="E918" s="9">
        <v>44099.339583333334</v>
      </c>
      <c r="F918" s="10">
        <f>INT(Cardiac_Table[[#This Row],[Procedure Start Date and Time]])</f>
        <v>44099</v>
      </c>
      <c r="G918" s="12">
        <f>MOD(Cardiac_Table[[#This Row],[Procedure Start Date and Time]],1)</f>
        <v>0.33958333333430346</v>
      </c>
      <c r="H918">
        <v>2</v>
      </c>
      <c r="I918" t="s">
        <v>4</v>
      </c>
      <c r="J918" t="s">
        <v>3</v>
      </c>
      <c r="K918" t="s">
        <v>35</v>
      </c>
      <c r="L918">
        <v>77</v>
      </c>
      <c r="M918">
        <v>6.59</v>
      </c>
      <c r="N918">
        <v>1.01</v>
      </c>
      <c r="O918" t="s">
        <v>15</v>
      </c>
      <c r="P918">
        <v>103</v>
      </c>
      <c r="Q918">
        <v>164</v>
      </c>
      <c r="R918">
        <v>70</v>
      </c>
      <c r="S918">
        <v>65</v>
      </c>
      <c r="T918" t="s">
        <v>48</v>
      </c>
      <c r="U918">
        <f>IF(Cardiac_Table[[#This Row],[Patient Status at Discharge]]="Died", 1,0)</f>
        <v>0</v>
      </c>
      <c r="V918">
        <f>Cardiac_Table[[#This Row],[Risk of Death % (Model 1)]]/100</f>
        <v>6.59E-2</v>
      </c>
      <c r="W918">
        <f>Cardiac_Table[[#This Row],[Risk of Death % (Model 2)]]/100</f>
        <v>1.01E-2</v>
      </c>
      <c r="X918" s="18">
        <f>Cardiac_Table[[#This Row],[Procedure Start Date and Time]]-Cardiac_Table[[#This Row],[Hospital Admit Date ]]</f>
        <v>0.69305555555911269</v>
      </c>
    </row>
    <row r="919" spans="1:24" x14ac:dyDescent="0.35">
      <c r="A919">
        <v>929</v>
      </c>
      <c r="B919" s="9">
        <v>44097.643055555556</v>
      </c>
      <c r="C919" s="10">
        <f>INT(Cardiac_Table[[#This Row],[Hospital Admit Date ]])</f>
        <v>44097</v>
      </c>
      <c r="D919" s="11" t="str">
        <f t="shared" si="14"/>
        <v>15:26</v>
      </c>
      <c r="E919" s="9">
        <v>44099.341666666667</v>
      </c>
      <c r="F919" s="10">
        <f>INT(Cardiac_Table[[#This Row],[Procedure Start Date and Time]])</f>
        <v>44099</v>
      </c>
      <c r="G919" s="12">
        <f>MOD(Cardiac_Table[[#This Row],[Procedure Start Date and Time]],1)</f>
        <v>0.34166666666715173</v>
      </c>
      <c r="H919">
        <v>6</v>
      </c>
      <c r="I919" t="s">
        <v>4</v>
      </c>
      <c r="J919" t="s">
        <v>3</v>
      </c>
      <c r="K919" t="s">
        <v>27</v>
      </c>
      <c r="L919">
        <v>78</v>
      </c>
      <c r="M919">
        <v>5.14</v>
      </c>
      <c r="N919">
        <v>1.51</v>
      </c>
      <c r="O919" t="s">
        <v>15</v>
      </c>
      <c r="P919">
        <v>112</v>
      </c>
      <c r="Q919">
        <v>167</v>
      </c>
      <c r="R919">
        <v>100</v>
      </c>
      <c r="S919">
        <v>39</v>
      </c>
      <c r="T919" t="s">
        <v>50</v>
      </c>
      <c r="U919">
        <f>IF(Cardiac_Table[[#This Row],[Patient Status at Discharge]]="Died", 1,0)</f>
        <v>0</v>
      </c>
      <c r="V919">
        <f>Cardiac_Table[[#This Row],[Risk of Death % (Model 1)]]/100</f>
        <v>5.1399999999999994E-2</v>
      </c>
      <c r="W919">
        <f>Cardiac_Table[[#This Row],[Risk of Death % (Model 2)]]/100</f>
        <v>1.5100000000000001E-2</v>
      </c>
      <c r="X919" s="18">
        <f>Cardiac_Table[[#This Row],[Procedure Start Date and Time]]-Cardiac_Table[[#This Row],[Hospital Admit Date ]]</f>
        <v>1.6986111111109494</v>
      </c>
    </row>
    <row r="920" spans="1:24" x14ac:dyDescent="0.35">
      <c r="A920">
        <v>930</v>
      </c>
      <c r="B920" s="9">
        <v>44095.583333333336</v>
      </c>
      <c r="C920" s="10">
        <f>INT(Cardiac_Table[[#This Row],[Hospital Admit Date ]])</f>
        <v>44095</v>
      </c>
      <c r="D920" s="11" t="str">
        <f t="shared" si="14"/>
        <v>14:00</v>
      </c>
      <c r="E920" s="9">
        <v>44099.343055555553</v>
      </c>
      <c r="F920" s="10">
        <f>INT(Cardiac_Table[[#This Row],[Procedure Start Date and Time]])</f>
        <v>44099</v>
      </c>
      <c r="G920" s="12">
        <f>MOD(Cardiac_Table[[#This Row],[Procedure Start Date and Time]],1)</f>
        <v>0.34305555555329192</v>
      </c>
      <c r="H920">
        <v>4</v>
      </c>
      <c r="I920" t="s">
        <v>6</v>
      </c>
      <c r="J920" t="s">
        <v>10</v>
      </c>
      <c r="K920" t="s">
        <v>24</v>
      </c>
      <c r="L920">
        <v>61</v>
      </c>
      <c r="M920">
        <v>3</v>
      </c>
      <c r="N920">
        <v>1.17</v>
      </c>
      <c r="O920" t="s">
        <v>15</v>
      </c>
      <c r="P920">
        <v>85</v>
      </c>
      <c r="Q920">
        <v>175</v>
      </c>
      <c r="R920">
        <v>81</v>
      </c>
      <c r="S920">
        <v>50</v>
      </c>
      <c r="T920" t="s">
        <v>50</v>
      </c>
      <c r="U920">
        <f>IF(Cardiac_Table[[#This Row],[Patient Status at Discharge]]="Died", 1,0)</f>
        <v>0</v>
      </c>
      <c r="V920">
        <f>Cardiac_Table[[#This Row],[Risk of Death % (Model 1)]]/100</f>
        <v>0.03</v>
      </c>
      <c r="W920">
        <f>Cardiac_Table[[#This Row],[Risk of Death % (Model 2)]]/100</f>
        <v>1.1699999999999999E-2</v>
      </c>
      <c r="X920" s="18">
        <f>Cardiac_Table[[#This Row],[Procedure Start Date and Time]]-Cardiac_Table[[#This Row],[Hospital Admit Date ]]</f>
        <v>3.7597222222175333</v>
      </c>
    </row>
    <row r="921" spans="1:24" x14ac:dyDescent="0.35">
      <c r="A921">
        <v>931</v>
      </c>
      <c r="B921" s="9">
        <v>44098.666666666664</v>
      </c>
      <c r="C921" s="10">
        <f>INT(Cardiac_Table[[#This Row],[Hospital Admit Date ]])</f>
        <v>44098</v>
      </c>
      <c r="D921" s="11" t="str">
        <f t="shared" si="14"/>
        <v>16:00</v>
      </c>
      <c r="E921" s="9">
        <v>44099.34652777778</v>
      </c>
      <c r="F921" s="10">
        <f>INT(Cardiac_Table[[#This Row],[Procedure Start Date and Time]])</f>
        <v>44099</v>
      </c>
      <c r="G921" s="12">
        <f>MOD(Cardiac_Table[[#This Row],[Procedure Start Date and Time]],1)</f>
        <v>0.34652777777955635</v>
      </c>
      <c r="H921">
        <v>5</v>
      </c>
      <c r="I921" t="s">
        <v>4</v>
      </c>
      <c r="J921" t="s">
        <v>1</v>
      </c>
      <c r="K921" t="s">
        <v>21</v>
      </c>
      <c r="L921">
        <v>77</v>
      </c>
      <c r="M921">
        <v>13.92</v>
      </c>
      <c r="N921">
        <v>2.93</v>
      </c>
      <c r="O921" t="s">
        <v>15</v>
      </c>
      <c r="P921">
        <v>193</v>
      </c>
      <c r="Q921">
        <v>145</v>
      </c>
      <c r="R921">
        <v>45</v>
      </c>
      <c r="S921">
        <v>55</v>
      </c>
      <c r="T921" t="s">
        <v>48</v>
      </c>
      <c r="U921">
        <f>IF(Cardiac_Table[[#This Row],[Patient Status at Discharge]]="Died", 1,0)</f>
        <v>0</v>
      </c>
      <c r="V921">
        <f>Cardiac_Table[[#This Row],[Risk of Death % (Model 1)]]/100</f>
        <v>0.13919999999999999</v>
      </c>
      <c r="W921">
        <f>Cardiac_Table[[#This Row],[Risk of Death % (Model 2)]]/100</f>
        <v>2.9300000000000003E-2</v>
      </c>
      <c r="X921" s="18">
        <f>Cardiac_Table[[#This Row],[Procedure Start Date and Time]]-Cardiac_Table[[#This Row],[Hospital Admit Date ]]</f>
        <v>0.679861111115315</v>
      </c>
    </row>
    <row r="922" spans="1:24" x14ac:dyDescent="0.35">
      <c r="A922">
        <v>932</v>
      </c>
      <c r="B922" s="9">
        <v>44095.583333333336</v>
      </c>
      <c r="C922" s="10">
        <f>INT(Cardiac_Table[[#This Row],[Hospital Admit Date ]])</f>
        <v>44095</v>
      </c>
      <c r="D922" s="11" t="str">
        <f t="shared" si="14"/>
        <v>14:00</v>
      </c>
      <c r="E922" s="9">
        <v>44099.574999999997</v>
      </c>
      <c r="F922" s="10">
        <f>INT(Cardiac_Table[[#This Row],[Procedure Start Date and Time]])</f>
        <v>44099</v>
      </c>
      <c r="G922" s="12">
        <f>MOD(Cardiac_Table[[#This Row],[Procedure Start Date and Time]],1)</f>
        <v>0.57499999999708962</v>
      </c>
      <c r="H922">
        <v>6</v>
      </c>
      <c r="I922" t="s">
        <v>4</v>
      </c>
      <c r="J922" t="s">
        <v>3</v>
      </c>
      <c r="K922" t="s">
        <v>27</v>
      </c>
      <c r="L922">
        <v>78</v>
      </c>
      <c r="M922">
        <v>8.15</v>
      </c>
      <c r="N922">
        <v>2.6</v>
      </c>
      <c r="O922" t="s">
        <v>15</v>
      </c>
      <c r="P922">
        <v>77</v>
      </c>
      <c r="Q922">
        <v>163</v>
      </c>
      <c r="R922">
        <v>75</v>
      </c>
      <c r="S922">
        <v>53</v>
      </c>
      <c r="T922" t="s">
        <v>48</v>
      </c>
      <c r="U922">
        <f>IF(Cardiac_Table[[#This Row],[Patient Status at Discharge]]="Died", 1,0)</f>
        <v>0</v>
      </c>
      <c r="V922">
        <f>Cardiac_Table[[#This Row],[Risk of Death % (Model 1)]]/100</f>
        <v>8.1500000000000003E-2</v>
      </c>
      <c r="W922">
        <f>Cardiac_Table[[#This Row],[Risk of Death % (Model 2)]]/100</f>
        <v>2.6000000000000002E-2</v>
      </c>
      <c r="X922" s="18">
        <f>Cardiac_Table[[#This Row],[Procedure Start Date and Time]]-Cardiac_Table[[#This Row],[Hospital Admit Date ]]</f>
        <v>3.991666666661331</v>
      </c>
    </row>
    <row r="923" spans="1:24" x14ac:dyDescent="0.35">
      <c r="A923">
        <v>933</v>
      </c>
      <c r="B923" s="9">
        <v>44099.3</v>
      </c>
      <c r="C923" s="10">
        <f>INT(Cardiac_Table[[#This Row],[Hospital Admit Date ]])</f>
        <v>44099</v>
      </c>
      <c r="D923" s="11" t="str">
        <f t="shared" si="14"/>
        <v>07:12</v>
      </c>
      <c r="E923" s="9">
        <v>44099.577777777777</v>
      </c>
      <c r="F923" s="10">
        <f>INT(Cardiac_Table[[#This Row],[Procedure Start Date and Time]])</f>
        <v>44099</v>
      </c>
      <c r="G923" s="12">
        <f>MOD(Cardiac_Table[[#This Row],[Procedure Start Date and Time]],1)</f>
        <v>0.57777777777664596</v>
      </c>
      <c r="H923">
        <v>2</v>
      </c>
      <c r="I923" t="s">
        <v>4</v>
      </c>
      <c r="J923" t="s">
        <v>3</v>
      </c>
      <c r="K923" t="s">
        <v>35</v>
      </c>
      <c r="L923">
        <v>79</v>
      </c>
      <c r="M923">
        <v>5.48</v>
      </c>
      <c r="N923">
        <v>0.86</v>
      </c>
      <c r="O923" t="s">
        <v>15</v>
      </c>
      <c r="P923">
        <v>90</v>
      </c>
      <c r="Q923">
        <v>176</v>
      </c>
      <c r="R923">
        <v>60</v>
      </c>
      <c r="S923">
        <v>50</v>
      </c>
      <c r="T923" t="s">
        <v>50</v>
      </c>
      <c r="U923">
        <f>IF(Cardiac_Table[[#This Row],[Patient Status at Discharge]]="Died", 1,0)</f>
        <v>0</v>
      </c>
      <c r="V923">
        <f>Cardiac_Table[[#This Row],[Risk of Death % (Model 1)]]/100</f>
        <v>5.4800000000000001E-2</v>
      </c>
      <c r="W923">
        <f>Cardiac_Table[[#This Row],[Risk of Death % (Model 2)]]/100</f>
        <v>8.6E-3</v>
      </c>
      <c r="X923" s="18">
        <f>Cardiac_Table[[#This Row],[Procedure Start Date and Time]]-Cardiac_Table[[#This Row],[Hospital Admit Date ]]</f>
        <v>0.27777777777373558</v>
      </c>
    </row>
    <row r="924" spans="1:24" x14ac:dyDescent="0.35">
      <c r="A924">
        <v>934</v>
      </c>
      <c r="B924" s="9">
        <v>44099.754861111112</v>
      </c>
      <c r="C924" s="10">
        <f>INT(Cardiac_Table[[#This Row],[Hospital Admit Date ]])</f>
        <v>44099</v>
      </c>
      <c r="D924" s="11" t="str">
        <f t="shared" si="14"/>
        <v>18:07</v>
      </c>
      <c r="E924" s="9">
        <v>44099.828472222223</v>
      </c>
      <c r="F924" s="10">
        <f>INT(Cardiac_Table[[#This Row],[Procedure Start Date and Time]])</f>
        <v>44099</v>
      </c>
      <c r="G924" s="12">
        <f>MOD(Cardiac_Table[[#This Row],[Procedure Start Date and Time]],1)</f>
        <v>0.82847222222335404</v>
      </c>
      <c r="H924">
        <v>1</v>
      </c>
      <c r="I924" t="s">
        <v>2</v>
      </c>
      <c r="J924" t="s">
        <v>1</v>
      </c>
      <c r="K924" t="s">
        <v>33</v>
      </c>
      <c r="L924">
        <v>49</v>
      </c>
      <c r="M924">
        <v>16.079999999999998</v>
      </c>
      <c r="N924">
        <v>3.24</v>
      </c>
      <c r="O924" t="s">
        <v>15</v>
      </c>
      <c r="P924">
        <v>105</v>
      </c>
      <c r="Q924">
        <v>158</v>
      </c>
      <c r="R924">
        <v>63</v>
      </c>
      <c r="S924">
        <v>60</v>
      </c>
      <c r="T924" t="s">
        <v>48</v>
      </c>
      <c r="U924">
        <f>IF(Cardiac_Table[[#This Row],[Patient Status at Discharge]]="Died", 1,0)</f>
        <v>0</v>
      </c>
      <c r="V924">
        <f>Cardiac_Table[[#This Row],[Risk of Death % (Model 1)]]/100</f>
        <v>0.16079999999999997</v>
      </c>
      <c r="W924">
        <f>Cardiac_Table[[#This Row],[Risk of Death % (Model 2)]]/100</f>
        <v>3.2400000000000005E-2</v>
      </c>
      <c r="X924" s="18">
        <f>Cardiac_Table[[#This Row],[Procedure Start Date and Time]]-Cardiac_Table[[#This Row],[Hospital Admit Date ]]</f>
        <v>7.3611111110949423E-2</v>
      </c>
    </row>
    <row r="925" spans="1:24" x14ac:dyDescent="0.35">
      <c r="A925">
        <v>935</v>
      </c>
      <c r="B925" s="9">
        <v>44099.582638888889</v>
      </c>
      <c r="C925" s="10">
        <f>INT(Cardiac_Table[[#This Row],[Hospital Admit Date ]])</f>
        <v>44099</v>
      </c>
      <c r="D925" s="11" t="str">
        <f t="shared" si="14"/>
        <v>13:59</v>
      </c>
      <c r="E925" s="9">
        <v>44100.326388888891</v>
      </c>
      <c r="F925" s="10">
        <f>INT(Cardiac_Table[[#This Row],[Procedure Start Date and Time]])</f>
        <v>44100</v>
      </c>
      <c r="G925" s="12">
        <f>MOD(Cardiac_Table[[#This Row],[Procedure Start Date and Time]],1)</f>
        <v>0.32638888889050577</v>
      </c>
      <c r="H925">
        <v>5</v>
      </c>
      <c r="I925" t="s">
        <v>4</v>
      </c>
      <c r="J925" t="s">
        <v>11</v>
      </c>
      <c r="K925" t="s">
        <v>35</v>
      </c>
      <c r="L925">
        <v>68</v>
      </c>
      <c r="M925">
        <v>2.71</v>
      </c>
      <c r="N925">
        <v>1.46</v>
      </c>
      <c r="O925" t="s">
        <v>15</v>
      </c>
      <c r="P925">
        <v>95</v>
      </c>
      <c r="Q925">
        <v>168</v>
      </c>
      <c r="R925">
        <v>65</v>
      </c>
      <c r="S925">
        <v>46</v>
      </c>
      <c r="T925" t="s">
        <v>50</v>
      </c>
      <c r="U925">
        <f>IF(Cardiac_Table[[#This Row],[Patient Status at Discharge]]="Died", 1,0)</f>
        <v>0</v>
      </c>
      <c r="V925">
        <f>Cardiac_Table[[#This Row],[Risk of Death % (Model 1)]]/100</f>
        <v>2.7099999999999999E-2</v>
      </c>
      <c r="W925">
        <f>Cardiac_Table[[#This Row],[Risk of Death % (Model 2)]]/100</f>
        <v>1.46E-2</v>
      </c>
      <c r="X925" s="18">
        <f>Cardiac_Table[[#This Row],[Procedure Start Date and Time]]-Cardiac_Table[[#This Row],[Hospital Admit Date ]]</f>
        <v>0.74375000000145519</v>
      </c>
    </row>
    <row r="926" spans="1:24" x14ac:dyDescent="0.35">
      <c r="A926">
        <v>936</v>
      </c>
      <c r="B926" s="9">
        <v>44099.631944444445</v>
      </c>
      <c r="C926" s="10">
        <f>INT(Cardiac_Table[[#This Row],[Hospital Admit Date ]])</f>
        <v>44099</v>
      </c>
      <c r="D926" s="11" t="str">
        <f t="shared" si="14"/>
        <v>15:10</v>
      </c>
      <c r="E926" s="9">
        <v>44100.327777777777</v>
      </c>
      <c r="F926" s="10">
        <f>INT(Cardiac_Table[[#This Row],[Procedure Start Date and Time]])</f>
        <v>44100</v>
      </c>
      <c r="G926" s="12">
        <f>MOD(Cardiac_Table[[#This Row],[Procedure Start Date and Time]],1)</f>
        <v>0.32777777777664596</v>
      </c>
      <c r="H926">
        <v>4</v>
      </c>
      <c r="I926" t="s">
        <v>4</v>
      </c>
      <c r="J926" t="s">
        <v>11</v>
      </c>
      <c r="K926" t="s">
        <v>31</v>
      </c>
      <c r="L926">
        <v>64</v>
      </c>
      <c r="M926">
        <v>2.09</v>
      </c>
      <c r="N926">
        <v>1.07</v>
      </c>
      <c r="O926" t="s">
        <v>15</v>
      </c>
      <c r="P926">
        <v>67</v>
      </c>
      <c r="Q926">
        <v>182</v>
      </c>
      <c r="R926">
        <v>85</v>
      </c>
      <c r="S926">
        <v>55</v>
      </c>
      <c r="T926" t="s">
        <v>48</v>
      </c>
      <c r="U926">
        <f>IF(Cardiac_Table[[#This Row],[Patient Status at Discharge]]="Died", 1,0)</f>
        <v>0</v>
      </c>
      <c r="V926">
        <f>Cardiac_Table[[#This Row],[Risk of Death % (Model 1)]]/100</f>
        <v>2.0899999999999998E-2</v>
      </c>
      <c r="W926">
        <f>Cardiac_Table[[#This Row],[Risk of Death % (Model 2)]]/100</f>
        <v>1.0700000000000001E-2</v>
      </c>
      <c r="X926" s="18">
        <f>Cardiac_Table[[#This Row],[Procedure Start Date and Time]]-Cardiac_Table[[#This Row],[Hospital Admit Date ]]</f>
        <v>0.69583333333139308</v>
      </c>
    </row>
    <row r="927" spans="1:24" x14ac:dyDescent="0.35">
      <c r="A927">
        <v>937</v>
      </c>
      <c r="B927" s="9">
        <v>44099.666666666664</v>
      </c>
      <c r="C927" s="10">
        <f>INT(Cardiac_Table[[#This Row],[Hospital Admit Date ]])</f>
        <v>44099</v>
      </c>
      <c r="D927" s="11" t="str">
        <f t="shared" si="14"/>
        <v>16:00</v>
      </c>
      <c r="E927" s="9">
        <v>44100.526388888888</v>
      </c>
      <c r="F927" s="10">
        <f>INT(Cardiac_Table[[#This Row],[Procedure Start Date and Time]])</f>
        <v>44100</v>
      </c>
      <c r="G927" s="12">
        <f>MOD(Cardiac_Table[[#This Row],[Procedure Start Date and Time]],1)</f>
        <v>0.52638888888759539</v>
      </c>
      <c r="H927">
        <v>4</v>
      </c>
      <c r="I927" t="s">
        <v>4</v>
      </c>
      <c r="J927" t="s">
        <v>10</v>
      </c>
      <c r="K927" t="s">
        <v>31</v>
      </c>
      <c r="L927">
        <v>58</v>
      </c>
      <c r="M927">
        <v>1.43</v>
      </c>
      <c r="N927">
        <v>0.67</v>
      </c>
      <c r="O927" t="s">
        <v>15</v>
      </c>
      <c r="P927">
        <v>71</v>
      </c>
      <c r="Q927">
        <v>170</v>
      </c>
      <c r="R927">
        <v>76</v>
      </c>
      <c r="S927">
        <v>47</v>
      </c>
      <c r="T927" t="s">
        <v>50</v>
      </c>
      <c r="U927">
        <f>IF(Cardiac_Table[[#This Row],[Patient Status at Discharge]]="Died", 1,0)</f>
        <v>0</v>
      </c>
      <c r="V927">
        <f>Cardiac_Table[[#This Row],[Risk of Death % (Model 1)]]/100</f>
        <v>1.43E-2</v>
      </c>
      <c r="W927">
        <f>Cardiac_Table[[#This Row],[Risk of Death % (Model 2)]]/100</f>
        <v>6.7000000000000002E-3</v>
      </c>
      <c r="X927" s="18">
        <f>Cardiac_Table[[#This Row],[Procedure Start Date and Time]]-Cardiac_Table[[#This Row],[Hospital Admit Date ]]</f>
        <v>0.85972222222335404</v>
      </c>
    </row>
    <row r="928" spans="1:24" x14ac:dyDescent="0.35">
      <c r="A928">
        <v>938</v>
      </c>
      <c r="B928" s="9">
        <v>44099.570833333331</v>
      </c>
      <c r="C928" s="10">
        <f>INT(Cardiac_Table[[#This Row],[Hospital Admit Date ]])</f>
        <v>44099</v>
      </c>
      <c r="D928" s="11" t="str">
        <f t="shared" si="14"/>
        <v>13:42</v>
      </c>
      <c r="E928" s="9">
        <v>44100.569444444445</v>
      </c>
      <c r="F928" s="10">
        <f>INT(Cardiac_Table[[#This Row],[Procedure Start Date and Time]])</f>
        <v>44100</v>
      </c>
      <c r="G928" s="12">
        <f>MOD(Cardiac_Table[[#This Row],[Procedure Start Date and Time]],1)</f>
        <v>0.56944444444525288</v>
      </c>
      <c r="H928">
        <v>5</v>
      </c>
      <c r="I928" t="s">
        <v>4</v>
      </c>
      <c r="J928" t="s">
        <v>3</v>
      </c>
      <c r="K928" t="s">
        <v>35</v>
      </c>
      <c r="L928">
        <v>80</v>
      </c>
      <c r="M928">
        <v>8.61</v>
      </c>
      <c r="N928">
        <v>1.34</v>
      </c>
      <c r="O928" t="s">
        <v>15</v>
      </c>
      <c r="P928">
        <v>75</v>
      </c>
      <c r="Q928">
        <v>159</v>
      </c>
      <c r="R928">
        <v>65</v>
      </c>
      <c r="S928">
        <v>20</v>
      </c>
      <c r="T928" t="s">
        <v>51</v>
      </c>
      <c r="U928">
        <f>IF(Cardiac_Table[[#This Row],[Patient Status at Discharge]]="Died", 1,0)</f>
        <v>0</v>
      </c>
      <c r="V928">
        <f>Cardiac_Table[[#This Row],[Risk of Death % (Model 1)]]/100</f>
        <v>8.6099999999999996E-2</v>
      </c>
      <c r="W928">
        <f>Cardiac_Table[[#This Row],[Risk of Death % (Model 2)]]/100</f>
        <v>1.34E-2</v>
      </c>
      <c r="X928" s="18">
        <f>Cardiac_Table[[#This Row],[Procedure Start Date and Time]]-Cardiac_Table[[#This Row],[Hospital Admit Date ]]</f>
        <v>0.99861111111385981</v>
      </c>
    </row>
    <row r="929" spans="1:24" x14ac:dyDescent="0.35">
      <c r="A929">
        <v>939</v>
      </c>
      <c r="B929" s="9">
        <v>44099.731249999997</v>
      </c>
      <c r="C929" s="10">
        <f>INT(Cardiac_Table[[#This Row],[Hospital Admit Date ]])</f>
        <v>44099</v>
      </c>
      <c r="D929" s="11" t="str">
        <f t="shared" si="14"/>
        <v>17:33</v>
      </c>
      <c r="E929" s="9">
        <v>44100.770833333336</v>
      </c>
      <c r="F929" s="10">
        <f>INT(Cardiac_Table[[#This Row],[Procedure Start Date and Time]])</f>
        <v>44100</v>
      </c>
      <c r="G929" s="12">
        <f>MOD(Cardiac_Table[[#This Row],[Procedure Start Date and Time]],1)</f>
        <v>0.77083333333575865</v>
      </c>
      <c r="H929">
        <v>2</v>
      </c>
      <c r="I929" t="s">
        <v>2</v>
      </c>
      <c r="J929" t="s">
        <v>3</v>
      </c>
      <c r="K929" t="s">
        <v>35</v>
      </c>
      <c r="L929">
        <v>25</v>
      </c>
      <c r="M929">
        <v>8.57</v>
      </c>
      <c r="N929">
        <v>3.21</v>
      </c>
      <c r="O929" t="s">
        <v>15</v>
      </c>
      <c r="P929">
        <v>70</v>
      </c>
      <c r="Q929">
        <v>173</v>
      </c>
      <c r="R929">
        <v>64</v>
      </c>
      <c r="S929">
        <v>44</v>
      </c>
      <c r="T929" t="s">
        <v>50</v>
      </c>
      <c r="U929">
        <f>IF(Cardiac_Table[[#This Row],[Patient Status at Discharge]]="Died", 1,0)</f>
        <v>0</v>
      </c>
      <c r="V929">
        <f>Cardiac_Table[[#This Row],[Risk of Death % (Model 1)]]/100</f>
        <v>8.5699999999999998E-2</v>
      </c>
      <c r="W929">
        <f>Cardiac_Table[[#This Row],[Risk of Death % (Model 2)]]/100</f>
        <v>3.2099999999999997E-2</v>
      </c>
      <c r="X929" s="18">
        <f>Cardiac_Table[[#This Row],[Procedure Start Date and Time]]-Cardiac_Table[[#This Row],[Hospital Admit Date ]]</f>
        <v>1.039583333338669</v>
      </c>
    </row>
    <row r="930" spans="1:24" x14ac:dyDescent="0.35">
      <c r="A930">
        <v>940</v>
      </c>
      <c r="B930" s="9">
        <v>44101.65347222222</v>
      </c>
      <c r="C930" s="10">
        <f>INT(Cardiac_Table[[#This Row],[Hospital Admit Date ]])</f>
        <v>44101</v>
      </c>
      <c r="D930" s="11" t="str">
        <f t="shared" si="14"/>
        <v>15:41</v>
      </c>
      <c r="E930" s="9">
        <v>44102.336805555555</v>
      </c>
      <c r="F930" s="10">
        <f>INT(Cardiac_Table[[#This Row],[Procedure Start Date and Time]])</f>
        <v>44102</v>
      </c>
      <c r="G930" s="12">
        <f>MOD(Cardiac_Table[[#This Row],[Procedure Start Date and Time]],1)</f>
        <v>0.33680555555474712</v>
      </c>
      <c r="H930">
        <v>5</v>
      </c>
      <c r="I930" t="s">
        <v>4</v>
      </c>
      <c r="J930" t="s">
        <v>11</v>
      </c>
      <c r="K930" t="s">
        <v>29</v>
      </c>
      <c r="L930">
        <v>73</v>
      </c>
      <c r="M930">
        <v>9.43</v>
      </c>
      <c r="N930">
        <v>4.8899999999999997</v>
      </c>
      <c r="O930" t="s">
        <v>15</v>
      </c>
      <c r="P930">
        <v>146</v>
      </c>
      <c r="Q930">
        <v>163</v>
      </c>
      <c r="R930">
        <v>67</v>
      </c>
      <c r="S930">
        <v>65</v>
      </c>
      <c r="T930" t="s">
        <v>48</v>
      </c>
      <c r="U930">
        <f>IF(Cardiac_Table[[#This Row],[Patient Status at Discharge]]="Died", 1,0)</f>
        <v>0</v>
      </c>
      <c r="V930">
        <f>Cardiac_Table[[#This Row],[Risk of Death % (Model 1)]]/100</f>
        <v>9.4299999999999995E-2</v>
      </c>
      <c r="W930">
        <f>Cardiac_Table[[#This Row],[Risk of Death % (Model 2)]]/100</f>
        <v>4.8899999999999999E-2</v>
      </c>
      <c r="X930" s="18">
        <f>Cardiac_Table[[#This Row],[Procedure Start Date and Time]]-Cardiac_Table[[#This Row],[Hospital Admit Date ]]</f>
        <v>0.68333333333430346</v>
      </c>
    </row>
    <row r="931" spans="1:24" x14ac:dyDescent="0.35">
      <c r="A931">
        <v>941</v>
      </c>
      <c r="B931" s="9">
        <v>44101.666666666664</v>
      </c>
      <c r="C931" s="10">
        <f>INT(Cardiac_Table[[#This Row],[Hospital Admit Date ]])</f>
        <v>44101</v>
      </c>
      <c r="D931" s="11" t="str">
        <f t="shared" si="14"/>
        <v>16:00</v>
      </c>
      <c r="E931" s="9">
        <v>44102.338194444441</v>
      </c>
      <c r="F931" s="10">
        <f>INT(Cardiac_Table[[#This Row],[Procedure Start Date and Time]])</f>
        <v>44102</v>
      </c>
      <c r="G931" s="12">
        <f>MOD(Cardiac_Table[[#This Row],[Procedure Start Date and Time]],1)</f>
        <v>0.33819444444088731</v>
      </c>
      <c r="H931">
        <v>6</v>
      </c>
      <c r="I931" t="s">
        <v>4</v>
      </c>
      <c r="J931" t="s">
        <v>1</v>
      </c>
      <c r="K931" t="s">
        <v>23</v>
      </c>
      <c r="L931">
        <v>69</v>
      </c>
      <c r="M931">
        <v>2.35</v>
      </c>
      <c r="N931">
        <v>1.45</v>
      </c>
      <c r="O931" t="s">
        <v>15</v>
      </c>
      <c r="P931">
        <v>147</v>
      </c>
      <c r="Q931">
        <v>172</v>
      </c>
      <c r="R931">
        <v>91</v>
      </c>
      <c r="S931">
        <v>60</v>
      </c>
      <c r="T931" t="s">
        <v>48</v>
      </c>
      <c r="U931">
        <f>IF(Cardiac_Table[[#This Row],[Patient Status at Discharge]]="Died", 1,0)</f>
        <v>0</v>
      </c>
      <c r="V931">
        <f>Cardiac_Table[[#This Row],[Risk of Death % (Model 1)]]/100</f>
        <v>2.35E-2</v>
      </c>
      <c r="W931">
        <f>Cardiac_Table[[#This Row],[Risk of Death % (Model 2)]]/100</f>
        <v>1.4499999999999999E-2</v>
      </c>
      <c r="X931" s="18">
        <f>Cardiac_Table[[#This Row],[Procedure Start Date and Time]]-Cardiac_Table[[#This Row],[Hospital Admit Date ]]</f>
        <v>0.67152777777664596</v>
      </c>
    </row>
    <row r="932" spans="1:24" x14ac:dyDescent="0.35">
      <c r="A932">
        <v>942</v>
      </c>
      <c r="B932" s="9">
        <v>44101.666666666664</v>
      </c>
      <c r="C932" s="10">
        <f>INT(Cardiac_Table[[#This Row],[Hospital Admit Date ]])</f>
        <v>44101</v>
      </c>
      <c r="D932" s="11" t="str">
        <f t="shared" si="14"/>
        <v>16:00</v>
      </c>
      <c r="E932" s="9">
        <v>44102.340277777781</v>
      </c>
      <c r="F932" s="10">
        <f>INT(Cardiac_Table[[#This Row],[Procedure Start Date and Time]])</f>
        <v>44102</v>
      </c>
      <c r="G932" s="12">
        <f>MOD(Cardiac_Table[[#This Row],[Procedure Start Date and Time]],1)</f>
        <v>0.34027777778101154</v>
      </c>
      <c r="H932">
        <v>4</v>
      </c>
      <c r="I932" t="s">
        <v>4</v>
      </c>
      <c r="J932" t="s">
        <v>3</v>
      </c>
      <c r="K932" t="s">
        <v>33</v>
      </c>
      <c r="L932">
        <v>42</v>
      </c>
      <c r="M932">
        <v>2.27</v>
      </c>
      <c r="N932">
        <v>0.76</v>
      </c>
      <c r="O932" t="s">
        <v>15</v>
      </c>
      <c r="P932">
        <v>113</v>
      </c>
      <c r="Q932">
        <v>177</v>
      </c>
      <c r="R932">
        <v>83</v>
      </c>
      <c r="S932">
        <v>40</v>
      </c>
      <c r="T932" t="s">
        <v>50</v>
      </c>
      <c r="U932">
        <f>IF(Cardiac_Table[[#This Row],[Patient Status at Discharge]]="Died", 1,0)</f>
        <v>0</v>
      </c>
      <c r="V932">
        <f>Cardiac_Table[[#This Row],[Risk of Death % (Model 1)]]/100</f>
        <v>2.2700000000000001E-2</v>
      </c>
      <c r="W932">
        <f>Cardiac_Table[[#This Row],[Risk of Death % (Model 2)]]/100</f>
        <v>7.6E-3</v>
      </c>
      <c r="X932" s="18">
        <f>Cardiac_Table[[#This Row],[Procedure Start Date and Time]]-Cardiac_Table[[#This Row],[Hospital Admit Date ]]</f>
        <v>0.67361111111677019</v>
      </c>
    </row>
    <row r="933" spans="1:24" x14ac:dyDescent="0.35">
      <c r="A933">
        <v>943</v>
      </c>
      <c r="B933" s="9">
        <v>44101.666666666664</v>
      </c>
      <c r="C933" s="10">
        <f>INT(Cardiac_Table[[#This Row],[Hospital Admit Date ]])</f>
        <v>44101</v>
      </c>
      <c r="D933" s="11" t="str">
        <f t="shared" si="14"/>
        <v>16:00</v>
      </c>
      <c r="E933" s="9">
        <v>44102.345833333333</v>
      </c>
      <c r="F933" s="10">
        <f>INT(Cardiac_Table[[#This Row],[Procedure Start Date and Time]])</f>
        <v>44102</v>
      </c>
      <c r="G933" s="12">
        <f>MOD(Cardiac_Table[[#This Row],[Procedure Start Date and Time]],1)</f>
        <v>0.34583333333284827</v>
      </c>
      <c r="H933">
        <v>2</v>
      </c>
      <c r="I933" t="s">
        <v>4</v>
      </c>
      <c r="J933" t="s">
        <v>3</v>
      </c>
      <c r="K933" t="s">
        <v>35</v>
      </c>
      <c r="L933">
        <v>70</v>
      </c>
      <c r="M933">
        <v>3.08</v>
      </c>
      <c r="N933">
        <v>0.74</v>
      </c>
      <c r="O933" t="s">
        <v>15</v>
      </c>
      <c r="P933">
        <v>86</v>
      </c>
      <c r="Q933">
        <v>161</v>
      </c>
      <c r="R933">
        <v>61</v>
      </c>
      <c r="S933">
        <v>41</v>
      </c>
      <c r="T933" t="s">
        <v>50</v>
      </c>
      <c r="U933">
        <f>IF(Cardiac_Table[[#This Row],[Patient Status at Discharge]]="Died", 1,0)</f>
        <v>0</v>
      </c>
      <c r="V933">
        <f>Cardiac_Table[[#This Row],[Risk of Death % (Model 1)]]/100</f>
        <v>3.0800000000000001E-2</v>
      </c>
      <c r="W933">
        <f>Cardiac_Table[[#This Row],[Risk of Death % (Model 2)]]/100</f>
        <v>7.4000000000000003E-3</v>
      </c>
      <c r="X933" s="18">
        <f>Cardiac_Table[[#This Row],[Procedure Start Date and Time]]-Cardiac_Table[[#This Row],[Hospital Admit Date ]]</f>
        <v>0.67916666666860692</v>
      </c>
    </row>
    <row r="934" spans="1:24" x14ac:dyDescent="0.35">
      <c r="A934">
        <v>944</v>
      </c>
      <c r="B934" s="9">
        <v>44097.583333333336</v>
      </c>
      <c r="C934" s="10">
        <f>INT(Cardiac_Table[[#This Row],[Hospital Admit Date ]])</f>
        <v>44097</v>
      </c>
      <c r="D934" s="11" t="str">
        <f t="shared" si="14"/>
        <v>14:00</v>
      </c>
      <c r="E934" s="9">
        <v>44102.5</v>
      </c>
      <c r="F934" s="10">
        <f>INT(Cardiac_Table[[#This Row],[Procedure Start Date and Time]])</f>
        <v>44102</v>
      </c>
      <c r="G934" s="12">
        <f>MOD(Cardiac_Table[[#This Row],[Procedure Start Date and Time]],1)</f>
        <v>0.5</v>
      </c>
      <c r="H934">
        <v>4</v>
      </c>
      <c r="I934" t="s">
        <v>6</v>
      </c>
      <c r="J934" t="s">
        <v>11</v>
      </c>
      <c r="K934" t="s">
        <v>33</v>
      </c>
      <c r="L934">
        <v>73</v>
      </c>
      <c r="M934">
        <v>3.74</v>
      </c>
      <c r="N934">
        <v>1.89</v>
      </c>
      <c r="O934" t="s">
        <v>15</v>
      </c>
      <c r="P934">
        <v>107</v>
      </c>
      <c r="Q934">
        <v>174</v>
      </c>
      <c r="R934">
        <v>92</v>
      </c>
      <c r="S934">
        <v>45</v>
      </c>
      <c r="T934" t="s">
        <v>50</v>
      </c>
      <c r="U934">
        <f>IF(Cardiac_Table[[#This Row],[Patient Status at Discharge]]="Died", 1,0)</f>
        <v>0</v>
      </c>
      <c r="V934">
        <f>Cardiac_Table[[#This Row],[Risk of Death % (Model 1)]]/100</f>
        <v>3.7400000000000003E-2</v>
      </c>
      <c r="W934">
        <f>Cardiac_Table[[#This Row],[Risk of Death % (Model 2)]]/100</f>
        <v>1.89E-2</v>
      </c>
      <c r="X934" s="18">
        <f>Cardiac_Table[[#This Row],[Procedure Start Date and Time]]-Cardiac_Table[[#This Row],[Hospital Admit Date ]]</f>
        <v>4.9166666666642413</v>
      </c>
    </row>
    <row r="935" spans="1:24" x14ac:dyDescent="0.35">
      <c r="A935">
        <v>945</v>
      </c>
      <c r="B935" s="9">
        <v>44101.665277777778</v>
      </c>
      <c r="C935" s="10">
        <f>INT(Cardiac_Table[[#This Row],[Hospital Admit Date ]])</f>
        <v>44101</v>
      </c>
      <c r="D935" s="11" t="str">
        <f t="shared" si="14"/>
        <v>15:58</v>
      </c>
      <c r="E935" s="9">
        <v>44102.524305555555</v>
      </c>
      <c r="F935" s="10">
        <f>INT(Cardiac_Table[[#This Row],[Procedure Start Date and Time]])</f>
        <v>44102</v>
      </c>
      <c r="G935" s="12">
        <f>MOD(Cardiac_Table[[#This Row],[Procedure Start Date and Time]],1)</f>
        <v>0.52430555555474712</v>
      </c>
      <c r="H935">
        <v>3</v>
      </c>
      <c r="I935" t="s">
        <v>4</v>
      </c>
      <c r="J935" t="s">
        <v>10</v>
      </c>
      <c r="K935" t="s">
        <v>30</v>
      </c>
      <c r="L935">
        <v>49</v>
      </c>
      <c r="M935">
        <v>0.88</v>
      </c>
      <c r="N935">
        <v>0.55000000000000004</v>
      </c>
      <c r="O935" t="s">
        <v>15</v>
      </c>
      <c r="P935">
        <v>63</v>
      </c>
      <c r="Q935">
        <v>168</v>
      </c>
      <c r="R935">
        <v>101</v>
      </c>
      <c r="S935">
        <v>54</v>
      </c>
      <c r="T935" t="s">
        <v>48</v>
      </c>
      <c r="U935">
        <f>IF(Cardiac_Table[[#This Row],[Patient Status at Discharge]]="Died", 1,0)</f>
        <v>0</v>
      </c>
      <c r="V935">
        <f>Cardiac_Table[[#This Row],[Risk of Death % (Model 1)]]/100</f>
        <v>8.8000000000000005E-3</v>
      </c>
      <c r="W935">
        <f>Cardiac_Table[[#This Row],[Risk of Death % (Model 2)]]/100</f>
        <v>5.5000000000000005E-3</v>
      </c>
      <c r="X935" s="18">
        <f>Cardiac_Table[[#This Row],[Procedure Start Date and Time]]-Cardiac_Table[[#This Row],[Hospital Admit Date ]]</f>
        <v>0.85902777777664596</v>
      </c>
    </row>
    <row r="936" spans="1:24" x14ac:dyDescent="0.35">
      <c r="A936">
        <v>946</v>
      </c>
      <c r="B936" s="9">
        <v>44102.291666666664</v>
      </c>
      <c r="C936" s="10">
        <f>INT(Cardiac_Table[[#This Row],[Hospital Admit Date ]])</f>
        <v>44102</v>
      </c>
      <c r="D936" s="11" t="str">
        <f t="shared" si="14"/>
        <v>07:00</v>
      </c>
      <c r="E936" s="9">
        <v>44102.572916666664</v>
      </c>
      <c r="F936" s="10">
        <f>INT(Cardiac_Table[[#This Row],[Procedure Start Date and Time]])</f>
        <v>44102</v>
      </c>
      <c r="G936" s="12">
        <f>MOD(Cardiac_Table[[#This Row],[Procedure Start Date and Time]],1)</f>
        <v>0.57291666666424135</v>
      </c>
      <c r="H936">
        <v>2</v>
      </c>
      <c r="I936" t="s">
        <v>4</v>
      </c>
      <c r="J936" t="s">
        <v>3</v>
      </c>
      <c r="K936" t="s">
        <v>35</v>
      </c>
      <c r="L936">
        <v>77</v>
      </c>
      <c r="M936">
        <v>7.16</v>
      </c>
      <c r="N936">
        <v>3.81</v>
      </c>
      <c r="O936" t="s">
        <v>15</v>
      </c>
      <c r="P936">
        <v>83</v>
      </c>
      <c r="Q936">
        <v>157</v>
      </c>
      <c r="R936">
        <v>91</v>
      </c>
      <c r="S936">
        <v>40</v>
      </c>
      <c r="T936" t="s">
        <v>50</v>
      </c>
      <c r="U936">
        <f>IF(Cardiac_Table[[#This Row],[Patient Status at Discharge]]="Died", 1,0)</f>
        <v>0</v>
      </c>
      <c r="V936">
        <f>Cardiac_Table[[#This Row],[Risk of Death % (Model 1)]]/100</f>
        <v>7.1599999999999997E-2</v>
      </c>
      <c r="W936">
        <f>Cardiac_Table[[#This Row],[Risk of Death % (Model 2)]]/100</f>
        <v>3.8100000000000002E-2</v>
      </c>
      <c r="X936" s="18">
        <f>Cardiac_Table[[#This Row],[Procedure Start Date and Time]]-Cardiac_Table[[#This Row],[Hospital Admit Date ]]</f>
        <v>0.28125</v>
      </c>
    </row>
    <row r="937" spans="1:24" x14ac:dyDescent="0.35">
      <c r="A937">
        <v>947</v>
      </c>
      <c r="B937" s="9">
        <v>44102.291666666664</v>
      </c>
      <c r="C937" s="10">
        <f>INT(Cardiac_Table[[#This Row],[Hospital Admit Date ]])</f>
        <v>44102</v>
      </c>
      <c r="D937" s="11" t="str">
        <f t="shared" si="14"/>
        <v>07:00</v>
      </c>
      <c r="E937" s="9">
        <v>44102.574999999997</v>
      </c>
      <c r="F937" s="10">
        <f>INT(Cardiac_Table[[#This Row],[Procedure Start Date and Time]])</f>
        <v>44102</v>
      </c>
      <c r="G937" s="12">
        <f>MOD(Cardiac_Table[[#This Row],[Procedure Start Date and Time]],1)</f>
        <v>0.57499999999708962</v>
      </c>
      <c r="H937">
        <v>6</v>
      </c>
      <c r="I937" t="s">
        <v>4</v>
      </c>
      <c r="J937" t="s">
        <v>10</v>
      </c>
      <c r="K937" t="s">
        <v>23</v>
      </c>
      <c r="L937">
        <v>75</v>
      </c>
      <c r="M937">
        <v>2.52</v>
      </c>
      <c r="N937">
        <v>0.85</v>
      </c>
      <c r="O937" t="s">
        <v>15</v>
      </c>
      <c r="P937">
        <v>64</v>
      </c>
      <c r="Q937">
        <v>158</v>
      </c>
      <c r="R937">
        <v>68</v>
      </c>
      <c r="S937">
        <v>45</v>
      </c>
      <c r="T937" t="s">
        <v>50</v>
      </c>
      <c r="U937">
        <f>IF(Cardiac_Table[[#This Row],[Patient Status at Discharge]]="Died", 1,0)</f>
        <v>0</v>
      </c>
      <c r="V937">
        <f>Cardiac_Table[[#This Row],[Risk of Death % (Model 1)]]/100</f>
        <v>2.52E-2</v>
      </c>
      <c r="W937">
        <f>Cardiac_Table[[#This Row],[Risk of Death % (Model 2)]]/100</f>
        <v>8.5000000000000006E-3</v>
      </c>
      <c r="X937" s="18">
        <f>Cardiac_Table[[#This Row],[Procedure Start Date and Time]]-Cardiac_Table[[#This Row],[Hospital Admit Date ]]</f>
        <v>0.28333333333284827</v>
      </c>
    </row>
    <row r="938" spans="1:24" x14ac:dyDescent="0.35">
      <c r="A938">
        <v>948</v>
      </c>
      <c r="B938" s="9">
        <v>44093.416666666664</v>
      </c>
      <c r="C938" s="10">
        <f>INT(Cardiac_Table[[#This Row],[Hospital Admit Date ]])</f>
        <v>44093</v>
      </c>
      <c r="D938" s="11" t="str">
        <f t="shared" si="14"/>
        <v>10:00</v>
      </c>
      <c r="E938" s="9">
        <v>44102.574999999997</v>
      </c>
      <c r="F938" s="10">
        <f>INT(Cardiac_Table[[#This Row],[Procedure Start Date and Time]])</f>
        <v>44102</v>
      </c>
      <c r="G938" s="12">
        <f>MOD(Cardiac_Table[[#This Row],[Procedure Start Date and Time]],1)</f>
        <v>0.57499999999708962</v>
      </c>
      <c r="H938">
        <v>5</v>
      </c>
      <c r="I938" t="s">
        <v>6</v>
      </c>
      <c r="J938" t="s">
        <v>10</v>
      </c>
      <c r="K938" t="s">
        <v>29</v>
      </c>
      <c r="L938">
        <v>66</v>
      </c>
      <c r="M938">
        <v>4.5</v>
      </c>
      <c r="N938">
        <v>2.52</v>
      </c>
      <c r="O938" t="s">
        <v>15</v>
      </c>
      <c r="P938">
        <v>112</v>
      </c>
      <c r="Q938">
        <v>174</v>
      </c>
      <c r="R938">
        <v>88</v>
      </c>
      <c r="S938">
        <v>45</v>
      </c>
      <c r="T938" t="s">
        <v>50</v>
      </c>
      <c r="U938">
        <f>IF(Cardiac_Table[[#This Row],[Patient Status at Discharge]]="Died", 1,0)</f>
        <v>0</v>
      </c>
      <c r="V938">
        <f>Cardiac_Table[[#This Row],[Risk of Death % (Model 1)]]/100</f>
        <v>4.4999999999999998E-2</v>
      </c>
      <c r="W938">
        <f>Cardiac_Table[[#This Row],[Risk of Death % (Model 2)]]/100</f>
        <v>2.52E-2</v>
      </c>
      <c r="X938" s="18">
        <f>Cardiac_Table[[#This Row],[Procedure Start Date and Time]]-Cardiac_Table[[#This Row],[Hospital Admit Date ]]</f>
        <v>9.1583333333328483</v>
      </c>
    </row>
    <row r="939" spans="1:24" x14ac:dyDescent="0.35">
      <c r="A939">
        <v>949</v>
      </c>
      <c r="B939" s="9">
        <v>44102.666666666664</v>
      </c>
      <c r="C939" s="10">
        <f>INT(Cardiac_Table[[#This Row],[Hospital Admit Date ]])</f>
        <v>44102</v>
      </c>
      <c r="D939" s="11" t="str">
        <f t="shared" si="14"/>
        <v>16:00</v>
      </c>
      <c r="E939" s="9">
        <v>44103.333333333336</v>
      </c>
      <c r="F939" s="10">
        <f>INT(Cardiac_Table[[#This Row],[Procedure Start Date and Time]])</f>
        <v>44103</v>
      </c>
      <c r="G939" s="12">
        <f>MOD(Cardiac_Table[[#This Row],[Procedure Start Date and Time]],1)</f>
        <v>0.33333333333575865</v>
      </c>
      <c r="H939">
        <v>5</v>
      </c>
      <c r="I939" t="s">
        <v>4</v>
      </c>
      <c r="J939" t="s">
        <v>1</v>
      </c>
      <c r="K939" t="s">
        <v>23</v>
      </c>
      <c r="L939">
        <v>63</v>
      </c>
      <c r="M939">
        <v>3.33</v>
      </c>
      <c r="N939">
        <v>1.21</v>
      </c>
      <c r="O939" t="s">
        <v>15</v>
      </c>
      <c r="P939">
        <v>69</v>
      </c>
      <c r="Q939">
        <v>193</v>
      </c>
      <c r="R939">
        <v>115</v>
      </c>
      <c r="S939">
        <v>35</v>
      </c>
      <c r="T939" t="s">
        <v>50</v>
      </c>
      <c r="U939">
        <f>IF(Cardiac_Table[[#This Row],[Patient Status at Discharge]]="Died", 1,0)</f>
        <v>0</v>
      </c>
      <c r="V939">
        <f>Cardiac_Table[[#This Row],[Risk of Death % (Model 1)]]/100</f>
        <v>3.3300000000000003E-2</v>
      </c>
      <c r="W939">
        <f>Cardiac_Table[[#This Row],[Risk of Death % (Model 2)]]/100</f>
        <v>1.21E-2</v>
      </c>
      <c r="X939" s="18">
        <f>Cardiac_Table[[#This Row],[Procedure Start Date and Time]]-Cardiac_Table[[#This Row],[Hospital Admit Date ]]</f>
        <v>0.66666666667151731</v>
      </c>
    </row>
    <row r="940" spans="1:24" x14ac:dyDescent="0.35">
      <c r="A940">
        <v>950</v>
      </c>
      <c r="B940" s="9">
        <v>44098.708333333336</v>
      </c>
      <c r="C940" s="10">
        <f>INT(Cardiac_Table[[#This Row],[Hospital Admit Date ]])</f>
        <v>44098</v>
      </c>
      <c r="D940" s="11" t="str">
        <f t="shared" si="14"/>
        <v>17:00</v>
      </c>
      <c r="E940" s="9">
        <v>44103.34375</v>
      </c>
      <c r="F940" s="10">
        <f>INT(Cardiac_Table[[#This Row],[Procedure Start Date and Time]])</f>
        <v>44103</v>
      </c>
      <c r="G940" s="12">
        <f>MOD(Cardiac_Table[[#This Row],[Procedure Start Date and Time]],1)</f>
        <v>0.34375</v>
      </c>
      <c r="H940">
        <v>2</v>
      </c>
      <c r="I940" t="s">
        <v>6</v>
      </c>
      <c r="J940" t="s">
        <v>10</v>
      </c>
      <c r="K940" t="s">
        <v>28</v>
      </c>
      <c r="L940">
        <v>76</v>
      </c>
      <c r="M940">
        <v>10.75</v>
      </c>
      <c r="N940">
        <v>5.16</v>
      </c>
      <c r="O940" t="s">
        <v>15</v>
      </c>
      <c r="P940">
        <v>114</v>
      </c>
      <c r="Q940">
        <v>159</v>
      </c>
      <c r="R940">
        <v>62</v>
      </c>
      <c r="S940">
        <v>57</v>
      </c>
      <c r="T940" t="s">
        <v>48</v>
      </c>
      <c r="U940">
        <f>IF(Cardiac_Table[[#This Row],[Patient Status at Discharge]]="Died", 1,0)</f>
        <v>0</v>
      </c>
      <c r="V940">
        <f>Cardiac_Table[[#This Row],[Risk of Death % (Model 1)]]/100</f>
        <v>0.1075</v>
      </c>
      <c r="W940">
        <f>Cardiac_Table[[#This Row],[Risk of Death % (Model 2)]]/100</f>
        <v>5.16E-2</v>
      </c>
      <c r="X940" s="18">
        <f>Cardiac_Table[[#This Row],[Procedure Start Date and Time]]-Cardiac_Table[[#This Row],[Hospital Admit Date ]]</f>
        <v>4.6354166666642413</v>
      </c>
    </row>
    <row r="941" spans="1:24" x14ac:dyDescent="0.35">
      <c r="A941">
        <v>951</v>
      </c>
      <c r="B941" s="9">
        <v>44096.294444444444</v>
      </c>
      <c r="C941" s="10">
        <f>INT(Cardiac_Table[[#This Row],[Hospital Admit Date ]])</f>
        <v>44096</v>
      </c>
      <c r="D941" s="11" t="str">
        <f t="shared" si="14"/>
        <v>07:04</v>
      </c>
      <c r="E941" s="9">
        <v>44103.361111111109</v>
      </c>
      <c r="F941" s="10">
        <f>INT(Cardiac_Table[[#This Row],[Procedure Start Date and Time]])</f>
        <v>44103</v>
      </c>
      <c r="G941" s="12">
        <f>MOD(Cardiac_Table[[#This Row],[Procedure Start Date and Time]],1)</f>
        <v>0.36111111110949423</v>
      </c>
      <c r="H941">
        <v>6</v>
      </c>
      <c r="I941" t="s">
        <v>4</v>
      </c>
      <c r="J941" t="s">
        <v>10</v>
      </c>
      <c r="K941" t="s">
        <v>29</v>
      </c>
      <c r="L941">
        <v>72</v>
      </c>
      <c r="M941">
        <v>5</v>
      </c>
      <c r="N941">
        <v>1.74</v>
      </c>
      <c r="O941" t="s">
        <v>15</v>
      </c>
      <c r="P941">
        <v>63</v>
      </c>
      <c r="Q941">
        <v>175</v>
      </c>
      <c r="R941">
        <v>82</v>
      </c>
      <c r="S941">
        <v>55</v>
      </c>
      <c r="T941" t="s">
        <v>48</v>
      </c>
      <c r="U941">
        <f>IF(Cardiac_Table[[#This Row],[Patient Status at Discharge]]="Died", 1,0)</f>
        <v>0</v>
      </c>
      <c r="V941">
        <f>Cardiac_Table[[#This Row],[Risk of Death % (Model 1)]]/100</f>
        <v>0.05</v>
      </c>
      <c r="W941">
        <f>Cardiac_Table[[#This Row],[Risk of Death % (Model 2)]]/100</f>
        <v>1.7399999999999999E-2</v>
      </c>
      <c r="X941" s="18">
        <f>Cardiac_Table[[#This Row],[Procedure Start Date and Time]]-Cardiac_Table[[#This Row],[Hospital Admit Date ]]</f>
        <v>7.0666666666656965</v>
      </c>
    </row>
    <row r="942" spans="1:24" x14ac:dyDescent="0.35">
      <c r="A942">
        <v>952</v>
      </c>
      <c r="B942" s="9">
        <v>44102.652777777781</v>
      </c>
      <c r="C942" s="10">
        <f>INT(Cardiac_Table[[#This Row],[Hospital Admit Date ]])</f>
        <v>44102</v>
      </c>
      <c r="D942" s="11" t="str">
        <f t="shared" si="14"/>
        <v>15:40</v>
      </c>
      <c r="E942" s="9">
        <v>44103.541666666664</v>
      </c>
      <c r="F942" s="10">
        <f>INT(Cardiac_Table[[#This Row],[Procedure Start Date and Time]])</f>
        <v>44103</v>
      </c>
      <c r="G942" s="12">
        <f>MOD(Cardiac_Table[[#This Row],[Procedure Start Date and Time]],1)</f>
        <v>0.54166666666424135</v>
      </c>
      <c r="H942">
        <v>2</v>
      </c>
      <c r="I942" t="s">
        <v>4</v>
      </c>
      <c r="J942" t="s">
        <v>11</v>
      </c>
      <c r="K942" t="s">
        <v>28</v>
      </c>
      <c r="L942">
        <v>75</v>
      </c>
      <c r="M942">
        <v>4.25</v>
      </c>
      <c r="N942">
        <v>5.03</v>
      </c>
      <c r="O942" t="s">
        <v>15</v>
      </c>
      <c r="P942">
        <v>110</v>
      </c>
      <c r="Q942">
        <v>173</v>
      </c>
      <c r="R942">
        <v>87</v>
      </c>
      <c r="S942">
        <v>55</v>
      </c>
      <c r="T942" t="s">
        <v>48</v>
      </c>
      <c r="U942">
        <f>IF(Cardiac_Table[[#This Row],[Patient Status at Discharge]]="Died", 1,0)</f>
        <v>0</v>
      </c>
      <c r="V942">
        <f>Cardiac_Table[[#This Row],[Risk of Death % (Model 1)]]/100</f>
        <v>4.2500000000000003E-2</v>
      </c>
      <c r="W942">
        <f>Cardiac_Table[[#This Row],[Risk of Death % (Model 2)]]/100</f>
        <v>5.0300000000000004E-2</v>
      </c>
      <c r="X942" s="18">
        <f>Cardiac_Table[[#This Row],[Procedure Start Date and Time]]-Cardiac_Table[[#This Row],[Hospital Admit Date ]]</f>
        <v>0.88888888888322981</v>
      </c>
    </row>
    <row r="943" spans="1:24" x14ac:dyDescent="0.35">
      <c r="A943">
        <v>953</v>
      </c>
      <c r="B943" s="9">
        <v>44103.287499999999</v>
      </c>
      <c r="C943" s="10">
        <f>INT(Cardiac_Table[[#This Row],[Hospital Admit Date ]])</f>
        <v>44103</v>
      </c>
      <c r="D943" s="11" t="str">
        <f t="shared" si="14"/>
        <v>06:54</v>
      </c>
      <c r="E943" s="9">
        <v>44103.552083333336</v>
      </c>
      <c r="F943" s="10">
        <f>INT(Cardiac_Table[[#This Row],[Procedure Start Date and Time]])</f>
        <v>44103</v>
      </c>
      <c r="G943" s="12">
        <f>MOD(Cardiac_Table[[#This Row],[Procedure Start Date and Time]],1)</f>
        <v>0.55208333333575865</v>
      </c>
      <c r="H943">
        <v>5</v>
      </c>
      <c r="I943" t="s">
        <v>4</v>
      </c>
      <c r="J943" t="s">
        <v>1</v>
      </c>
      <c r="K943" t="s">
        <v>23</v>
      </c>
      <c r="L943">
        <v>70</v>
      </c>
      <c r="M943">
        <v>18.78</v>
      </c>
      <c r="N943">
        <v>5.74</v>
      </c>
      <c r="O943" t="s">
        <v>15</v>
      </c>
      <c r="P943">
        <v>118</v>
      </c>
      <c r="Q943">
        <v>175</v>
      </c>
      <c r="R943">
        <v>63</v>
      </c>
      <c r="S943">
        <v>55</v>
      </c>
      <c r="T943" t="s">
        <v>48</v>
      </c>
      <c r="U943">
        <f>IF(Cardiac_Table[[#This Row],[Patient Status at Discharge]]="Died", 1,0)</f>
        <v>0</v>
      </c>
      <c r="V943">
        <f>Cardiac_Table[[#This Row],[Risk of Death % (Model 1)]]/100</f>
        <v>0.18780000000000002</v>
      </c>
      <c r="W943">
        <f>Cardiac_Table[[#This Row],[Risk of Death % (Model 2)]]/100</f>
        <v>5.74E-2</v>
      </c>
      <c r="X943" s="18">
        <f>Cardiac_Table[[#This Row],[Procedure Start Date and Time]]-Cardiac_Table[[#This Row],[Hospital Admit Date ]]</f>
        <v>0.26458333333721384</v>
      </c>
    </row>
    <row r="944" spans="1:24" x14ac:dyDescent="0.35">
      <c r="A944">
        <v>954</v>
      </c>
      <c r="B944" s="9">
        <v>44103.665972222225</v>
      </c>
      <c r="C944" s="10">
        <f>INT(Cardiac_Table[[#This Row],[Hospital Admit Date ]])</f>
        <v>44103</v>
      </c>
      <c r="D944" s="11" t="str">
        <f t="shared" si="14"/>
        <v>15:59</v>
      </c>
      <c r="E944" s="9">
        <v>44104.329861111109</v>
      </c>
      <c r="F944" s="10">
        <f>INT(Cardiac_Table[[#This Row],[Procedure Start Date and Time]])</f>
        <v>44104</v>
      </c>
      <c r="G944" s="12">
        <f>MOD(Cardiac_Table[[#This Row],[Procedure Start Date and Time]],1)</f>
        <v>0.32986111110949423</v>
      </c>
      <c r="H944">
        <v>6</v>
      </c>
      <c r="I944" t="s">
        <v>4</v>
      </c>
      <c r="J944" t="s">
        <v>3</v>
      </c>
      <c r="K944" t="s">
        <v>21</v>
      </c>
      <c r="L944">
        <v>75</v>
      </c>
      <c r="M944">
        <v>4.25</v>
      </c>
      <c r="N944">
        <v>1.0900000000000001</v>
      </c>
      <c r="O944" t="s">
        <v>15</v>
      </c>
      <c r="P944">
        <v>80</v>
      </c>
      <c r="Q944">
        <v>172</v>
      </c>
      <c r="R944">
        <v>90</v>
      </c>
      <c r="S944">
        <v>29</v>
      </c>
      <c r="T944" t="s">
        <v>49</v>
      </c>
      <c r="U944">
        <f>IF(Cardiac_Table[[#This Row],[Patient Status at Discharge]]="Died", 1,0)</f>
        <v>0</v>
      </c>
      <c r="V944">
        <f>Cardiac_Table[[#This Row],[Risk of Death % (Model 1)]]/100</f>
        <v>4.2500000000000003E-2</v>
      </c>
      <c r="W944">
        <f>Cardiac_Table[[#This Row],[Risk of Death % (Model 2)]]/100</f>
        <v>1.09E-2</v>
      </c>
      <c r="X944" s="18">
        <f>Cardiac_Table[[#This Row],[Procedure Start Date and Time]]-Cardiac_Table[[#This Row],[Hospital Admit Date ]]</f>
        <v>0.663888888884685</v>
      </c>
    </row>
    <row r="945" spans="1:24" x14ac:dyDescent="0.35">
      <c r="A945">
        <v>955</v>
      </c>
      <c r="B945" s="9">
        <v>44103.661111111112</v>
      </c>
      <c r="C945" s="10">
        <f>INT(Cardiac_Table[[#This Row],[Hospital Admit Date ]])</f>
        <v>44103</v>
      </c>
      <c r="D945" s="11" t="str">
        <f t="shared" si="14"/>
        <v>15:52</v>
      </c>
      <c r="E945" s="9">
        <v>44104.34375</v>
      </c>
      <c r="F945" s="10">
        <f>INT(Cardiac_Table[[#This Row],[Procedure Start Date and Time]])</f>
        <v>44104</v>
      </c>
      <c r="G945" s="12">
        <f>MOD(Cardiac_Table[[#This Row],[Procedure Start Date and Time]],1)</f>
        <v>0.34375</v>
      </c>
      <c r="H945">
        <v>4</v>
      </c>
      <c r="I945" t="s">
        <v>4</v>
      </c>
      <c r="J945" t="s">
        <v>1</v>
      </c>
      <c r="K945" t="s">
        <v>24</v>
      </c>
      <c r="L945">
        <v>64</v>
      </c>
      <c r="M945">
        <v>6.37</v>
      </c>
      <c r="N945">
        <v>2.04</v>
      </c>
      <c r="O945" t="s">
        <v>15</v>
      </c>
      <c r="P945">
        <v>65</v>
      </c>
      <c r="Q945">
        <v>159</v>
      </c>
      <c r="R945">
        <v>65</v>
      </c>
      <c r="S945">
        <v>62</v>
      </c>
      <c r="T945" t="s">
        <v>48</v>
      </c>
      <c r="U945">
        <f>IF(Cardiac_Table[[#This Row],[Patient Status at Discharge]]="Died", 1,0)</f>
        <v>0</v>
      </c>
      <c r="V945">
        <f>Cardiac_Table[[#This Row],[Risk of Death % (Model 1)]]/100</f>
        <v>6.3700000000000007E-2</v>
      </c>
      <c r="W945">
        <f>Cardiac_Table[[#This Row],[Risk of Death % (Model 2)]]/100</f>
        <v>2.0400000000000001E-2</v>
      </c>
      <c r="X945" s="18">
        <f>Cardiac_Table[[#This Row],[Procedure Start Date and Time]]-Cardiac_Table[[#This Row],[Hospital Admit Date ]]</f>
        <v>0.68263888888759539</v>
      </c>
    </row>
    <row r="946" spans="1:24" x14ac:dyDescent="0.35">
      <c r="A946">
        <v>956</v>
      </c>
      <c r="B946" s="9">
        <v>44102.647916666669</v>
      </c>
      <c r="C946" s="10">
        <f>INT(Cardiac_Table[[#This Row],[Hospital Admit Date ]])</f>
        <v>44102</v>
      </c>
      <c r="D946" s="11" t="str">
        <f t="shared" si="14"/>
        <v>15:33</v>
      </c>
      <c r="E946" s="9">
        <v>44104.34652777778</v>
      </c>
      <c r="F946" s="10">
        <f>INT(Cardiac_Table[[#This Row],[Procedure Start Date and Time]])</f>
        <v>44104</v>
      </c>
      <c r="G946" s="12">
        <f>MOD(Cardiac_Table[[#This Row],[Procedure Start Date and Time]],1)</f>
        <v>0.34652777777955635</v>
      </c>
      <c r="H946">
        <v>5</v>
      </c>
      <c r="I946" t="s">
        <v>6</v>
      </c>
      <c r="J946" t="s">
        <v>11</v>
      </c>
      <c r="K946" t="s">
        <v>31</v>
      </c>
      <c r="L946">
        <v>82</v>
      </c>
      <c r="M946">
        <v>20.54</v>
      </c>
      <c r="N946">
        <v>7.5</v>
      </c>
      <c r="O946" t="s">
        <v>15</v>
      </c>
      <c r="P946">
        <v>79</v>
      </c>
      <c r="Q946">
        <v>160</v>
      </c>
      <c r="R946">
        <v>70</v>
      </c>
      <c r="S946">
        <v>46</v>
      </c>
      <c r="T946" t="s">
        <v>50</v>
      </c>
      <c r="U946">
        <f>IF(Cardiac_Table[[#This Row],[Patient Status at Discharge]]="Died", 1,0)</f>
        <v>0</v>
      </c>
      <c r="V946">
        <f>Cardiac_Table[[#This Row],[Risk of Death % (Model 1)]]/100</f>
        <v>0.2054</v>
      </c>
      <c r="W946">
        <f>Cardiac_Table[[#This Row],[Risk of Death % (Model 2)]]/100</f>
        <v>7.4999999999999997E-2</v>
      </c>
      <c r="X946" s="18">
        <f>Cardiac_Table[[#This Row],[Procedure Start Date and Time]]-Cardiac_Table[[#This Row],[Hospital Admit Date ]]</f>
        <v>1.6986111111109494</v>
      </c>
    </row>
    <row r="947" spans="1:24" x14ac:dyDescent="0.35">
      <c r="A947">
        <v>957</v>
      </c>
      <c r="B947" s="9">
        <v>44103.665277777778</v>
      </c>
      <c r="C947" s="10">
        <f>INT(Cardiac_Table[[#This Row],[Hospital Admit Date ]])</f>
        <v>44103</v>
      </c>
      <c r="D947" s="11" t="str">
        <f t="shared" si="14"/>
        <v>15:58</v>
      </c>
      <c r="E947" s="9">
        <v>44104.493750000001</v>
      </c>
      <c r="F947" s="10">
        <f>INT(Cardiac_Table[[#This Row],[Procedure Start Date and Time]])</f>
        <v>44104</v>
      </c>
      <c r="G947" s="12">
        <f>MOD(Cardiac_Table[[#This Row],[Procedure Start Date and Time]],1)</f>
        <v>0.49375000000145519</v>
      </c>
      <c r="H947">
        <v>2</v>
      </c>
      <c r="I947" t="s">
        <v>4</v>
      </c>
      <c r="J947" t="s">
        <v>3</v>
      </c>
      <c r="K947" t="s">
        <v>28</v>
      </c>
      <c r="L947">
        <v>62</v>
      </c>
      <c r="M947">
        <v>3.87</v>
      </c>
      <c r="N947">
        <v>1.18</v>
      </c>
      <c r="O947" t="s">
        <v>15</v>
      </c>
      <c r="P947">
        <v>81</v>
      </c>
      <c r="Q947">
        <v>180</v>
      </c>
      <c r="R947">
        <v>85</v>
      </c>
      <c r="S947">
        <v>57</v>
      </c>
      <c r="T947" t="s">
        <v>48</v>
      </c>
      <c r="U947">
        <f>IF(Cardiac_Table[[#This Row],[Patient Status at Discharge]]="Died", 1,0)</f>
        <v>0</v>
      </c>
      <c r="V947">
        <f>Cardiac_Table[[#This Row],[Risk of Death % (Model 1)]]/100</f>
        <v>3.8699999999999998E-2</v>
      </c>
      <c r="W947">
        <f>Cardiac_Table[[#This Row],[Risk of Death % (Model 2)]]/100</f>
        <v>1.18E-2</v>
      </c>
      <c r="X947" s="18">
        <f>Cardiac_Table[[#This Row],[Procedure Start Date and Time]]-Cardiac_Table[[#This Row],[Hospital Admit Date ]]</f>
        <v>0.82847222222335404</v>
      </c>
    </row>
    <row r="948" spans="1:24" x14ac:dyDescent="0.35">
      <c r="A948">
        <v>958</v>
      </c>
      <c r="B948" s="9">
        <v>44104.291666666664</v>
      </c>
      <c r="C948" s="10">
        <f>INT(Cardiac_Table[[#This Row],[Hospital Admit Date ]])</f>
        <v>44104</v>
      </c>
      <c r="D948" s="11" t="str">
        <f t="shared" si="14"/>
        <v>07:00</v>
      </c>
      <c r="E948" s="9">
        <v>44104.545138888891</v>
      </c>
      <c r="F948" s="10">
        <f>INT(Cardiac_Table[[#This Row],[Procedure Start Date and Time]])</f>
        <v>44104</v>
      </c>
      <c r="G948" s="12">
        <f>MOD(Cardiac_Table[[#This Row],[Procedure Start Date and Time]],1)</f>
        <v>0.54513888889050577</v>
      </c>
      <c r="H948">
        <v>5</v>
      </c>
      <c r="I948" t="s">
        <v>4</v>
      </c>
      <c r="J948" t="s">
        <v>11</v>
      </c>
      <c r="K948" t="s">
        <v>31</v>
      </c>
      <c r="L948">
        <v>74</v>
      </c>
      <c r="M948">
        <v>3.99</v>
      </c>
      <c r="N948">
        <v>1.92</v>
      </c>
      <c r="O948" t="s">
        <v>15</v>
      </c>
      <c r="P948">
        <v>77</v>
      </c>
      <c r="Q948">
        <v>186</v>
      </c>
      <c r="R948">
        <v>107</v>
      </c>
      <c r="S948">
        <v>45</v>
      </c>
      <c r="T948" t="s">
        <v>50</v>
      </c>
      <c r="U948">
        <f>IF(Cardiac_Table[[#This Row],[Patient Status at Discharge]]="Died", 1,0)</f>
        <v>0</v>
      </c>
      <c r="V948">
        <f>Cardiac_Table[[#This Row],[Risk of Death % (Model 1)]]/100</f>
        <v>3.9900000000000005E-2</v>
      </c>
      <c r="W948">
        <f>Cardiac_Table[[#This Row],[Risk of Death % (Model 2)]]/100</f>
        <v>1.9199999999999998E-2</v>
      </c>
      <c r="X948" s="18">
        <f>Cardiac_Table[[#This Row],[Procedure Start Date and Time]]-Cardiac_Table[[#This Row],[Hospital Admit Date ]]</f>
        <v>0.25347222222626442</v>
      </c>
    </row>
    <row r="949" spans="1:24" x14ac:dyDescent="0.35">
      <c r="A949">
        <v>959</v>
      </c>
      <c r="B949" s="9">
        <v>44104.655555555553</v>
      </c>
      <c r="C949" s="10">
        <f>INT(Cardiac_Table[[#This Row],[Hospital Admit Date ]])</f>
        <v>44104</v>
      </c>
      <c r="D949" s="11" t="str">
        <f t="shared" si="14"/>
        <v>15:44</v>
      </c>
      <c r="E949" s="9">
        <v>44105.333333333336</v>
      </c>
      <c r="F949" s="10">
        <f>INT(Cardiac_Table[[#This Row],[Procedure Start Date and Time]])</f>
        <v>44105</v>
      </c>
      <c r="G949" s="12">
        <f>MOD(Cardiac_Table[[#This Row],[Procedure Start Date and Time]],1)</f>
        <v>0.33333333333575865</v>
      </c>
      <c r="H949">
        <v>6</v>
      </c>
      <c r="I949" t="s">
        <v>4</v>
      </c>
      <c r="J949" t="s">
        <v>1</v>
      </c>
      <c r="K949" t="s">
        <v>23</v>
      </c>
      <c r="L949">
        <v>54</v>
      </c>
      <c r="M949">
        <v>4.6500000000000004</v>
      </c>
      <c r="N949">
        <v>1.64</v>
      </c>
      <c r="O949" t="s">
        <v>15</v>
      </c>
      <c r="P949">
        <v>101</v>
      </c>
      <c r="Q949">
        <v>163</v>
      </c>
      <c r="R949">
        <v>77</v>
      </c>
      <c r="S949">
        <v>51</v>
      </c>
      <c r="T949" t="s">
        <v>48</v>
      </c>
      <c r="U949">
        <f>IF(Cardiac_Table[[#This Row],[Patient Status at Discharge]]="Died", 1,0)</f>
        <v>0</v>
      </c>
      <c r="V949">
        <f>Cardiac_Table[[#This Row],[Risk of Death % (Model 1)]]/100</f>
        <v>4.6500000000000007E-2</v>
      </c>
      <c r="W949">
        <f>Cardiac_Table[[#This Row],[Risk of Death % (Model 2)]]/100</f>
        <v>1.6399999999999998E-2</v>
      </c>
      <c r="X949" s="18">
        <f>Cardiac_Table[[#This Row],[Procedure Start Date and Time]]-Cardiac_Table[[#This Row],[Hospital Admit Date ]]</f>
        <v>0.67777777778246673</v>
      </c>
    </row>
    <row r="950" spans="1:24" x14ac:dyDescent="0.35">
      <c r="A950">
        <v>960</v>
      </c>
      <c r="B950" s="9">
        <v>44103.715277777781</v>
      </c>
      <c r="C950" s="10">
        <f>INT(Cardiac_Table[[#This Row],[Hospital Admit Date ]])</f>
        <v>44103</v>
      </c>
      <c r="D950" s="11" t="str">
        <f t="shared" si="14"/>
        <v>17:10</v>
      </c>
      <c r="E950" s="9">
        <v>44105.342361111114</v>
      </c>
      <c r="F950" s="10">
        <f>INT(Cardiac_Table[[#This Row],[Procedure Start Date and Time]])</f>
        <v>44105</v>
      </c>
      <c r="G950" s="12">
        <f>MOD(Cardiac_Table[[#This Row],[Procedure Start Date and Time]],1)</f>
        <v>0.34236111111385981</v>
      </c>
      <c r="H950">
        <v>4</v>
      </c>
      <c r="I950" t="s">
        <v>6</v>
      </c>
      <c r="J950" t="s">
        <v>11</v>
      </c>
      <c r="K950" t="s">
        <v>24</v>
      </c>
      <c r="L950">
        <v>56</v>
      </c>
      <c r="M950">
        <v>2.27</v>
      </c>
      <c r="N950">
        <v>2.16</v>
      </c>
      <c r="O950" t="s">
        <v>15</v>
      </c>
      <c r="P950">
        <v>76</v>
      </c>
      <c r="Q950">
        <v>187</v>
      </c>
      <c r="R950">
        <v>112</v>
      </c>
      <c r="S950">
        <v>28</v>
      </c>
      <c r="T950" t="s">
        <v>49</v>
      </c>
      <c r="U950">
        <f>IF(Cardiac_Table[[#This Row],[Patient Status at Discharge]]="Died", 1,0)</f>
        <v>0</v>
      </c>
      <c r="V950">
        <f>Cardiac_Table[[#This Row],[Risk of Death % (Model 1)]]/100</f>
        <v>2.2700000000000001E-2</v>
      </c>
      <c r="W950">
        <f>Cardiac_Table[[#This Row],[Risk of Death % (Model 2)]]/100</f>
        <v>2.1600000000000001E-2</v>
      </c>
      <c r="X950" s="18">
        <f>Cardiac_Table[[#This Row],[Procedure Start Date and Time]]-Cardiac_Table[[#This Row],[Hospital Admit Date ]]</f>
        <v>1.6270833333328483</v>
      </c>
    </row>
    <row r="951" spans="1:24" x14ac:dyDescent="0.35">
      <c r="A951">
        <v>961</v>
      </c>
      <c r="B951" s="9">
        <v>44104.680555555555</v>
      </c>
      <c r="C951" s="10">
        <f>INT(Cardiac_Table[[#This Row],[Hospital Admit Date ]])</f>
        <v>44104</v>
      </c>
      <c r="D951" s="11" t="str">
        <f t="shared" si="14"/>
        <v>16:20</v>
      </c>
      <c r="E951" s="9">
        <v>44105.345833333333</v>
      </c>
      <c r="F951" s="10">
        <f>INT(Cardiac_Table[[#This Row],[Procedure Start Date and Time]])</f>
        <v>44105</v>
      </c>
      <c r="G951" s="12">
        <f>MOD(Cardiac_Table[[#This Row],[Procedure Start Date and Time]],1)</f>
        <v>0.34583333333284827</v>
      </c>
      <c r="H951">
        <v>2</v>
      </c>
      <c r="I951" t="s">
        <v>4</v>
      </c>
      <c r="J951" t="s">
        <v>3</v>
      </c>
      <c r="K951" t="s">
        <v>31</v>
      </c>
      <c r="L951">
        <v>83</v>
      </c>
      <c r="M951">
        <v>7.03</v>
      </c>
      <c r="N951">
        <v>1.44</v>
      </c>
      <c r="O951" t="s">
        <v>15</v>
      </c>
      <c r="P951">
        <v>87</v>
      </c>
      <c r="Q951">
        <v>168</v>
      </c>
      <c r="R951">
        <v>73</v>
      </c>
      <c r="S951">
        <v>50</v>
      </c>
      <c r="T951" t="s">
        <v>50</v>
      </c>
      <c r="U951">
        <f>IF(Cardiac_Table[[#This Row],[Patient Status at Discharge]]="Died", 1,0)</f>
        <v>0</v>
      </c>
      <c r="V951">
        <f>Cardiac_Table[[#This Row],[Risk of Death % (Model 1)]]/100</f>
        <v>7.0300000000000001E-2</v>
      </c>
      <c r="W951">
        <f>Cardiac_Table[[#This Row],[Risk of Death % (Model 2)]]/100</f>
        <v>1.44E-2</v>
      </c>
      <c r="X951" s="18">
        <f>Cardiac_Table[[#This Row],[Procedure Start Date and Time]]-Cardiac_Table[[#This Row],[Hospital Admit Date ]]</f>
        <v>0.66527777777810115</v>
      </c>
    </row>
    <row r="952" spans="1:24" x14ac:dyDescent="0.35">
      <c r="A952">
        <v>962</v>
      </c>
      <c r="B952" s="9">
        <v>44098.46597222222</v>
      </c>
      <c r="C952" s="10">
        <f>INT(Cardiac_Table[[#This Row],[Hospital Admit Date ]])</f>
        <v>44098</v>
      </c>
      <c r="D952" s="11" t="str">
        <f t="shared" si="14"/>
        <v>11:11</v>
      </c>
      <c r="E952" s="9">
        <v>44105.345833333333</v>
      </c>
      <c r="F952" s="10">
        <f>INT(Cardiac_Table[[#This Row],[Procedure Start Date and Time]])</f>
        <v>44105</v>
      </c>
      <c r="G952" s="12">
        <f>MOD(Cardiac_Table[[#This Row],[Procedure Start Date and Time]],1)</f>
        <v>0.34583333333284827</v>
      </c>
      <c r="H952">
        <v>5</v>
      </c>
      <c r="I952" t="s">
        <v>6</v>
      </c>
      <c r="J952" t="s">
        <v>10</v>
      </c>
      <c r="K952" t="s">
        <v>21</v>
      </c>
      <c r="L952">
        <v>76</v>
      </c>
      <c r="M952">
        <v>9.16</v>
      </c>
      <c r="N952">
        <v>5.41</v>
      </c>
      <c r="O952" t="s">
        <v>15</v>
      </c>
      <c r="P952">
        <v>80</v>
      </c>
      <c r="Q952">
        <v>172</v>
      </c>
      <c r="R952">
        <v>73</v>
      </c>
      <c r="S952">
        <v>19</v>
      </c>
      <c r="T952" t="s">
        <v>51</v>
      </c>
      <c r="U952">
        <f>IF(Cardiac_Table[[#This Row],[Patient Status at Discharge]]="Died", 1,0)</f>
        <v>0</v>
      </c>
      <c r="V952">
        <f>Cardiac_Table[[#This Row],[Risk of Death % (Model 1)]]/100</f>
        <v>9.1600000000000001E-2</v>
      </c>
      <c r="W952">
        <f>Cardiac_Table[[#This Row],[Risk of Death % (Model 2)]]/100</f>
        <v>5.4100000000000002E-2</v>
      </c>
      <c r="X952" s="18">
        <f>Cardiac_Table[[#This Row],[Procedure Start Date and Time]]-Cardiac_Table[[#This Row],[Hospital Admit Date ]]</f>
        <v>6.8798611111124046</v>
      </c>
    </row>
    <row r="953" spans="1:24" x14ac:dyDescent="0.35">
      <c r="A953">
        <v>963</v>
      </c>
      <c r="B953" s="9">
        <v>44104.678472222222</v>
      </c>
      <c r="C953" s="10">
        <f>INT(Cardiac_Table[[#This Row],[Hospital Admit Date ]])</f>
        <v>44104</v>
      </c>
      <c r="D953" s="11" t="str">
        <f t="shared" si="14"/>
        <v>16:17</v>
      </c>
      <c r="E953" s="9">
        <v>44105.394444444442</v>
      </c>
      <c r="F953" s="10">
        <f>INT(Cardiac_Table[[#This Row],[Procedure Start Date and Time]])</f>
        <v>44105</v>
      </c>
      <c r="G953" s="12">
        <f>MOD(Cardiac_Table[[#This Row],[Procedure Start Date and Time]],1)</f>
        <v>0.3944444444423425</v>
      </c>
      <c r="H953">
        <v>3</v>
      </c>
      <c r="I953" t="s">
        <v>4</v>
      </c>
      <c r="J953" t="s">
        <v>3</v>
      </c>
      <c r="K953" t="s">
        <v>33</v>
      </c>
      <c r="L953">
        <v>64</v>
      </c>
      <c r="M953">
        <v>2.09</v>
      </c>
      <c r="N953">
        <v>0.98</v>
      </c>
      <c r="O953" t="s">
        <v>15</v>
      </c>
      <c r="P953">
        <v>63</v>
      </c>
      <c r="Q953">
        <v>160</v>
      </c>
      <c r="R953">
        <v>65</v>
      </c>
      <c r="S953">
        <v>25</v>
      </c>
      <c r="T953" t="s">
        <v>49</v>
      </c>
      <c r="U953">
        <f>IF(Cardiac_Table[[#This Row],[Patient Status at Discharge]]="Died", 1,0)</f>
        <v>0</v>
      </c>
      <c r="V953">
        <f>Cardiac_Table[[#This Row],[Risk of Death % (Model 1)]]/100</f>
        <v>2.0899999999999998E-2</v>
      </c>
      <c r="W953">
        <f>Cardiac_Table[[#This Row],[Risk of Death % (Model 2)]]/100</f>
        <v>9.7999999999999997E-3</v>
      </c>
      <c r="X953" s="18">
        <f>Cardiac_Table[[#This Row],[Procedure Start Date and Time]]-Cardiac_Table[[#This Row],[Hospital Admit Date ]]</f>
        <v>0.71597222222044365</v>
      </c>
    </row>
    <row r="954" spans="1:24" x14ac:dyDescent="0.35">
      <c r="A954">
        <v>964</v>
      </c>
      <c r="B954" s="9">
        <v>44105.300694444442</v>
      </c>
      <c r="C954" s="10">
        <f>INT(Cardiac_Table[[#This Row],[Hospital Admit Date ]])</f>
        <v>44105</v>
      </c>
      <c r="D954" s="11" t="str">
        <f t="shared" si="14"/>
        <v>07:13</v>
      </c>
      <c r="E954" s="9">
        <v>44105.54791666667</v>
      </c>
      <c r="F954" s="10">
        <f>INT(Cardiac_Table[[#This Row],[Procedure Start Date and Time]])</f>
        <v>44105</v>
      </c>
      <c r="G954" s="12">
        <f>MOD(Cardiac_Table[[#This Row],[Procedure Start Date and Time]],1)</f>
        <v>0.54791666667006211</v>
      </c>
      <c r="H954">
        <v>3</v>
      </c>
      <c r="I954" t="s">
        <v>4</v>
      </c>
      <c r="J954" t="s">
        <v>3</v>
      </c>
      <c r="K954" t="s">
        <v>33</v>
      </c>
      <c r="L954">
        <v>73</v>
      </c>
      <c r="M954">
        <v>5.13</v>
      </c>
      <c r="N954">
        <v>1.35</v>
      </c>
      <c r="O954" t="s">
        <v>15</v>
      </c>
      <c r="P954">
        <v>103</v>
      </c>
      <c r="Q954">
        <v>174</v>
      </c>
      <c r="R954">
        <v>72</v>
      </c>
      <c r="S954">
        <v>31</v>
      </c>
      <c r="T954" t="s">
        <v>50</v>
      </c>
      <c r="U954">
        <f>IF(Cardiac_Table[[#This Row],[Patient Status at Discharge]]="Died", 1,0)</f>
        <v>0</v>
      </c>
      <c r="V954">
        <f>Cardiac_Table[[#This Row],[Risk of Death % (Model 1)]]/100</f>
        <v>5.1299999999999998E-2</v>
      </c>
      <c r="W954">
        <f>Cardiac_Table[[#This Row],[Risk of Death % (Model 2)]]/100</f>
        <v>1.3500000000000002E-2</v>
      </c>
      <c r="X954" s="18">
        <f>Cardiac_Table[[#This Row],[Procedure Start Date and Time]]-Cardiac_Table[[#This Row],[Hospital Admit Date ]]</f>
        <v>0.24722222222771961</v>
      </c>
    </row>
    <row r="955" spans="1:24" x14ac:dyDescent="0.35">
      <c r="A955">
        <v>965</v>
      </c>
      <c r="B955" s="9">
        <v>44105.291666666664</v>
      </c>
      <c r="C955" s="10">
        <f>INT(Cardiac_Table[[#This Row],[Hospital Admit Date ]])</f>
        <v>44105</v>
      </c>
      <c r="D955" s="11" t="str">
        <f t="shared" si="14"/>
        <v>07:00</v>
      </c>
      <c r="E955" s="9">
        <v>44105.548611111109</v>
      </c>
      <c r="F955" s="10">
        <f>INT(Cardiac_Table[[#This Row],[Procedure Start Date and Time]])</f>
        <v>44105</v>
      </c>
      <c r="G955" s="12">
        <f>MOD(Cardiac_Table[[#This Row],[Procedure Start Date and Time]],1)</f>
        <v>0.54861111110949423</v>
      </c>
      <c r="H955">
        <v>6</v>
      </c>
      <c r="I955" t="s">
        <v>4</v>
      </c>
      <c r="J955" t="s">
        <v>3</v>
      </c>
      <c r="K955" t="s">
        <v>23</v>
      </c>
      <c r="L955">
        <v>55</v>
      </c>
      <c r="M955">
        <v>2.08</v>
      </c>
      <c r="N955">
        <v>0.62</v>
      </c>
      <c r="O955" t="s">
        <v>15</v>
      </c>
      <c r="P955">
        <v>75</v>
      </c>
      <c r="Q955">
        <v>177</v>
      </c>
      <c r="R955">
        <v>108</v>
      </c>
      <c r="S955">
        <v>55</v>
      </c>
      <c r="T955" t="s">
        <v>48</v>
      </c>
      <c r="U955">
        <f>IF(Cardiac_Table[[#This Row],[Patient Status at Discharge]]="Died", 1,0)</f>
        <v>0</v>
      </c>
      <c r="V955">
        <f>Cardiac_Table[[#This Row],[Risk of Death % (Model 1)]]/100</f>
        <v>2.0799999999999999E-2</v>
      </c>
      <c r="W955">
        <f>Cardiac_Table[[#This Row],[Risk of Death % (Model 2)]]/100</f>
        <v>6.1999999999999998E-3</v>
      </c>
      <c r="X955" s="18">
        <f>Cardiac_Table[[#This Row],[Procedure Start Date and Time]]-Cardiac_Table[[#This Row],[Hospital Admit Date ]]</f>
        <v>0.25694444444525288</v>
      </c>
    </row>
    <row r="956" spans="1:24" x14ac:dyDescent="0.35">
      <c r="A956">
        <v>966</v>
      </c>
      <c r="B956" s="9">
        <v>44105.291666666664</v>
      </c>
      <c r="C956" s="10">
        <f>INT(Cardiac_Table[[#This Row],[Hospital Admit Date ]])</f>
        <v>44105</v>
      </c>
      <c r="D956" s="11" t="str">
        <f t="shared" si="14"/>
        <v>07:00</v>
      </c>
      <c r="E956" s="9">
        <v>44105.615972222222</v>
      </c>
      <c r="F956" s="10">
        <f>INT(Cardiac_Table[[#This Row],[Procedure Start Date and Time]])</f>
        <v>44105</v>
      </c>
      <c r="G956" s="12">
        <f>MOD(Cardiac_Table[[#This Row],[Procedure Start Date and Time]],1)</f>
        <v>0.61597222222189885</v>
      </c>
      <c r="H956">
        <v>5</v>
      </c>
      <c r="I956" t="s">
        <v>4</v>
      </c>
      <c r="J956" t="s">
        <v>3</v>
      </c>
      <c r="K956" t="s">
        <v>21</v>
      </c>
      <c r="L956">
        <v>57</v>
      </c>
      <c r="M956">
        <v>1.51</v>
      </c>
      <c r="N956">
        <v>0.56000000000000005</v>
      </c>
      <c r="O956" t="s">
        <v>15</v>
      </c>
      <c r="P956">
        <v>96</v>
      </c>
      <c r="Q956">
        <v>163</v>
      </c>
      <c r="R956">
        <v>67</v>
      </c>
      <c r="S956">
        <v>45</v>
      </c>
      <c r="T956" t="s">
        <v>50</v>
      </c>
      <c r="U956">
        <f>IF(Cardiac_Table[[#This Row],[Patient Status at Discharge]]="Died", 1,0)</f>
        <v>0</v>
      </c>
      <c r="V956">
        <f>Cardiac_Table[[#This Row],[Risk of Death % (Model 1)]]/100</f>
        <v>1.5100000000000001E-2</v>
      </c>
      <c r="W956">
        <f>Cardiac_Table[[#This Row],[Risk of Death % (Model 2)]]/100</f>
        <v>5.6000000000000008E-3</v>
      </c>
      <c r="X956" s="18">
        <f>Cardiac_Table[[#This Row],[Procedure Start Date and Time]]-Cardiac_Table[[#This Row],[Hospital Admit Date ]]</f>
        <v>0.3243055555576575</v>
      </c>
    </row>
    <row r="957" spans="1:24" x14ac:dyDescent="0.35">
      <c r="A957">
        <v>967</v>
      </c>
      <c r="B957" s="9">
        <v>44105.671527777777</v>
      </c>
      <c r="C957" s="10">
        <f>INT(Cardiac_Table[[#This Row],[Hospital Admit Date ]])</f>
        <v>44105</v>
      </c>
      <c r="D957" s="11" t="str">
        <f t="shared" si="14"/>
        <v>16:07</v>
      </c>
      <c r="E957" s="9">
        <v>44106.334722222222</v>
      </c>
      <c r="F957" s="10">
        <f>INT(Cardiac_Table[[#This Row],[Procedure Start Date and Time]])</f>
        <v>44106</v>
      </c>
      <c r="G957" s="12">
        <f>MOD(Cardiac_Table[[#This Row],[Procedure Start Date and Time]],1)</f>
        <v>0.33472222222189885</v>
      </c>
      <c r="H957">
        <v>4</v>
      </c>
      <c r="I957" t="s">
        <v>4</v>
      </c>
      <c r="J957" t="s">
        <v>10</v>
      </c>
      <c r="K957" t="s">
        <v>24</v>
      </c>
      <c r="L957">
        <v>79</v>
      </c>
      <c r="M957">
        <v>6.1</v>
      </c>
      <c r="N957">
        <v>3.71</v>
      </c>
      <c r="O957" t="s">
        <v>15</v>
      </c>
      <c r="P957">
        <v>152</v>
      </c>
      <c r="Q957">
        <v>162</v>
      </c>
      <c r="R957">
        <v>68</v>
      </c>
      <c r="S957">
        <v>49</v>
      </c>
      <c r="T957" t="s">
        <v>50</v>
      </c>
      <c r="U957">
        <f>IF(Cardiac_Table[[#This Row],[Patient Status at Discharge]]="Died", 1,0)</f>
        <v>0</v>
      </c>
      <c r="V957">
        <f>Cardiac_Table[[#This Row],[Risk of Death % (Model 1)]]/100</f>
        <v>6.0999999999999999E-2</v>
      </c>
      <c r="W957">
        <f>Cardiac_Table[[#This Row],[Risk of Death % (Model 2)]]/100</f>
        <v>3.7100000000000001E-2</v>
      </c>
      <c r="X957" s="18">
        <f>Cardiac_Table[[#This Row],[Procedure Start Date and Time]]-Cardiac_Table[[#This Row],[Hospital Admit Date ]]</f>
        <v>0.66319444444525288</v>
      </c>
    </row>
    <row r="958" spans="1:24" x14ac:dyDescent="0.35">
      <c r="A958">
        <v>968</v>
      </c>
      <c r="B958" s="9">
        <v>44104.609027777777</v>
      </c>
      <c r="C958" s="10">
        <f>INT(Cardiac_Table[[#This Row],[Hospital Admit Date ]])</f>
        <v>44104</v>
      </c>
      <c r="D958" s="11" t="str">
        <f t="shared" si="14"/>
        <v>14:37</v>
      </c>
      <c r="E958" s="9">
        <v>44106.337500000001</v>
      </c>
      <c r="F958" s="10">
        <f>INT(Cardiac_Table[[#This Row],[Procedure Start Date and Time]])</f>
        <v>44106</v>
      </c>
      <c r="G958" s="12">
        <f>MOD(Cardiac_Table[[#This Row],[Procedure Start Date and Time]],1)</f>
        <v>0.33750000000145519</v>
      </c>
      <c r="H958">
        <v>2</v>
      </c>
      <c r="I958" t="s">
        <v>6</v>
      </c>
      <c r="J958" t="s">
        <v>5</v>
      </c>
      <c r="K958" t="s">
        <v>31</v>
      </c>
      <c r="L958">
        <v>61</v>
      </c>
      <c r="M958">
        <v>4.38</v>
      </c>
      <c r="N958">
        <v>3.22</v>
      </c>
      <c r="O958" t="s">
        <v>15</v>
      </c>
      <c r="P958">
        <v>108</v>
      </c>
      <c r="Q958">
        <v>173</v>
      </c>
      <c r="R958">
        <v>76</v>
      </c>
      <c r="S958">
        <v>32</v>
      </c>
      <c r="T958" t="s">
        <v>50</v>
      </c>
      <c r="U958">
        <f>IF(Cardiac_Table[[#This Row],[Patient Status at Discharge]]="Died", 1,0)</f>
        <v>0</v>
      </c>
      <c r="V958">
        <f>Cardiac_Table[[#This Row],[Risk of Death % (Model 1)]]/100</f>
        <v>4.3799999999999999E-2</v>
      </c>
      <c r="W958">
        <f>Cardiac_Table[[#This Row],[Risk of Death % (Model 2)]]/100</f>
        <v>3.2199999999999999E-2</v>
      </c>
      <c r="X958" s="18">
        <f>Cardiac_Table[[#This Row],[Procedure Start Date and Time]]-Cardiac_Table[[#This Row],[Hospital Admit Date ]]</f>
        <v>1.7284722222248092</v>
      </c>
    </row>
    <row r="959" spans="1:24" x14ac:dyDescent="0.35">
      <c r="A959">
        <v>969</v>
      </c>
      <c r="B959" s="9">
        <v>44105.666666666664</v>
      </c>
      <c r="C959" s="10">
        <f>INT(Cardiac_Table[[#This Row],[Hospital Admit Date ]])</f>
        <v>44105</v>
      </c>
      <c r="D959" s="11" t="str">
        <f t="shared" si="14"/>
        <v>16:00</v>
      </c>
      <c r="E959" s="9">
        <v>44106.34652777778</v>
      </c>
      <c r="F959" s="10">
        <f>INT(Cardiac_Table[[#This Row],[Procedure Start Date and Time]])</f>
        <v>44106</v>
      </c>
      <c r="G959" s="12">
        <f>MOD(Cardiac_Table[[#This Row],[Procedure Start Date and Time]],1)</f>
        <v>0.34652777777955635</v>
      </c>
      <c r="H959">
        <v>6</v>
      </c>
      <c r="I959" t="s">
        <v>4</v>
      </c>
      <c r="J959" t="s">
        <v>3</v>
      </c>
      <c r="K959" t="s">
        <v>27</v>
      </c>
      <c r="L959">
        <v>51</v>
      </c>
      <c r="M959">
        <v>1.51</v>
      </c>
      <c r="N959">
        <v>0.56000000000000005</v>
      </c>
      <c r="O959" t="s">
        <v>15</v>
      </c>
      <c r="P959">
        <v>69</v>
      </c>
      <c r="Q959">
        <v>174</v>
      </c>
      <c r="R959">
        <v>65</v>
      </c>
      <c r="S959">
        <v>60</v>
      </c>
      <c r="T959" t="s">
        <v>48</v>
      </c>
      <c r="U959">
        <f>IF(Cardiac_Table[[#This Row],[Patient Status at Discharge]]="Died", 1,0)</f>
        <v>0</v>
      </c>
      <c r="V959">
        <f>Cardiac_Table[[#This Row],[Risk of Death % (Model 1)]]/100</f>
        <v>1.5100000000000001E-2</v>
      </c>
      <c r="W959">
        <f>Cardiac_Table[[#This Row],[Risk of Death % (Model 2)]]/100</f>
        <v>5.6000000000000008E-3</v>
      </c>
      <c r="X959" s="18">
        <f>Cardiac_Table[[#This Row],[Procedure Start Date and Time]]-Cardiac_Table[[#This Row],[Hospital Admit Date ]]</f>
        <v>0.679861111115315</v>
      </c>
    </row>
    <row r="960" spans="1:24" x14ac:dyDescent="0.35">
      <c r="A960">
        <v>970</v>
      </c>
      <c r="B960" s="9">
        <v>44106.290972222225</v>
      </c>
      <c r="C960" s="10">
        <f>INT(Cardiac_Table[[#This Row],[Hospital Admit Date ]])</f>
        <v>44106</v>
      </c>
      <c r="D960" s="11" t="str">
        <f t="shared" si="14"/>
        <v>06:59</v>
      </c>
      <c r="E960" s="9">
        <v>44106.461805555555</v>
      </c>
      <c r="F960" s="10">
        <f>INT(Cardiac_Table[[#This Row],[Procedure Start Date and Time]])</f>
        <v>44106</v>
      </c>
      <c r="G960" s="12">
        <f>MOD(Cardiac_Table[[#This Row],[Procedure Start Date and Time]],1)</f>
        <v>0.46180555555474712</v>
      </c>
      <c r="H960">
        <v>5</v>
      </c>
      <c r="I960" t="s">
        <v>4</v>
      </c>
      <c r="J960" t="s">
        <v>1</v>
      </c>
      <c r="K960" t="s">
        <v>21</v>
      </c>
      <c r="L960">
        <v>60</v>
      </c>
      <c r="M960">
        <v>4.95</v>
      </c>
      <c r="N960">
        <v>1.64</v>
      </c>
      <c r="O960" t="s">
        <v>13</v>
      </c>
      <c r="P960">
        <v>84</v>
      </c>
      <c r="Q960">
        <v>167</v>
      </c>
      <c r="R960">
        <v>70</v>
      </c>
      <c r="S960">
        <v>16</v>
      </c>
      <c r="T960" t="s">
        <v>51</v>
      </c>
      <c r="U960">
        <f>IF(Cardiac_Table[[#This Row],[Patient Status at Discharge]]="Died", 1,0)</f>
        <v>1</v>
      </c>
      <c r="V960">
        <f>Cardiac_Table[[#This Row],[Risk of Death % (Model 1)]]/100</f>
        <v>4.9500000000000002E-2</v>
      </c>
      <c r="W960">
        <f>Cardiac_Table[[#This Row],[Risk of Death % (Model 2)]]/100</f>
        <v>1.6399999999999998E-2</v>
      </c>
      <c r="X960" s="18">
        <f>Cardiac_Table[[#This Row],[Procedure Start Date and Time]]-Cardiac_Table[[#This Row],[Hospital Admit Date ]]</f>
        <v>0.17083333332993789</v>
      </c>
    </row>
    <row r="961" spans="1:24" x14ac:dyDescent="0.35">
      <c r="A961">
        <v>971</v>
      </c>
      <c r="B961" s="9">
        <v>44106.291666666664</v>
      </c>
      <c r="C961" s="10">
        <f>INT(Cardiac_Table[[#This Row],[Hospital Admit Date ]])</f>
        <v>44106</v>
      </c>
      <c r="D961" s="11" t="str">
        <f t="shared" si="14"/>
        <v>07:00</v>
      </c>
      <c r="E961" s="9">
        <v>44106.56527777778</v>
      </c>
      <c r="F961" s="10">
        <f>INT(Cardiac_Table[[#This Row],[Procedure Start Date and Time]])</f>
        <v>44106</v>
      </c>
      <c r="G961" s="12">
        <f>MOD(Cardiac_Table[[#This Row],[Procedure Start Date and Time]],1)</f>
        <v>0.56527777777955635</v>
      </c>
      <c r="H961">
        <v>2</v>
      </c>
      <c r="I961" t="s">
        <v>4</v>
      </c>
      <c r="J961" t="s">
        <v>10</v>
      </c>
      <c r="K961" t="s">
        <v>31</v>
      </c>
      <c r="L961">
        <v>49</v>
      </c>
      <c r="M961">
        <v>0.88</v>
      </c>
      <c r="N961">
        <v>0.56000000000000005</v>
      </c>
      <c r="O961" t="s">
        <v>15</v>
      </c>
      <c r="P961">
        <v>71</v>
      </c>
      <c r="Q961">
        <v>166</v>
      </c>
      <c r="R961">
        <v>77</v>
      </c>
      <c r="S961">
        <v>65</v>
      </c>
      <c r="T961" t="s">
        <v>48</v>
      </c>
      <c r="U961">
        <f>IF(Cardiac_Table[[#This Row],[Patient Status at Discharge]]="Died", 1,0)</f>
        <v>0</v>
      </c>
      <c r="V961">
        <f>Cardiac_Table[[#This Row],[Risk of Death % (Model 1)]]/100</f>
        <v>8.8000000000000005E-3</v>
      </c>
      <c r="W961">
        <f>Cardiac_Table[[#This Row],[Risk of Death % (Model 2)]]/100</f>
        <v>5.6000000000000008E-3</v>
      </c>
      <c r="X961" s="18">
        <f>Cardiac_Table[[#This Row],[Procedure Start Date and Time]]-Cardiac_Table[[#This Row],[Hospital Admit Date ]]</f>
        <v>0.273611111115315</v>
      </c>
    </row>
    <row r="962" spans="1:24" x14ac:dyDescent="0.35">
      <c r="A962">
        <v>972</v>
      </c>
      <c r="B962" s="9">
        <v>44102.734027777777</v>
      </c>
      <c r="C962" s="10">
        <f>INT(Cardiac_Table[[#This Row],[Hospital Admit Date ]])</f>
        <v>44102</v>
      </c>
      <c r="D962" s="11" t="str">
        <f t="shared" ref="D962:D1025" si="15">TEXT(B962,"HH:MM")</f>
        <v>17:37</v>
      </c>
      <c r="E962" s="9">
        <v>44106.621527777781</v>
      </c>
      <c r="F962" s="10">
        <f>INT(Cardiac_Table[[#This Row],[Procedure Start Date and Time]])</f>
        <v>44106</v>
      </c>
      <c r="G962" s="12">
        <f>MOD(Cardiac_Table[[#This Row],[Procedure Start Date and Time]],1)</f>
        <v>0.62152777778101154</v>
      </c>
      <c r="H962">
        <v>4</v>
      </c>
      <c r="I962" t="s">
        <v>6</v>
      </c>
      <c r="J962" t="s">
        <v>10</v>
      </c>
      <c r="K962" t="s">
        <v>27</v>
      </c>
      <c r="L962">
        <v>78</v>
      </c>
      <c r="M962">
        <v>7.64</v>
      </c>
      <c r="N962">
        <v>4.2</v>
      </c>
      <c r="O962" t="s">
        <v>15</v>
      </c>
      <c r="P962">
        <v>147</v>
      </c>
      <c r="Q962">
        <v>170</v>
      </c>
      <c r="R962">
        <v>74</v>
      </c>
      <c r="S962">
        <v>40</v>
      </c>
      <c r="T962" t="s">
        <v>50</v>
      </c>
      <c r="U962">
        <f>IF(Cardiac_Table[[#This Row],[Patient Status at Discharge]]="Died", 1,0)</f>
        <v>0</v>
      </c>
      <c r="V962">
        <f>Cardiac_Table[[#This Row],[Risk of Death % (Model 1)]]/100</f>
        <v>7.6399999999999996E-2</v>
      </c>
      <c r="W962">
        <f>Cardiac_Table[[#This Row],[Risk of Death % (Model 2)]]/100</f>
        <v>4.2000000000000003E-2</v>
      </c>
      <c r="X962" s="18">
        <f>Cardiac_Table[[#This Row],[Procedure Start Date and Time]]-Cardiac_Table[[#This Row],[Hospital Admit Date ]]</f>
        <v>3.8875000000043656</v>
      </c>
    </row>
    <row r="963" spans="1:24" x14ac:dyDescent="0.35">
      <c r="A963">
        <v>973</v>
      </c>
      <c r="B963" s="9">
        <v>44106.657638888886</v>
      </c>
      <c r="C963" s="10">
        <f>INT(Cardiac_Table[[#This Row],[Hospital Admit Date ]])</f>
        <v>44106</v>
      </c>
      <c r="D963" s="11" t="str">
        <f t="shared" si="15"/>
        <v>15:47</v>
      </c>
      <c r="E963" s="9">
        <v>44107.327777777777</v>
      </c>
      <c r="F963" s="10">
        <f>INT(Cardiac_Table[[#This Row],[Procedure Start Date and Time]])</f>
        <v>44107</v>
      </c>
      <c r="G963" s="12">
        <f>MOD(Cardiac_Table[[#This Row],[Procedure Start Date and Time]],1)</f>
        <v>0.32777777777664596</v>
      </c>
      <c r="H963">
        <v>4</v>
      </c>
      <c r="I963" t="s">
        <v>4</v>
      </c>
      <c r="J963" t="s">
        <v>3</v>
      </c>
      <c r="K963" t="s">
        <v>30</v>
      </c>
      <c r="L963">
        <v>61</v>
      </c>
      <c r="M963">
        <v>4.96</v>
      </c>
      <c r="N963">
        <v>2.93</v>
      </c>
      <c r="O963" t="s">
        <v>15</v>
      </c>
      <c r="P963">
        <v>141</v>
      </c>
      <c r="Q963">
        <v>171</v>
      </c>
      <c r="R963">
        <v>95</v>
      </c>
      <c r="S963">
        <v>65</v>
      </c>
      <c r="T963" t="s">
        <v>48</v>
      </c>
      <c r="U963">
        <f>IF(Cardiac_Table[[#This Row],[Patient Status at Discharge]]="Died", 1,0)</f>
        <v>0</v>
      </c>
      <c r="V963">
        <f>Cardiac_Table[[#This Row],[Risk of Death % (Model 1)]]/100</f>
        <v>4.9599999999999998E-2</v>
      </c>
      <c r="W963">
        <f>Cardiac_Table[[#This Row],[Risk of Death % (Model 2)]]/100</f>
        <v>2.9300000000000003E-2</v>
      </c>
      <c r="X963" s="18">
        <f>Cardiac_Table[[#This Row],[Procedure Start Date and Time]]-Cardiac_Table[[#This Row],[Hospital Admit Date ]]</f>
        <v>0.67013888889050577</v>
      </c>
    </row>
    <row r="964" spans="1:24" x14ac:dyDescent="0.35">
      <c r="A964">
        <v>974</v>
      </c>
      <c r="B964" s="9">
        <v>44107.288194444445</v>
      </c>
      <c r="C964" s="10">
        <f>INT(Cardiac_Table[[#This Row],[Hospital Admit Date ]])</f>
        <v>44107</v>
      </c>
      <c r="D964" s="11" t="str">
        <f t="shared" si="15"/>
        <v>06:55</v>
      </c>
      <c r="E964" s="9">
        <v>44107.456944444442</v>
      </c>
      <c r="F964" s="10">
        <f>INT(Cardiac_Table[[#This Row],[Procedure Start Date and Time]])</f>
        <v>44107</v>
      </c>
      <c r="G964" s="12">
        <f>MOD(Cardiac_Table[[#This Row],[Procedure Start Date and Time]],1)</f>
        <v>0.4569444444423425</v>
      </c>
      <c r="H964">
        <v>4</v>
      </c>
      <c r="I964" t="s">
        <v>4</v>
      </c>
      <c r="J964" t="s">
        <v>3</v>
      </c>
      <c r="K964" t="s">
        <v>30</v>
      </c>
      <c r="L964">
        <v>71</v>
      </c>
      <c r="M964">
        <v>3.29</v>
      </c>
      <c r="N964">
        <v>1.03</v>
      </c>
      <c r="O964" t="s">
        <v>15</v>
      </c>
      <c r="P964">
        <v>66</v>
      </c>
      <c r="Q964">
        <v>175</v>
      </c>
      <c r="R964">
        <v>85</v>
      </c>
      <c r="S964">
        <v>31</v>
      </c>
      <c r="T964" t="s">
        <v>50</v>
      </c>
      <c r="U964">
        <f>IF(Cardiac_Table[[#This Row],[Patient Status at Discharge]]="Died", 1,0)</f>
        <v>0</v>
      </c>
      <c r="V964">
        <f>Cardiac_Table[[#This Row],[Risk of Death % (Model 1)]]/100</f>
        <v>3.2899999999999999E-2</v>
      </c>
      <c r="W964">
        <f>Cardiac_Table[[#This Row],[Risk of Death % (Model 2)]]/100</f>
        <v>1.03E-2</v>
      </c>
      <c r="X964" s="18">
        <f>Cardiac_Table[[#This Row],[Procedure Start Date and Time]]-Cardiac_Table[[#This Row],[Hospital Admit Date ]]</f>
        <v>0.16874999999708962</v>
      </c>
    </row>
    <row r="965" spans="1:24" x14ac:dyDescent="0.35">
      <c r="A965">
        <v>975</v>
      </c>
      <c r="B965" s="9">
        <v>44107.416666666664</v>
      </c>
      <c r="C965" s="10">
        <f>INT(Cardiac_Table[[#This Row],[Hospital Admit Date ]])</f>
        <v>44107</v>
      </c>
      <c r="D965" s="11" t="str">
        <f t="shared" si="15"/>
        <v>10:00</v>
      </c>
      <c r="E965" s="9">
        <v>44109.336805555555</v>
      </c>
      <c r="F965" s="10">
        <f>INT(Cardiac_Table[[#This Row],[Procedure Start Date and Time]])</f>
        <v>44109</v>
      </c>
      <c r="G965" s="12">
        <f>MOD(Cardiac_Table[[#This Row],[Procedure Start Date and Time]],1)</f>
        <v>0.33680555555474712</v>
      </c>
      <c r="H965">
        <v>5</v>
      </c>
      <c r="I965" t="s">
        <v>6</v>
      </c>
      <c r="J965" t="s">
        <v>10</v>
      </c>
      <c r="K965" t="s">
        <v>31</v>
      </c>
      <c r="L965">
        <v>75</v>
      </c>
      <c r="M965">
        <v>13.16</v>
      </c>
      <c r="N965">
        <v>3.43</v>
      </c>
      <c r="O965" t="s">
        <v>15</v>
      </c>
      <c r="P965">
        <v>67</v>
      </c>
      <c r="Q965">
        <v>160</v>
      </c>
      <c r="R965">
        <v>60</v>
      </c>
      <c r="S965">
        <v>54</v>
      </c>
      <c r="T965" t="s">
        <v>48</v>
      </c>
      <c r="U965">
        <f>IF(Cardiac_Table[[#This Row],[Patient Status at Discharge]]="Died", 1,0)</f>
        <v>0</v>
      </c>
      <c r="V965">
        <f>Cardiac_Table[[#This Row],[Risk of Death % (Model 1)]]/100</f>
        <v>0.13159999999999999</v>
      </c>
      <c r="W965">
        <f>Cardiac_Table[[#This Row],[Risk of Death % (Model 2)]]/100</f>
        <v>3.4300000000000004E-2</v>
      </c>
      <c r="X965" s="18">
        <f>Cardiac_Table[[#This Row],[Procedure Start Date and Time]]-Cardiac_Table[[#This Row],[Hospital Admit Date ]]</f>
        <v>1.9201388888905058</v>
      </c>
    </row>
    <row r="966" spans="1:24" x14ac:dyDescent="0.35">
      <c r="A966">
        <v>976</v>
      </c>
      <c r="B966" s="9">
        <v>44108.666666666664</v>
      </c>
      <c r="C966" s="10">
        <f>INT(Cardiac_Table[[#This Row],[Hospital Admit Date ]])</f>
        <v>44108</v>
      </c>
      <c r="D966" s="11" t="str">
        <f t="shared" si="15"/>
        <v>16:00</v>
      </c>
      <c r="E966" s="9">
        <v>44109.336805555555</v>
      </c>
      <c r="F966" s="10">
        <f>INT(Cardiac_Table[[#This Row],[Procedure Start Date and Time]])</f>
        <v>44109</v>
      </c>
      <c r="G966" s="12">
        <f>MOD(Cardiac_Table[[#This Row],[Procedure Start Date and Time]],1)</f>
        <v>0.33680555555474712</v>
      </c>
      <c r="H966">
        <v>2</v>
      </c>
      <c r="I966" t="s">
        <v>4</v>
      </c>
      <c r="J966" t="s">
        <v>3</v>
      </c>
      <c r="K966" t="s">
        <v>33</v>
      </c>
      <c r="L966">
        <v>70</v>
      </c>
      <c r="M966">
        <v>8.5299999999999994</v>
      </c>
      <c r="N966">
        <v>5.26</v>
      </c>
      <c r="O966" t="s">
        <v>15</v>
      </c>
      <c r="P966">
        <v>111</v>
      </c>
      <c r="Q966">
        <v>177</v>
      </c>
      <c r="R966">
        <v>91</v>
      </c>
      <c r="S966">
        <v>55</v>
      </c>
      <c r="T966" t="s">
        <v>48</v>
      </c>
      <c r="U966">
        <f>IF(Cardiac_Table[[#This Row],[Patient Status at Discharge]]="Died", 1,0)</f>
        <v>0</v>
      </c>
      <c r="V966">
        <f>Cardiac_Table[[#This Row],[Risk of Death % (Model 1)]]/100</f>
        <v>8.5299999999999987E-2</v>
      </c>
      <c r="W966">
        <f>Cardiac_Table[[#This Row],[Risk of Death % (Model 2)]]/100</f>
        <v>5.2600000000000001E-2</v>
      </c>
      <c r="X966" s="18">
        <f>Cardiac_Table[[#This Row],[Procedure Start Date and Time]]-Cardiac_Table[[#This Row],[Hospital Admit Date ]]</f>
        <v>0.67013888889050577</v>
      </c>
    </row>
    <row r="967" spans="1:24" x14ac:dyDescent="0.35">
      <c r="A967">
        <v>977</v>
      </c>
      <c r="B967" s="9">
        <v>44108.640972222223</v>
      </c>
      <c r="C967" s="10">
        <f>INT(Cardiac_Table[[#This Row],[Hospital Admit Date ]])</f>
        <v>44108</v>
      </c>
      <c r="D967" s="11" t="str">
        <f t="shared" si="15"/>
        <v>15:23</v>
      </c>
      <c r="E967" s="9">
        <v>44109.342361111114</v>
      </c>
      <c r="F967" s="10">
        <f>INT(Cardiac_Table[[#This Row],[Procedure Start Date and Time]])</f>
        <v>44109</v>
      </c>
      <c r="G967" s="12">
        <f>MOD(Cardiac_Table[[#This Row],[Procedure Start Date and Time]],1)</f>
        <v>0.34236111111385981</v>
      </c>
      <c r="H967">
        <v>4</v>
      </c>
      <c r="I967" t="s">
        <v>4</v>
      </c>
      <c r="J967" t="s">
        <v>3</v>
      </c>
      <c r="K967" t="s">
        <v>35</v>
      </c>
      <c r="L967">
        <v>83</v>
      </c>
      <c r="M967">
        <v>9.52</v>
      </c>
      <c r="N967">
        <v>4.13</v>
      </c>
      <c r="O967" t="s">
        <v>15</v>
      </c>
      <c r="P967">
        <v>74</v>
      </c>
      <c r="Q967">
        <v>147</v>
      </c>
      <c r="R967">
        <v>57</v>
      </c>
      <c r="S967">
        <v>35</v>
      </c>
      <c r="T967" t="s">
        <v>50</v>
      </c>
      <c r="U967">
        <f>IF(Cardiac_Table[[#This Row],[Patient Status at Discharge]]="Died", 1,0)</f>
        <v>0</v>
      </c>
      <c r="V967">
        <f>Cardiac_Table[[#This Row],[Risk of Death % (Model 1)]]/100</f>
        <v>9.5199999999999993E-2</v>
      </c>
      <c r="W967">
        <f>Cardiac_Table[[#This Row],[Risk of Death % (Model 2)]]/100</f>
        <v>4.1299999999999996E-2</v>
      </c>
      <c r="X967" s="18">
        <f>Cardiac_Table[[#This Row],[Procedure Start Date and Time]]-Cardiac_Table[[#This Row],[Hospital Admit Date ]]</f>
        <v>0.70138888889050577</v>
      </c>
    </row>
    <row r="968" spans="1:24" x14ac:dyDescent="0.35">
      <c r="A968">
        <v>978</v>
      </c>
      <c r="B968" s="9">
        <v>44109.302083333336</v>
      </c>
      <c r="C968" s="10">
        <f>INT(Cardiac_Table[[#This Row],[Hospital Admit Date ]])</f>
        <v>44109</v>
      </c>
      <c r="D968" s="11" t="str">
        <f t="shared" si="15"/>
        <v>07:15</v>
      </c>
      <c r="E968" s="9">
        <v>44109.53125</v>
      </c>
      <c r="F968" s="10">
        <f>INT(Cardiac_Table[[#This Row],[Procedure Start Date and Time]])</f>
        <v>44109</v>
      </c>
      <c r="G968" s="12">
        <f>MOD(Cardiac_Table[[#This Row],[Procedure Start Date and Time]],1)</f>
        <v>0.53125</v>
      </c>
      <c r="H968">
        <v>5</v>
      </c>
      <c r="I968" t="s">
        <v>4</v>
      </c>
      <c r="J968" t="s">
        <v>11</v>
      </c>
      <c r="K968" t="s">
        <v>31</v>
      </c>
      <c r="L968">
        <v>73</v>
      </c>
      <c r="M968">
        <v>3.74</v>
      </c>
      <c r="N968">
        <v>1.38</v>
      </c>
      <c r="O968" t="s">
        <v>15</v>
      </c>
      <c r="P968">
        <v>98</v>
      </c>
      <c r="Q968">
        <v>160</v>
      </c>
      <c r="R968">
        <v>71</v>
      </c>
      <c r="S968">
        <v>55</v>
      </c>
      <c r="T968" t="s">
        <v>48</v>
      </c>
      <c r="U968">
        <f>IF(Cardiac_Table[[#This Row],[Patient Status at Discharge]]="Died", 1,0)</f>
        <v>0</v>
      </c>
      <c r="V968">
        <f>Cardiac_Table[[#This Row],[Risk of Death % (Model 1)]]/100</f>
        <v>3.7400000000000003E-2</v>
      </c>
      <c r="W968">
        <f>Cardiac_Table[[#This Row],[Risk of Death % (Model 2)]]/100</f>
        <v>1.38E-2</v>
      </c>
      <c r="X968" s="18">
        <f>Cardiac_Table[[#This Row],[Procedure Start Date and Time]]-Cardiac_Table[[#This Row],[Hospital Admit Date ]]</f>
        <v>0.22916666666424135</v>
      </c>
    </row>
    <row r="969" spans="1:24" x14ac:dyDescent="0.35">
      <c r="A969">
        <v>979</v>
      </c>
      <c r="B969" s="9">
        <v>44106.290972222225</v>
      </c>
      <c r="C969" s="10">
        <f>INT(Cardiac_Table[[#This Row],[Hospital Admit Date ]])</f>
        <v>44106</v>
      </c>
      <c r="D969" s="11" t="str">
        <f t="shared" si="15"/>
        <v>06:59</v>
      </c>
      <c r="E969" s="9">
        <v>44109.553472222222</v>
      </c>
      <c r="F969" s="10">
        <f>INT(Cardiac_Table[[#This Row],[Procedure Start Date and Time]])</f>
        <v>44109</v>
      </c>
      <c r="G969" s="12">
        <f>MOD(Cardiac_Table[[#This Row],[Procedure Start Date and Time]],1)</f>
        <v>0.55347222222189885</v>
      </c>
      <c r="H969">
        <v>4</v>
      </c>
      <c r="I969" t="s">
        <v>2</v>
      </c>
      <c r="J969" t="s">
        <v>10</v>
      </c>
      <c r="K969" t="s">
        <v>21</v>
      </c>
      <c r="L969">
        <v>60</v>
      </c>
      <c r="M969">
        <v>28.08</v>
      </c>
      <c r="N969">
        <v>19.059999999999999</v>
      </c>
      <c r="O969" t="s">
        <v>13</v>
      </c>
      <c r="P969">
        <v>71</v>
      </c>
      <c r="Q969">
        <v>166</v>
      </c>
      <c r="R969">
        <v>83</v>
      </c>
      <c r="S969">
        <v>53</v>
      </c>
      <c r="T969" t="s">
        <v>48</v>
      </c>
      <c r="U969">
        <f>IF(Cardiac_Table[[#This Row],[Patient Status at Discharge]]="Died", 1,0)</f>
        <v>1</v>
      </c>
      <c r="V969">
        <f>Cardiac_Table[[#This Row],[Risk of Death % (Model 1)]]/100</f>
        <v>0.28079999999999999</v>
      </c>
      <c r="W969">
        <f>Cardiac_Table[[#This Row],[Risk of Death % (Model 2)]]/100</f>
        <v>0.19059999999999999</v>
      </c>
      <c r="X969" s="18">
        <f>Cardiac_Table[[#This Row],[Procedure Start Date and Time]]-Cardiac_Table[[#This Row],[Hospital Admit Date ]]</f>
        <v>3.2624999999970896</v>
      </c>
    </row>
    <row r="970" spans="1:24" x14ac:dyDescent="0.35">
      <c r="A970">
        <v>980</v>
      </c>
      <c r="B970" s="9">
        <v>44109.291666666664</v>
      </c>
      <c r="C970" s="10">
        <f>INT(Cardiac_Table[[#This Row],[Hospital Admit Date ]])</f>
        <v>44109</v>
      </c>
      <c r="D970" s="11" t="str">
        <f t="shared" si="15"/>
        <v>07:00</v>
      </c>
      <c r="E970" s="9">
        <v>44109.56527777778</v>
      </c>
      <c r="F970" s="10">
        <f>INT(Cardiac_Table[[#This Row],[Procedure Start Date and Time]])</f>
        <v>44109</v>
      </c>
      <c r="G970" s="12">
        <f>MOD(Cardiac_Table[[#This Row],[Procedure Start Date and Time]],1)</f>
        <v>0.56527777777955635</v>
      </c>
      <c r="H970">
        <v>2</v>
      </c>
      <c r="I970" t="s">
        <v>4</v>
      </c>
      <c r="J970" t="s">
        <v>10</v>
      </c>
      <c r="K970" t="s">
        <v>33</v>
      </c>
      <c r="L970">
        <v>70</v>
      </c>
      <c r="M970">
        <v>3.44</v>
      </c>
      <c r="N970">
        <v>2.04</v>
      </c>
      <c r="O970" t="s">
        <v>15</v>
      </c>
      <c r="P970">
        <v>75</v>
      </c>
      <c r="Q970">
        <v>167</v>
      </c>
      <c r="R970">
        <v>73</v>
      </c>
      <c r="S970">
        <v>42</v>
      </c>
      <c r="T970" t="s">
        <v>50</v>
      </c>
      <c r="U970">
        <f>IF(Cardiac_Table[[#This Row],[Patient Status at Discharge]]="Died", 1,0)</f>
        <v>0</v>
      </c>
      <c r="V970">
        <f>Cardiac_Table[[#This Row],[Risk of Death % (Model 1)]]/100</f>
        <v>3.44E-2</v>
      </c>
      <c r="W970">
        <f>Cardiac_Table[[#This Row],[Risk of Death % (Model 2)]]/100</f>
        <v>2.0400000000000001E-2</v>
      </c>
      <c r="X970" s="18">
        <f>Cardiac_Table[[#This Row],[Procedure Start Date and Time]]-Cardiac_Table[[#This Row],[Hospital Admit Date ]]</f>
        <v>0.273611111115315</v>
      </c>
    </row>
    <row r="971" spans="1:24" x14ac:dyDescent="0.35">
      <c r="A971">
        <v>981</v>
      </c>
      <c r="B971" s="9">
        <v>44109.595138888886</v>
      </c>
      <c r="C971" s="10">
        <f>INT(Cardiac_Table[[#This Row],[Hospital Admit Date ]])</f>
        <v>44109</v>
      </c>
      <c r="D971" s="11" t="str">
        <f t="shared" si="15"/>
        <v>14:17</v>
      </c>
      <c r="E971" s="9">
        <v>44110.520833333336</v>
      </c>
      <c r="F971" s="10">
        <f>INT(Cardiac_Table[[#This Row],[Procedure Start Date and Time]])</f>
        <v>44110</v>
      </c>
      <c r="G971" s="12">
        <f>MOD(Cardiac_Table[[#This Row],[Procedure Start Date and Time]],1)</f>
        <v>0.52083333333575865</v>
      </c>
      <c r="H971">
        <v>1</v>
      </c>
      <c r="I971" t="s">
        <v>4</v>
      </c>
      <c r="J971" t="s">
        <v>3</v>
      </c>
      <c r="K971" t="s">
        <v>28</v>
      </c>
      <c r="L971">
        <v>42</v>
      </c>
      <c r="M971">
        <v>1.51</v>
      </c>
      <c r="N971">
        <v>0.68</v>
      </c>
      <c r="O971" t="s">
        <v>15</v>
      </c>
      <c r="P971">
        <v>105</v>
      </c>
      <c r="Q971">
        <v>170</v>
      </c>
      <c r="R971">
        <v>102</v>
      </c>
      <c r="S971">
        <v>32</v>
      </c>
      <c r="T971" t="s">
        <v>50</v>
      </c>
      <c r="U971">
        <f>IF(Cardiac_Table[[#This Row],[Patient Status at Discharge]]="Died", 1,0)</f>
        <v>0</v>
      </c>
      <c r="V971">
        <f>Cardiac_Table[[#This Row],[Risk of Death % (Model 1)]]/100</f>
        <v>1.5100000000000001E-2</v>
      </c>
      <c r="W971">
        <f>Cardiac_Table[[#This Row],[Risk of Death % (Model 2)]]/100</f>
        <v>6.8000000000000005E-3</v>
      </c>
      <c r="X971" s="18">
        <f>Cardiac_Table[[#This Row],[Procedure Start Date and Time]]-Cardiac_Table[[#This Row],[Hospital Admit Date ]]</f>
        <v>0.92569444444961846</v>
      </c>
    </row>
    <row r="972" spans="1:24" x14ac:dyDescent="0.35">
      <c r="A972">
        <v>982</v>
      </c>
      <c r="B972" s="9">
        <v>44110.29791666667</v>
      </c>
      <c r="C972" s="10">
        <f>INT(Cardiac_Table[[#This Row],[Hospital Admit Date ]])</f>
        <v>44110</v>
      </c>
      <c r="D972" s="11" t="str">
        <f t="shared" si="15"/>
        <v>07:09</v>
      </c>
      <c r="E972" s="9">
        <v>44110.527777777781</v>
      </c>
      <c r="F972" s="10">
        <f>INT(Cardiac_Table[[#This Row],[Procedure Start Date and Time]])</f>
        <v>44110</v>
      </c>
      <c r="G972" s="12">
        <f>MOD(Cardiac_Table[[#This Row],[Procedure Start Date and Time]],1)</f>
        <v>0.52777777778101154</v>
      </c>
      <c r="H972">
        <v>5</v>
      </c>
      <c r="I972" t="s">
        <v>4</v>
      </c>
      <c r="J972" t="s">
        <v>10</v>
      </c>
      <c r="K972" t="s">
        <v>23</v>
      </c>
      <c r="L972">
        <v>64</v>
      </c>
      <c r="M972">
        <v>1.85</v>
      </c>
      <c r="N972">
        <v>0.85</v>
      </c>
      <c r="O972" t="s">
        <v>15</v>
      </c>
      <c r="P972">
        <v>162</v>
      </c>
      <c r="Q972">
        <v>178</v>
      </c>
      <c r="R972">
        <v>91</v>
      </c>
      <c r="S972">
        <v>42</v>
      </c>
      <c r="T972" t="s">
        <v>50</v>
      </c>
      <c r="U972">
        <f>IF(Cardiac_Table[[#This Row],[Patient Status at Discharge]]="Died", 1,0)</f>
        <v>0</v>
      </c>
      <c r="V972">
        <f>Cardiac_Table[[#This Row],[Risk of Death % (Model 1)]]/100</f>
        <v>1.8500000000000003E-2</v>
      </c>
      <c r="W972">
        <f>Cardiac_Table[[#This Row],[Risk of Death % (Model 2)]]/100</f>
        <v>8.5000000000000006E-3</v>
      </c>
      <c r="X972" s="18">
        <f>Cardiac_Table[[#This Row],[Procedure Start Date and Time]]-Cardiac_Table[[#This Row],[Hospital Admit Date ]]</f>
        <v>0.22986111111094942</v>
      </c>
    </row>
    <row r="973" spans="1:24" x14ac:dyDescent="0.35">
      <c r="A973">
        <v>983</v>
      </c>
      <c r="B973" s="9">
        <v>44110.293749999997</v>
      </c>
      <c r="C973" s="10">
        <f>INT(Cardiac_Table[[#This Row],[Hospital Admit Date ]])</f>
        <v>44110</v>
      </c>
      <c r="D973" s="11" t="str">
        <f t="shared" si="15"/>
        <v>07:03</v>
      </c>
      <c r="E973" s="9">
        <v>44110.538194444445</v>
      </c>
      <c r="F973" s="10">
        <f>INT(Cardiac_Table[[#This Row],[Procedure Start Date and Time]])</f>
        <v>44110</v>
      </c>
      <c r="G973" s="12">
        <f>MOD(Cardiac_Table[[#This Row],[Procedure Start Date and Time]],1)</f>
        <v>0.53819444444525288</v>
      </c>
      <c r="H973">
        <v>3</v>
      </c>
      <c r="I973" t="s">
        <v>4</v>
      </c>
      <c r="J973" t="s">
        <v>3</v>
      </c>
      <c r="K973" t="s">
        <v>34</v>
      </c>
      <c r="L973">
        <v>73</v>
      </c>
      <c r="M973">
        <v>3.74</v>
      </c>
      <c r="N973">
        <v>1.0900000000000001</v>
      </c>
      <c r="O973" t="s">
        <v>15</v>
      </c>
      <c r="P973">
        <v>80</v>
      </c>
      <c r="Q973">
        <v>160</v>
      </c>
      <c r="R973">
        <v>98</v>
      </c>
      <c r="S973">
        <v>29</v>
      </c>
      <c r="T973" t="s">
        <v>49</v>
      </c>
      <c r="U973">
        <f>IF(Cardiac_Table[[#This Row],[Patient Status at Discharge]]="Died", 1,0)</f>
        <v>0</v>
      </c>
      <c r="V973">
        <f>Cardiac_Table[[#This Row],[Risk of Death % (Model 1)]]/100</f>
        <v>3.7400000000000003E-2</v>
      </c>
      <c r="W973">
        <f>Cardiac_Table[[#This Row],[Risk of Death % (Model 2)]]/100</f>
        <v>1.09E-2</v>
      </c>
      <c r="X973" s="18">
        <f>Cardiac_Table[[#This Row],[Procedure Start Date and Time]]-Cardiac_Table[[#This Row],[Hospital Admit Date ]]</f>
        <v>0.24444444444816327</v>
      </c>
    </row>
    <row r="974" spans="1:24" x14ac:dyDescent="0.35">
      <c r="A974">
        <v>984</v>
      </c>
      <c r="B974" s="9">
        <v>44110.29791666667</v>
      </c>
      <c r="C974" s="10">
        <f>INT(Cardiac_Table[[#This Row],[Hospital Admit Date ]])</f>
        <v>44110</v>
      </c>
      <c r="D974" s="11" t="str">
        <f t="shared" si="15"/>
        <v>07:09</v>
      </c>
      <c r="E974" s="9">
        <v>44110.54791666667</v>
      </c>
      <c r="F974" s="10">
        <f>INT(Cardiac_Table[[#This Row],[Procedure Start Date and Time]])</f>
        <v>44110</v>
      </c>
      <c r="G974" s="12">
        <f>MOD(Cardiac_Table[[#This Row],[Procedure Start Date and Time]],1)</f>
        <v>0.54791666667006211</v>
      </c>
      <c r="H974">
        <v>6</v>
      </c>
      <c r="I974" t="s">
        <v>4</v>
      </c>
      <c r="J974" t="s">
        <v>1</v>
      </c>
      <c r="K974" t="s">
        <v>29</v>
      </c>
      <c r="L974">
        <v>73</v>
      </c>
      <c r="M974">
        <v>31.97</v>
      </c>
      <c r="N974">
        <v>17.489999999999998</v>
      </c>
      <c r="O974" t="s">
        <v>15</v>
      </c>
      <c r="P974">
        <v>120</v>
      </c>
      <c r="Q974">
        <v>178</v>
      </c>
      <c r="R974">
        <v>77</v>
      </c>
      <c r="S974">
        <v>50</v>
      </c>
      <c r="T974" t="s">
        <v>50</v>
      </c>
      <c r="U974">
        <f>IF(Cardiac_Table[[#This Row],[Patient Status at Discharge]]="Died", 1,0)</f>
        <v>0</v>
      </c>
      <c r="V974">
        <f>Cardiac_Table[[#This Row],[Risk of Death % (Model 1)]]/100</f>
        <v>0.31969999999999998</v>
      </c>
      <c r="W974">
        <f>Cardiac_Table[[#This Row],[Risk of Death % (Model 2)]]/100</f>
        <v>0.17489999999999997</v>
      </c>
      <c r="X974" s="18">
        <f>Cardiac_Table[[#This Row],[Procedure Start Date and Time]]-Cardiac_Table[[#This Row],[Hospital Admit Date ]]</f>
        <v>0.25</v>
      </c>
    </row>
    <row r="975" spans="1:24" x14ac:dyDescent="0.35">
      <c r="A975">
        <v>985</v>
      </c>
      <c r="B975" s="9">
        <v>44110.302083333336</v>
      </c>
      <c r="C975" s="10">
        <f>INT(Cardiac_Table[[#This Row],[Hospital Admit Date ]])</f>
        <v>44110</v>
      </c>
      <c r="D975" s="11" t="str">
        <f t="shared" si="15"/>
        <v>07:15</v>
      </c>
      <c r="E975" s="9">
        <v>44110.669444444444</v>
      </c>
      <c r="F975" s="10">
        <f>INT(Cardiac_Table[[#This Row],[Procedure Start Date and Time]])</f>
        <v>44110</v>
      </c>
      <c r="G975" s="12">
        <f>MOD(Cardiac_Table[[#This Row],[Procedure Start Date and Time]],1)</f>
        <v>0.66944444444379769</v>
      </c>
      <c r="H975">
        <v>4</v>
      </c>
      <c r="I975" t="s">
        <v>4</v>
      </c>
      <c r="J975" t="s">
        <v>3</v>
      </c>
      <c r="K975" t="s">
        <v>23</v>
      </c>
      <c r="L975">
        <v>68</v>
      </c>
      <c r="M975">
        <v>4.3600000000000003</v>
      </c>
      <c r="N975">
        <v>0.76</v>
      </c>
      <c r="O975" t="s">
        <v>15</v>
      </c>
      <c r="P975">
        <v>79</v>
      </c>
      <c r="Q975">
        <v>163</v>
      </c>
      <c r="R975">
        <v>128</v>
      </c>
      <c r="S975">
        <v>62</v>
      </c>
      <c r="T975" t="s">
        <v>48</v>
      </c>
      <c r="U975">
        <f>IF(Cardiac_Table[[#This Row],[Patient Status at Discharge]]="Died", 1,0)</f>
        <v>0</v>
      </c>
      <c r="V975">
        <f>Cardiac_Table[[#This Row],[Risk of Death % (Model 1)]]/100</f>
        <v>4.36E-2</v>
      </c>
      <c r="W975">
        <f>Cardiac_Table[[#This Row],[Risk of Death % (Model 2)]]/100</f>
        <v>7.6E-3</v>
      </c>
      <c r="X975" s="18">
        <f>Cardiac_Table[[#This Row],[Procedure Start Date and Time]]-Cardiac_Table[[#This Row],[Hospital Admit Date ]]</f>
        <v>0.36736111110803904</v>
      </c>
    </row>
    <row r="976" spans="1:24" x14ac:dyDescent="0.35">
      <c r="A976">
        <v>986</v>
      </c>
      <c r="B976" s="9">
        <v>44102.443749999999</v>
      </c>
      <c r="C976" s="10">
        <f>INT(Cardiac_Table[[#This Row],[Hospital Admit Date ]])</f>
        <v>44102</v>
      </c>
      <c r="D976" s="11" t="str">
        <f t="shared" si="15"/>
        <v>10:39</v>
      </c>
      <c r="E976" s="9">
        <v>44111.338194444441</v>
      </c>
      <c r="F976" s="10">
        <f>INT(Cardiac_Table[[#This Row],[Procedure Start Date and Time]])</f>
        <v>44111</v>
      </c>
      <c r="G976" s="12">
        <f>MOD(Cardiac_Table[[#This Row],[Procedure Start Date and Time]],1)</f>
        <v>0.33819444444088731</v>
      </c>
      <c r="H976">
        <v>4</v>
      </c>
      <c r="I976" t="s">
        <v>6</v>
      </c>
      <c r="J976" t="s">
        <v>10</v>
      </c>
      <c r="K976" t="s">
        <v>24</v>
      </c>
      <c r="L976">
        <v>63</v>
      </c>
      <c r="M976">
        <v>2.71</v>
      </c>
      <c r="N976">
        <v>1.5</v>
      </c>
      <c r="O976" t="s">
        <v>15</v>
      </c>
      <c r="P976">
        <v>90</v>
      </c>
      <c r="Q976">
        <v>166</v>
      </c>
      <c r="R976">
        <v>66</v>
      </c>
      <c r="S976">
        <v>58</v>
      </c>
      <c r="T976" t="s">
        <v>48</v>
      </c>
      <c r="U976">
        <f>IF(Cardiac_Table[[#This Row],[Patient Status at Discharge]]="Died", 1,0)</f>
        <v>0</v>
      </c>
      <c r="V976">
        <f>Cardiac_Table[[#This Row],[Risk of Death % (Model 1)]]/100</f>
        <v>2.7099999999999999E-2</v>
      </c>
      <c r="W976">
        <f>Cardiac_Table[[#This Row],[Risk of Death % (Model 2)]]/100</f>
        <v>1.4999999999999999E-2</v>
      </c>
      <c r="X976" s="18">
        <f>Cardiac_Table[[#This Row],[Procedure Start Date and Time]]-Cardiac_Table[[#This Row],[Hospital Admit Date ]]</f>
        <v>8.8944444444423425</v>
      </c>
    </row>
    <row r="977" spans="1:24" x14ac:dyDescent="0.35">
      <c r="A977">
        <v>987</v>
      </c>
      <c r="B977" s="9">
        <v>44110.664583333331</v>
      </c>
      <c r="C977" s="10">
        <f>INT(Cardiac_Table[[#This Row],[Hospital Admit Date ]])</f>
        <v>44110</v>
      </c>
      <c r="D977" s="11" t="str">
        <f t="shared" si="15"/>
        <v>15:57</v>
      </c>
      <c r="E977" s="9">
        <v>44111.34097222222</v>
      </c>
      <c r="F977" s="10">
        <f>INT(Cardiac_Table[[#This Row],[Procedure Start Date and Time]])</f>
        <v>44111</v>
      </c>
      <c r="G977" s="12">
        <f>MOD(Cardiac_Table[[#This Row],[Procedure Start Date and Time]],1)</f>
        <v>0.34097222222044365</v>
      </c>
      <c r="H977">
        <v>5</v>
      </c>
      <c r="I977" t="s">
        <v>4</v>
      </c>
      <c r="J977" t="s">
        <v>10</v>
      </c>
      <c r="K977" t="s">
        <v>31</v>
      </c>
      <c r="L977">
        <v>82</v>
      </c>
      <c r="M977">
        <v>7.35</v>
      </c>
      <c r="N977">
        <v>2.12</v>
      </c>
      <c r="O977" t="s">
        <v>15</v>
      </c>
      <c r="P977">
        <v>73</v>
      </c>
      <c r="Q977">
        <v>154</v>
      </c>
      <c r="R977">
        <v>64</v>
      </c>
      <c r="S977">
        <v>53</v>
      </c>
      <c r="T977" t="s">
        <v>48</v>
      </c>
      <c r="U977">
        <f>IF(Cardiac_Table[[#This Row],[Patient Status at Discharge]]="Died", 1,0)</f>
        <v>0</v>
      </c>
      <c r="V977">
        <f>Cardiac_Table[[#This Row],[Risk of Death % (Model 1)]]/100</f>
        <v>7.3499999999999996E-2</v>
      </c>
      <c r="W977">
        <f>Cardiac_Table[[#This Row],[Risk of Death % (Model 2)]]/100</f>
        <v>2.12E-2</v>
      </c>
      <c r="X977" s="18">
        <f>Cardiac_Table[[#This Row],[Procedure Start Date and Time]]-Cardiac_Table[[#This Row],[Hospital Admit Date ]]</f>
        <v>0.67638888888905058</v>
      </c>
    </row>
    <row r="978" spans="1:24" x14ac:dyDescent="0.35">
      <c r="A978">
        <v>988</v>
      </c>
      <c r="B978" s="9">
        <v>44110.851388888892</v>
      </c>
      <c r="C978" s="10">
        <f>INT(Cardiac_Table[[#This Row],[Hospital Admit Date ]])</f>
        <v>44110</v>
      </c>
      <c r="D978" s="11" t="str">
        <f t="shared" si="15"/>
        <v>20:26</v>
      </c>
      <c r="E978" s="9">
        <v>44111.34375</v>
      </c>
      <c r="F978" s="10">
        <f>INT(Cardiac_Table[[#This Row],[Procedure Start Date and Time]])</f>
        <v>44111</v>
      </c>
      <c r="G978" s="12">
        <f>MOD(Cardiac_Table[[#This Row],[Procedure Start Date and Time]],1)</f>
        <v>0.34375</v>
      </c>
      <c r="H978">
        <v>6</v>
      </c>
      <c r="I978" t="s">
        <v>2</v>
      </c>
      <c r="J978" t="s">
        <v>1</v>
      </c>
      <c r="K978" t="s">
        <v>30</v>
      </c>
      <c r="L978">
        <v>53</v>
      </c>
      <c r="M978">
        <v>23.24</v>
      </c>
      <c r="N978">
        <v>5.66</v>
      </c>
      <c r="O978" t="s">
        <v>13</v>
      </c>
      <c r="P978">
        <v>93</v>
      </c>
      <c r="Q978">
        <v>180</v>
      </c>
      <c r="R978">
        <v>118</v>
      </c>
      <c r="S978">
        <v>50</v>
      </c>
      <c r="T978" t="s">
        <v>50</v>
      </c>
      <c r="U978">
        <f>IF(Cardiac_Table[[#This Row],[Patient Status at Discharge]]="Died", 1,0)</f>
        <v>1</v>
      </c>
      <c r="V978">
        <f>Cardiac_Table[[#This Row],[Risk of Death % (Model 1)]]/100</f>
        <v>0.2324</v>
      </c>
      <c r="W978">
        <f>Cardiac_Table[[#This Row],[Risk of Death % (Model 2)]]/100</f>
        <v>5.6600000000000004E-2</v>
      </c>
      <c r="X978" s="18">
        <f>Cardiac_Table[[#This Row],[Procedure Start Date and Time]]-Cardiac_Table[[#This Row],[Hospital Admit Date ]]</f>
        <v>0.49236111110803904</v>
      </c>
    </row>
    <row r="979" spans="1:24" x14ac:dyDescent="0.35">
      <c r="A979">
        <v>989</v>
      </c>
      <c r="B979" s="9">
        <v>44108.354166666664</v>
      </c>
      <c r="C979" s="10">
        <f>INT(Cardiac_Table[[#This Row],[Hospital Admit Date ]])</f>
        <v>44108</v>
      </c>
      <c r="D979" s="11" t="str">
        <f t="shared" si="15"/>
        <v>08:30</v>
      </c>
      <c r="E979" s="9">
        <v>44111.548611111109</v>
      </c>
      <c r="F979" s="10">
        <f>INT(Cardiac_Table[[#This Row],[Procedure Start Date and Time]])</f>
        <v>44111</v>
      </c>
      <c r="G979" s="12">
        <f>MOD(Cardiac_Table[[#This Row],[Procedure Start Date and Time]],1)</f>
        <v>0.54861111110949423</v>
      </c>
      <c r="H979">
        <v>4</v>
      </c>
      <c r="I979" t="s">
        <v>4</v>
      </c>
      <c r="J979" t="s">
        <v>11</v>
      </c>
      <c r="K979" t="s">
        <v>24</v>
      </c>
      <c r="L979">
        <v>79</v>
      </c>
      <c r="M979">
        <v>8.1</v>
      </c>
      <c r="N979">
        <v>2.23</v>
      </c>
      <c r="O979" t="s">
        <v>15</v>
      </c>
      <c r="P979">
        <v>66</v>
      </c>
      <c r="Q979">
        <v>182</v>
      </c>
      <c r="R979">
        <v>94</v>
      </c>
      <c r="S979">
        <v>60</v>
      </c>
      <c r="T979" t="s">
        <v>48</v>
      </c>
      <c r="U979">
        <f>IF(Cardiac_Table[[#This Row],[Patient Status at Discharge]]="Died", 1,0)</f>
        <v>0</v>
      </c>
      <c r="V979">
        <f>Cardiac_Table[[#This Row],[Risk of Death % (Model 1)]]/100</f>
        <v>8.1000000000000003E-2</v>
      </c>
      <c r="W979">
        <f>Cardiac_Table[[#This Row],[Risk of Death % (Model 2)]]/100</f>
        <v>2.23E-2</v>
      </c>
      <c r="X979" s="18">
        <f>Cardiac_Table[[#This Row],[Procedure Start Date and Time]]-Cardiac_Table[[#This Row],[Hospital Admit Date ]]</f>
        <v>3.1944444444452529</v>
      </c>
    </row>
    <row r="980" spans="1:24" x14ac:dyDescent="0.35">
      <c r="A980">
        <v>990</v>
      </c>
      <c r="B980" s="9">
        <v>44111.645833333336</v>
      </c>
      <c r="C980" s="10">
        <f>INT(Cardiac_Table[[#This Row],[Hospital Admit Date ]])</f>
        <v>44111</v>
      </c>
      <c r="D980" s="11" t="str">
        <f t="shared" si="15"/>
        <v>15:30</v>
      </c>
      <c r="E980" s="9">
        <v>44112.333333333336</v>
      </c>
      <c r="F980" s="10">
        <f>INT(Cardiac_Table[[#This Row],[Procedure Start Date and Time]])</f>
        <v>44112</v>
      </c>
      <c r="G980" s="12">
        <f>MOD(Cardiac_Table[[#This Row],[Procedure Start Date and Time]],1)</f>
        <v>0.33333333333575865</v>
      </c>
      <c r="H980">
        <v>2</v>
      </c>
      <c r="I980" t="s">
        <v>4</v>
      </c>
      <c r="J980" t="s">
        <v>3</v>
      </c>
      <c r="K980" t="s">
        <v>35</v>
      </c>
      <c r="L980">
        <v>83</v>
      </c>
      <c r="M980">
        <v>7.03</v>
      </c>
      <c r="N980">
        <v>0.96</v>
      </c>
      <c r="O980" t="s">
        <v>15</v>
      </c>
      <c r="P980">
        <v>61</v>
      </c>
      <c r="Q980">
        <v>167</v>
      </c>
      <c r="R980">
        <v>76</v>
      </c>
      <c r="S980">
        <v>56</v>
      </c>
      <c r="T980" t="s">
        <v>48</v>
      </c>
      <c r="U980">
        <f>IF(Cardiac_Table[[#This Row],[Patient Status at Discharge]]="Died", 1,0)</f>
        <v>0</v>
      </c>
      <c r="V980">
        <f>Cardiac_Table[[#This Row],[Risk of Death % (Model 1)]]/100</f>
        <v>7.0300000000000001E-2</v>
      </c>
      <c r="W980">
        <f>Cardiac_Table[[#This Row],[Risk of Death % (Model 2)]]/100</f>
        <v>9.5999999999999992E-3</v>
      </c>
      <c r="X980" s="18">
        <f>Cardiac_Table[[#This Row],[Procedure Start Date and Time]]-Cardiac_Table[[#This Row],[Hospital Admit Date ]]</f>
        <v>0.6875</v>
      </c>
    </row>
    <row r="981" spans="1:24" x14ac:dyDescent="0.35">
      <c r="A981">
        <v>991</v>
      </c>
      <c r="B981" s="9">
        <v>44111.583333333336</v>
      </c>
      <c r="C981" s="10">
        <f>INT(Cardiac_Table[[#This Row],[Hospital Admit Date ]])</f>
        <v>44111</v>
      </c>
      <c r="D981" s="11" t="str">
        <f t="shared" si="15"/>
        <v>14:00</v>
      </c>
      <c r="E981" s="9">
        <v>44112.345138888886</v>
      </c>
      <c r="F981" s="10">
        <f>INT(Cardiac_Table[[#This Row],[Procedure Start Date and Time]])</f>
        <v>44112</v>
      </c>
      <c r="G981" s="12">
        <f>MOD(Cardiac_Table[[#This Row],[Procedure Start Date and Time]],1)</f>
        <v>0.34513888888614019</v>
      </c>
      <c r="H981">
        <v>6</v>
      </c>
      <c r="I981" t="s">
        <v>4</v>
      </c>
      <c r="J981" t="s">
        <v>10</v>
      </c>
      <c r="K981" t="s">
        <v>23</v>
      </c>
      <c r="L981">
        <v>75</v>
      </c>
      <c r="M981">
        <v>2.52</v>
      </c>
      <c r="N981">
        <v>0.77</v>
      </c>
      <c r="O981" t="s">
        <v>15</v>
      </c>
      <c r="P981">
        <v>93</v>
      </c>
      <c r="Q981">
        <v>158</v>
      </c>
      <c r="R981">
        <v>77</v>
      </c>
      <c r="S981">
        <v>55</v>
      </c>
      <c r="T981" t="s">
        <v>48</v>
      </c>
      <c r="U981">
        <f>IF(Cardiac_Table[[#This Row],[Patient Status at Discharge]]="Died", 1,0)</f>
        <v>0</v>
      </c>
      <c r="V981">
        <f>Cardiac_Table[[#This Row],[Risk of Death % (Model 1)]]/100</f>
        <v>2.52E-2</v>
      </c>
      <c r="W981">
        <f>Cardiac_Table[[#This Row],[Risk of Death % (Model 2)]]/100</f>
        <v>7.7000000000000002E-3</v>
      </c>
      <c r="X981" s="18">
        <f>Cardiac_Table[[#This Row],[Procedure Start Date and Time]]-Cardiac_Table[[#This Row],[Hospital Admit Date ]]</f>
        <v>0.76180555555038154</v>
      </c>
    </row>
    <row r="982" spans="1:24" x14ac:dyDescent="0.35">
      <c r="A982">
        <v>992</v>
      </c>
      <c r="B982" s="9">
        <v>44111.574999999997</v>
      </c>
      <c r="C982" s="10">
        <f>INT(Cardiac_Table[[#This Row],[Hospital Admit Date ]])</f>
        <v>44111</v>
      </c>
      <c r="D982" s="11" t="str">
        <f t="shared" si="15"/>
        <v>13:48</v>
      </c>
      <c r="E982" s="9">
        <v>44112.34652777778</v>
      </c>
      <c r="F982" s="10">
        <f>INT(Cardiac_Table[[#This Row],[Procedure Start Date and Time]])</f>
        <v>44112</v>
      </c>
      <c r="G982" s="12">
        <f>MOD(Cardiac_Table[[#This Row],[Procedure Start Date and Time]],1)</f>
        <v>0.34652777777955635</v>
      </c>
      <c r="H982">
        <v>3</v>
      </c>
      <c r="I982" t="s">
        <v>6</v>
      </c>
      <c r="J982" t="s">
        <v>3</v>
      </c>
      <c r="K982" t="s">
        <v>33</v>
      </c>
      <c r="L982">
        <v>77</v>
      </c>
      <c r="M982">
        <v>4.83</v>
      </c>
      <c r="N982">
        <v>3.19</v>
      </c>
      <c r="O982" t="s">
        <v>15</v>
      </c>
      <c r="P982">
        <v>74</v>
      </c>
      <c r="Q982">
        <v>175</v>
      </c>
      <c r="R982">
        <v>98</v>
      </c>
      <c r="S982">
        <v>53</v>
      </c>
      <c r="T982" t="s">
        <v>48</v>
      </c>
      <c r="U982">
        <f>IF(Cardiac_Table[[#This Row],[Patient Status at Discharge]]="Died", 1,0)</f>
        <v>0</v>
      </c>
      <c r="V982">
        <f>Cardiac_Table[[#This Row],[Risk of Death % (Model 1)]]/100</f>
        <v>4.8300000000000003E-2</v>
      </c>
      <c r="W982">
        <f>Cardiac_Table[[#This Row],[Risk of Death % (Model 2)]]/100</f>
        <v>3.1899999999999998E-2</v>
      </c>
      <c r="X982" s="18">
        <f>Cardiac_Table[[#This Row],[Procedure Start Date and Time]]-Cardiac_Table[[#This Row],[Hospital Admit Date ]]</f>
        <v>0.77152777778246673</v>
      </c>
    </row>
    <row r="983" spans="1:24" x14ac:dyDescent="0.35">
      <c r="A983">
        <v>993</v>
      </c>
      <c r="B983" s="9">
        <v>44112.291666666664</v>
      </c>
      <c r="C983" s="10">
        <f>INT(Cardiac_Table[[#This Row],[Hospital Admit Date ]])</f>
        <v>44112</v>
      </c>
      <c r="D983" s="11" t="str">
        <f t="shared" si="15"/>
        <v>07:00</v>
      </c>
      <c r="E983" s="9">
        <v>44112.478472222225</v>
      </c>
      <c r="F983" s="10">
        <f>INT(Cardiac_Table[[#This Row],[Procedure Start Date and Time]])</f>
        <v>44112</v>
      </c>
      <c r="G983" s="12">
        <f>MOD(Cardiac_Table[[#This Row],[Procedure Start Date and Time]],1)</f>
        <v>0.47847222222480923</v>
      </c>
      <c r="H983">
        <v>3</v>
      </c>
      <c r="I983" t="s">
        <v>4</v>
      </c>
      <c r="J983" t="s">
        <v>3</v>
      </c>
      <c r="K983" t="s">
        <v>33</v>
      </c>
      <c r="L983">
        <v>72</v>
      </c>
      <c r="M983">
        <v>5.24</v>
      </c>
      <c r="N983">
        <v>3.71</v>
      </c>
      <c r="O983" t="s">
        <v>15</v>
      </c>
      <c r="P983">
        <v>128</v>
      </c>
      <c r="Q983">
        <v>150</v>
      </c>
      <c r="R983">
        <v>66</v>
      </c>
      <c r="S983">
        <v>20</v>
      </c>
      <c r="T983" t="s">
        <v>51</v>
      </c>
      <c r="U983">
        <f>IF(Cardiac_Table[[#This Row],[Patient Status at Discharge]]="Died", 1,0)</f>
        <v>0</v>
      </c>
      <c r="V983">
        <f>Cardiac_Table[[#This Row],[Risk of Death % (Model 1)]]/100</f>
        <v>5.2400000000000002E-2</v>
      </c>
      <c r="W983">
        <f>Cardiac_Table[[#This Row],[Risk of Death % (Model 2)]]/100</f>
        <v>3.7100000000000001E-2</v>
      </c>
      <c r="X983" s="18">
        <f>Cardiac_Table[[#This Row],[Procedure Start Date and Time]]-Cardiac_Table[[#This Row],[Hospital Admit Date ]]</f>
        <v>0.18680555556056788</v>
      </c>
    </row>
    <row r="984" spans="1:24" x14ac:dyDescent="0.35">
      <c r="A984">
        <v>994</v>
      </c>
      <c r="B984" s="9">
        <v>44110.601388888892</v>
      </c>
      <c r="C984" s="10">
        <f>INT(Cardiac_Table[[#This Row],[Hospital Admit Date ]])</f>
        <v>44110</v>
      </c>
      <c r="D984" s="11" t="str">
        <f t="shared" si="15"/>
        <v>14:26</v>
      </c>
      <c r="E984" s="9">
        <v>44112.504861111112</v>
      </c>
      <c r="F984" s="10">
        <f>INT(Cardiac_Table[[#This Row],[Procedure Start Date and Time]])</f>
        <v>44112</v>
      </c>
      <c r="G984" s="12">
        <f>MOD(Cardiac_Table[[#This Row],[Procedure Start Date and Time]],1)</f>
        <v>0.50486111111240461</v>
      </c>
      <c r="H984">
        <v>6</v>
      </c>
      <c r="I984" t="s">
        <v>6</v>
      </c>
      <c r="J984" t="s">
        <v>1</v>
      </c>
      <c r="K984" t="s">
        <v>23</v>
      </c>
      <c r="L984">
        <v>65</v>
      </c>
      <c r="M984">
        <v>6.78</v>
      </c>
      <c r="N984">
        <v>2.58</v>
      </c>
      <c r="O984" t="s">
        <v>15</v>
      </c>
      <c r="P984">
        <v>78</v>
      </c>
      <c r="Q984">
        <v>163</v>
      </c>
      <c r="R984">
        <v>65</v>
      </c>
      <c r="S984">
        <v>53</v>
      </c>
      <c r="T984" t="s">
        <v>48</v>
      </c>
      <c r="U984">
        <f>IF(Cardiac_Table[[#This Row],[Patient Status at Discharge]]="Died", 1,0)</f>
        <v>0</v>
      </c>
      <c r="V984">
        <f>Cardiac_Table[[#This Row],[Risk of Death % (Model 1)]]/100</f>
        <v>6.7799999999999999E-2</v>
      </c>
      <c r="W984">
        <f>Cardiac_Table[[#This Row],[Risk of Death % (Model 2)]]/100</f>
        <v>2.58E-2</v>
      </c>
      <c r="X984" s="18">
        <f>Cardiac_Table[[#This Row],[Procedure Start Date and Time]]-Cardiac_Table[[#This Row],[Hospital Admit Date ]]</f>
        <v>1.9034722222204437</v>
      </c>
    </row>
    <row r="985" spans="1:24" x14ac:dyDescent="0.35">
      <c r="A985">
        <v>995</v>
      </c>
      <c r="B985" s="9">
        <v>44112.291666666664</v>
      </c>
      <c r="C985" s="10">
        <f>INT(Cardiac_Table[[#This Row],[Hospital Admit Date ]])</f>
        <v>44112</v>
      </c>
      <c r="D985" s="11" t="str">
        <f t="shared" si="15"/>
        <v>07:00</v>
      </c>
      <c r="E985" s="9">
        <v>44112.5625</v>
      </c>
      <c r="F985" s="10">
        <f>INT(Cardiac_Table[[#This Row],[Procedure Start Date and Time]])</f>
        <v>44112</v>
      </c>
      <c r="G985" s="12">
        <f>MOD(Cardiac_Table[[#This Row],[Procedure Start Date and Time]],1)</f>
        <v>0.5625</v>
      </c>
      <c r="H985">
        <v>2</v>
      </c>
      <c r="I985" t="s">
        <v>4</v>
      </c>
      <c r="J985" t="s">
        <v>3</v>
      </c>
      <c r="K985" t="s">
        <v>26</v>
      </c>
      <c r="L985">
        <v>61</v>
      </c>
      <c r="M985">
        <v>1.72</v>
      </c>
      <c r="N985">
        <v>0.52</v>
      </c>
      <c r="O985" t="s">
        <v>15</v>
      </c>
      <c r="P985">
        <v>79</v>
      </c>
      <c r="Q985">
        <v>165</v>
      </c>
      <c r="R985">
        <v>74</v>
      </c>
      <c r="S985">
        <v>30</v>
      </c>
      <c r="T985" t="s">
        <v>49</v>
      </c>
      <c r="U985">
        <f>IF(Cardiac_Table[[#This Row],[Patient Status at Discharge]]="Died", 1,0)</f>
        <v>0</v>
      </c>
      <c r="V985">
        <f>Cardiac_Table[[#This Row],[Risk of Death % (Model 1)]]/100</f>
        <v>1.72E-2</v>
      </c>
      <c r="W985">
        <f>Cardiac_Table[[#This Row],[Risk of Death % (Model 2)]]/100</f>
        <v>5.1999999999999998E-3</v>
      </c>
      <c r="X985" s="18">
        <f>Cardiac_Table[[#This Row],[Procedure Start Date and Time]]-Cardiac_Table[[#This Row],[Hospital Admit Date ]]</f>
        <v>0.27083333333575865</v>
      </c>
    </row>
    <row r="986" spans="1:24" x14ac:dyDescent="0.35">
      <c r="A986">
        <v>996</v>
      </c>
      <c r="B986" s="9">
        <v>44112.304166666669</v>
      </c>
      <c r="C986" s="10">
        <f>INT(Cardiac_Table[[#This Row],[Hospital Admit Date ]])</f>
        <v>44112</v>
      </c>
      <c r="D986" s="11" t="str">
        <f t="shared" si="15"/>
        <v>07:18</v>
      </c>
      <c r="E986" s="9">
        <v>44112.630555555559</v>
      </c>
      <c r="F986" s="10">
        <f>INT(Cardiac_Table[[#This Row],[Procedure Start Date and Time]])</f>
        <v>44112</v>
      </c>
      <c r="G986" s="12">
        <f>MOD(Cardiac_Table[[#This Row],[Procedure Start Date and Time]],1)</f>
        <v>0.63055555555911269</v>
      </c>
      <c r="H986">
        <v>3</v>
      </c>
      <c r="I986" t="s">
        <v>4</v>
      </c>
      <c r="J986" t="s">
        <v>3</v>
      </c>
      <c r="K986" t="s">
        <v>33</v>
      </c>
      <c r="L986">
        <v>79</v>
      </c>
      <c r="M986">
        <v>11.66</v>
      </c>
      <c r="N986">
        <v>1.93</v>
      </c>
      <c r="O986" t="s">
        <v>15</v>
      </c>
      <c r="P986">
        <v>146</v>
      </c>
      <c r="Q986">
        <v>161</v>
      </c>
      <c r="R986">
        <v>65</v>
      </c>
      <c r="S986">
        <v>30</v>
      </c>
      <c r="T986" t="s">
        <v>49</v>
      </c>
      <c r="U986">
        <f>IF(Cardiac_Table[[#This Row],[Patient Status at Discharge]]="Died", 1,0)</f>
        <v>0</v>
      </c>
      <c r="V986">
        <f>Cardiac_Table[[#This Row],[Risk of Death % (Model 1)]]/100</f>
        <v>0.1166</v>
      </c>
      <c r="W986">
        <f>Cardiac_Table[[#This Row],[Risk of Death % (Model 2)]]/100</f>
        <v>1.9299999999999998E-2</v>
      </c>
      <c r="X986" s="18">
        <f>Cardiac_Table[[#This Row],[Procedure Start Date and Time]]-Cardiac_Table[[#This Row],[Hospital Admit Date ]]</f>
        <v>0.32638888889050577</v>
      </c>
    </row>
    <row r="987" spans="1:24" x14ac:dyDescent="0.35">
      <c r="A987">
        <v>997</v>
      </c>
      <c r="B987" s="9">
        <v>44112.664583333331</v>
      </c>
      <c r="C987" s="10">
        <f>INT(Cardiac_Table[[#This Row],[Hospital Admit Date ]])</f>
        <v>44112</v>
      </c>
      <c r="D987" s="11" t="str">
        <f t="shared" si="15"/>
        <v>15:57</v>
      </c>
      <c r="E987" s="9">
        <v>44113.326388888891</v>
      </c>
      <c r="F987" s="10">
        <f>INT(Cardiac_Table[[#This Row],[Procedure Start Date and Time]])</f>
        <v>44113</v>
      </c>
      <c r="G987" s="12">
        <f>MOD(Cardiac_Table[[#This Row],[Procedure Start Date and Time]],1)</f>
        <v>0.32638888889050577</v>
      </c>
      <c r="H987">
        <v>2</v>
      </c>
      <c r="I987" t="s">
        <v>4</v>
      </c>
      <c r="J987" t="s">
        <v>3</v>
      </c>
      <c r="K987" t="s">
        <v>35</v>
      </c>
      <c r="L987">
        <v>35</v>
      </c>
      <c r="M987">
        <v>2.08</v>
      </c>
      <c r="N987">
        <v>0.69</v>
      </c>
      <c r="O987" t="s">
        <v>15</v>
      </c>
      <c r="P987">
        <v>77</v>
      </c>
      <c r="Q987">
        <v>188</v>
      </c>
      <c r="R987">
        <v>116</v>
      </c>
      <c r="S987">
        <v>49</v>
      </c>
      <c r="T987" t="s">
        <v>50</v>
      </c>
      <c r="U987">
        <f>IF(Cardiac_Table[[#This Row],[Patient Status at Discharge]]="Died", 1,0)</f>
        <v>0</v>
      </c>
      <c r="V987">
        <f>Cardiac_Table[[#This Row],[Risk of Death % (Model 1)]]/100</f>
        <v>2.0799999999999999E-2</v>
      </c>
      <c r="W987">
        <f>Cardiac_Table[[#This Row],[Risk of Death % (Model 2)]]/100</f>
        <v>6.8999999999999999E-3</v>
      </c>
      <c r="X987" s="18">
        <f>Cardiac_Table[[#This Row],[Procedure Start Date and Time]]-Cardiac_Table[[#This Row],[Hospital Admit Date ]]</f>
        <v>0.66180555555911269</v>
      </c>
    </row>
    <row r="988" spans="1:24" x14ac:dyDescent="0.35">
      <c r="A988">
        <v>998</v>
      </c>
      <c r="B988" s="9">
        <v>44101.430555555555</v>
      </c>
      <c r="C988" s="10">
        <f>INT(Cardiac_Table[[#This Row],[Hospital Admit Date ]])</f>
        <v>44101</v>
      </c>
      <c r="D988" s="11" t="str">
        <f t="shared" si="15"/>
        <v>10:20</v>
      </c>
      <c r="E988" s="9">
        <v>44113.333333333336</v>
      </c>
      <c r="F988" s="10">
        <f>INT(Cardiac_Table[[#This Row],[Procedure Start Date and Time]])</f>
        <v>44113</v>
      </c>
      <c r="G988" s="12">
        <f>MOD(Cardiac_Table[[#This Row],[Procedure Start Date and Time]],1)</f>
        <v>0.33333333333575865</v>
      </c>
      <c r="H988">
        <v>5</v>
      </c>
      <c r="I988" t="s">
        <v>6</v>
      </c>
      <c r="J988" t="s">
        <v>10</v>
      </c>
      <c r="K988" t="s">
        <v>21</v>
      </c>
      <c r="L988">
        <v>73</v>
      </c>
      <c r="M988">
        <v>7.62</v>
      </c>
      <c r="N988">
        <v>2.61</v>
      </c>
      <c r="O988" t="s">
        <v>15</v>
      </c>
      <c r="P988">
        <v>66</v>
      </c>
      <c r="Q988">
        <v>166</v>
      </c>
      <c r="R988">
        <v>81</v>
      </c>
      <c r="S988">
        <v>65</v>
      </c>
      <c r="T988" t="s">
        <v>48</v>
      </c>
      <c r="U988">
        <f>IF(Cardiac_Table[[#This Row],[Patient Status at Discharge]]="Died", 1,0)</f>
        <v>0</v>
      </c>
      <c r="V988">
        <f>Cardiac_Table[[#This Row],[Risk of Death % (Model 1)]]/100</f>
        <v>7.6200000000000004E-2</v>
      </c>
      <c r="W988">
        <f>Cardiac_Table[[#This Row],[Risk of Death % (Model 2)]]/100</f>
        <v>2.6099999999999998E-2</v>
      </c>
      <c r="X988" s="18">
        <f>Cardiac_Table[[#This Row],[Procedure Start Date and Time]]-Cardiac_Table[[#This Row],[Hospital Admit Date ]]</f>
        <v>11.902777777781012</v>
      </c>
    </row>
    <row r="989" spans="1:24" x14ac:dyDescent="0.35">
      <c r="A989">
        <v>999</v>
      </c>
      <c r="B989" s="9">
        <v>44112.489583333336</v>
      </c>
      <c r="C989" s="10">
        <f>INT(Cardiac_Table[[#This Row],[Hospital Admit Date ]])</f>
        <v>44112</v>
      </c>
      <c r="D989" s="11" t="str">
        <f t="shared" si="15"/>
        <v>11:45</v>
      </c>
      <c r="E989" s="9">
        <v>44113.336805555555</v>
      </c>
      <c r="F989" s="10">
        <f>INT(Cardiac_Table[[#This Row],[Procedure Start Date and Time]])</f>
        <v>44113</v>
      </c>
      <c r="G989" s="12">
        <f>MOD(Cardiac_Table[[#This Row],[Procedure Start Date and Time]],1)</f>
        <v>0.33680555555474712</v>
      </c>
      <c r="H989">
        <v>4</v>
      </c>
      <c r="I989" t="s">
        <v>4</v>
      </c>
      <c r="J989" t="s">
        <v>10</v>
      </c>
      <c r="K989" t="s">
        <v>24</v>
      </c>
      <c r="L989">
        <v>59</v>
      </c>
      <c r="M989">
        <v>1.43</v>
      </c>
      <c r="N989">
        <v>0.81</v>
      </c>
      <c r="O989" t="s">
        <v>15</v>
      </c>
      <c r="P989">
        <v>107</v>
      </c>
      <c r="Q989">
        <v>170</v>
      </c>
      <c r="R989">
        <v>70</v>
      </c>
      <c r="S989">
        <v>68</v>
      </c>
      <c r="T989" t="s">
        <v>48</v>
      </c>
      <c r="U989">
        <f>IF(Cardiac_Table[[#This Row],[Patient Status at Discharge]]="Died", 1,0)</f>
        <v>0</v>
      </c>
      <c r="V989">
        <f>Cardiac_Table[[#This Row],[Risk of Death % (Model 1)]]/100</f>
        <v>1.43E-2</v>
      </c>
      <c r="W989">
        <f>Cardiac_Table[[#This Row],[Risk of Death % (Model 2)]]/100</f>
        <v>8.1000000000000013E-3</v>
      </c>
      <c r="X989" s="18">
        <f>Cardiac_Table[[#This Row],[Procedure Start Date and Time]]-Cardiac_Table[[#This Row],[Hospital Admit Date ]]</f>
        <v>0.84722222221898846</v>
      </c>
    </row>
    <row r="990" spans="1:24" x14ac:dyDescent="0.35">
      <c r="A990">
        <v>1000</v>
      </c>
      <c r="B990" s="9">
        <v>44112.662499999999</v>
      </c>
      <c r="C990" s="10">
        <f>INT(Cardiac_Table[[#This Row],[Hospital Admit Date ]])</f>
        <v>44112</v>
      </c>
      <c r="D990" s="11" t="str">
        <f t="shared" si="15"/>
        <v>15:54</v>
      </c>
      <c r="E990" s="9">
        <v>44113.338888888888</v>
      </c>
      <c r="F990" s="10">
        <f>INT(Cardiac_Table[[#This Row],[Procedure Start Date and Time]])</f>
        <v>44113</v>
      </c>
      <c r="G990" s="12">
        <f>MOD(Cardiac_Table[[#This Row],[Procedure Start Date and Time]],1)</f>
        <v>0.33888888888759539</v>
      </c>
      <c r="H990">
        <v>6</v>
      </c>
      <c r="I990" t="s">
        <v>4</v>
      </c>
      <c r="J990" t="s">
        <v>11</v>
      </c>
      <c r="K990" t="s">
        <v>27</v>
      </c>
      <c r="L990">
        <v>66</v>
      </c>
      <c r="M990">
        <v>13.99</v>
      </c>
      <c r="N990">
        <v>8.65</v>
      </c>
      <c r="O990" t="s">
        <v>15</v>
      </c>
      <c r="P990">
        <v>68</v>
      </c>
      <c r="Q990">
        <v>180</v>
      </c>
      <c r="R990">
        <v>122</v>
      </c>
      <c r="S990">
        <v>45</v>
      </c>
      <c r="T990" t="s">
        <v>50</v>
      </c>
      <c r="U990">
        <f>IF(Cardiac_Table[[#This Row],[Patient Status at Discharge]]="Died", 1,0)</f>
        <v>0</v>
      </c>
      <c r="V990">
        <f>Cardiac_Table[[#This Row],[Risk of Death % (Model 1)]]/100</f>
        <v>0.1399</v>
      </c>
      <c r="W990">
        <f>Cardiac_Table[[#This Row],[Risk of Death % (Model 2)]]/100</f>
        <v>8.6500000000000007E-2</v>
      </c>
      <c r="X990" s="18">
        <f>Cardiac_Table[[#This Row],[Procedure Start Date and Time]]-Cardiac_Table[[#This Row],[Hospital Admit Date ]]</f>
        <v>0.67638888888905058</v>
      </c>
    </row>
    <row r="991" spans="1:24" x14ac:dyDescent="0.35">
      <c r="A991">
        <v>1001</v>
      </c>
      <c r="B991" s="9">
        <v>44113.306944444441</v>
      </c>
      <c r="C991" s="10">
        <f>INT(Cardiac_Table[[#This Row],[Hospital Admit Date ]])</f>
        <v>44113</v>
      </c>
      <c r="D991" s="11" t="str">
        <f t="shared" si="15"/>
        <v>07:22</v>
      </c>
      <c r="E991" s="9">
        <v>44113.5</v>
      </c>
      <c r="F991" s="10">
        <f>INT(Cardiac_Table[[#This Row],[Procedure Start Date and Time]])</f>
        <v>44113</v>
      </c>
      <c r="G991" s="12">
        <f>MOD(Cardiac_Table[[#This Row],[Procedure Start Date and Time]],1)</f>
        <v>0.5</v>
      </c>
      <c r="H991">
        <v>2</v>
      </c>
      <c r="I991" t="s">
        <v>4</v>
      </c>
      <c r="J991" t="s">
        <v>10</v>
      </c>
      <c r="K991" t="s">
        <v>35</v>
      </c>
      <c r="L991">
        <v>66</v>
      </c>
      <c r="M991">
        <v>1.4</v>
      </c>
      <c r="N991">
        <v>0.89</v>
      </c>
      <c r="O991" t="s">
        <v>15</v>
      </c>
      <c r="P991">
        <v>110</v>
      </c>
      <c r="Q991">
        <v>175</v>
      </c>
      <c r="R991">
        <v>125</v>
      </c>
      <c r="S991">
        <v>50</v>
      </c>
      <c r="T991" t="s">
        <v>50</v>
      </c>
      <c r="U991">
        <f>IF(Cardiac_Table[[#This Row],[Patient Status at Discharge]]="Died", 1,0)</f>
        <v>0</v>
      </c>
      <c r="V991">
        <f>Cardiac_Table[[#This Row],[Risk of Death % (Model 1)]]/100</f>
        <v>1.3999999999999999E-2</v>
      </c>
      <c r="W991">
        <f>Cardiac_Table[[#This Row],[Risk of Death % (Model 2)]]/100</f>
        <v>8.8999999999999999E-3</v>
      </c>
      <c r="X991" s="18">
        <f>Cardiac_Table[[#This Row],[Procedure Start Date and Time]]-Cardiac_Table[[#This Row],[Hospital Admit Date ]]</f>
        <v>0.19305555555911269</v>
      </c>
    </row>
    <row r="992" spans="1:24" x14ac:dyDescent="0.35">
      <c r="A992">
        <v>1002</v>
      </c>
      <c r="B992" s="9">
        <v>44113.304861111108</v>
      </c>
      <c r="C992" s="10">
        <f>INT(Cardiac_Table[[#This Row],[Hospital Admit Date ]])</f>
        <v>44113</v>
      </c>
      <c r="D992" s="11" t="str">
        <f t="shared" si="15"/>
        <v>07:19</v>
      </c>
      <c r="E992" s="9">
        <v>44113.5625</v>
      </c>
      <c r="F992" s="10">
        <f>INT(Cardiac_Table[[#This Row],[Procedure Start Date and Time]])</f>
        <v>44113</v>
      </c>
      <c r="G992" s="12">
        <f>MOD(Cardiac_Table[[#This Row],[Procedure Start Date and Time]],1)</f>
        <v>0.5625</v>
      </c>
      <c r="H992">
        <v>5</v>
      </c>
      <c r="I992" t="s">
        <v>4</v>
      </c>
      <c r="J992" t="s">
        <v>3</v>
      </c>
      <c r="K992" t="s">
        <v>21</v>
      </c>
      <c r="L992">
        <v>77</v>
      </c>
      <c r="M992">
        <v>7.16</v>
      </c>
      <c r="N992">
        <v>1.49</v>
      </c>
      <c r="O992" t="s">
        <v>15</v>
      </c>
      <c r="P992">
        <v>80</v>
      </c>
      <c r="Q992">
        <v>153</v>
      </c>
      <c r="R992">
        <v>65</v>
      </c>
      <c r="S992">
        <v>55</v>
      </c>
      <c r="T992" t="s">
        <v>48</v>
      </c>
      <c r="U992">
        <f>IF(Cardiac_Table[[#This Row],[Patient Status at Discharge]]="Died", 1,0)</f>
        <v>0</v>
      </c>
      <c r="V992">
        <f>Cardiac_Table[[#This Row],[Risk of Death % (Model 1)]]/100</f>
        <v>7.1599999999999997E-2</v>
      </c>
      <c r="W992">
        <f>Cardiac_Table[[#This Row],[Risk of Death % (Model 2)]]/100</f>
        <v>1.49E-2</v>
      </c>
      <c r="X992" s="18">
        <f>Cardiac_Table[[#This Row],[Procedure Start Date and Time]]-Cardiac_Table[[#This Row],[Hospital Admit Date ]]</f>
        <v>0.25763888889196096</v>
      </c>
    </row>
    <row r="993" spans="1:24" x14ac:dyDescent="0.35">
      <c r="A993">
        <v>1003</v>
      </c>
      <c r="B993" s="9">
        <v>44111.416666666664</v>
      </c>
      <c r="C993" s="10">
        <f>INT(Cardiac_Table[[#This Row],[Hospital Admit Date ]])</f>
        <v>44111</v>
      </c>
      <c r="D993" s="11" t="str">
        <f t="shared" si="15"/>
        <v>10:00</v>
      </c>
      <c r="E993" s="9">
        <v>44113.577777777777</v>
      </c>
      <c r="F993" s="10">
        <f>INT(Cardiac_Table[[#This Row],[Procedure Start Date and Time]])</f>
        <v>44113</v>
      </c>
      <c r="G993" s="12">
        <f>MOD(Cardiac_Table[[#This Row],[Procedure Start Date and Time]],1)</f>
        <v>0.57777777777664596</v>
      </c>
      <c r="H993">
        <v>4</v>
      </c>
      <c r="I993" t="s">
        <v>6</v>
      </c>
      <c r="J993" t="s">
        <v>3</v>
      </c>
      <c r="K993" t="s">
        <v>24</v>
      </c>
      <c r="L993">
        <v>68</v>
      </c>
      <c r="M993">
        <v>5.09</v>
      </c>
      <c r="N993">
        <v>1.96</v>
      </c>
      <c r="O993" t="s">
        <v>15</v>
      </c>
      <c r="P993">
        <v>87</v>
      </c>
      <c r="Q993">
        <v>165</v>
      </c>
      <c r="R993">
        <v>70</v>
      </c>
      <c r="S993">
        <v>45</v>
      </c>
      <c r="T993" t="s">
        <v>50</v>
      </c>
      <c r="U993">
        <f>IF(Cardiac_Table[[#This Row],[Patient Status at Discharge]]="Died", 1,0)</f>
        <v>0</v>
      </c>
      <c r="V993">
        <f>Cardiac_Table[[#This Row],[Risk of Death % (Model 1)]]/100</f>
        <v>5.0900000000000001E-2</v>
      </c>
      <c r="W993">
        <f>Cardiac_Table[[#This Row],[Risk of Death % (Model 2)]]/100</f>
        <v>1.9599999999999999E-2</v>
      </c>
      <c r="X993" s="18">
        <f>Cardiac_Table[[#This Row],[Procedure Start Date and Time]]-Cardiac_Table[[#This Row],[Hospital Admit Date ]]</f>
        <v>2.1611111111124046</v>
      </c>
    </row>
    <row r="994" spans="1:24" x14ac:dyDescent="0.35">
      <c r="A994">
        <v>1004</v>
      </c>
      <c r="B994" s="9">
        <v>44096.515277777777</v>
      </c>
      <c r="C994" s="10">
        <f>INT(Cardiac_Table[[#This Row],[Hospital Admit Date ]])</f>
        <v>44096</v>
      </c>
      <c r="D994" s="11" t="str">
        <f t="shared" si="15"/>
        <v>12:22</v>
      </c>
      <c r="E994" s="9">
        <v>44113.614583333336</v>
      </c>
      <c r="F994" s="10">
        <f>INT(Cardiac_Table[[#This Row],[Procedure Start Date and Time]])</f>
        <v>44113</v>
      </c>
      <c r="G994" s="12">
        <f>MOD(Cardiac_Table[[#This Row],[Procedure Start Date and Time]],1)</f>
        <v>0.61458333333575865</v>
      </c>
      <c r="H994">
        <v>6</v>
      </c>
      <c r="I994" t="s">
        <v>6</v>
      </c>
      <c r="J994" t="s">
        <v>11</v>
      </c>
      <c r="K994" t="s">
        <v>27</v>
      </c>
      <c r="L994">
        <v>74</v>
      </c>
      <c r="M994">
        <v>9.83</v>
      </c>
      <c r="N994">
        <v>2.77</v>
      </c>
      <c r="O994" t="s">
        <v>15</v>
      </c>
      <c r="P994">
        <v>133</v>
      </c>
      <c r="Q994">
        <v>172</v>
      </c>
      <c r="R994">
        <v>101</v>
      </c>
      <c r="S994">
        <v>36</v>
      </c>
      <c r="T994" t="s">
        <v>50</v>
      </c>
      <c r="U994">
        <f>IF(Cardiac_Table[[#This Row],[Patient Status at Discharge]]="Died", 1,0)</f>
        <v>0</v>
      </c>
      <c r="V994">
        <f>Cardiac_Table[[#This Row],[Risk of Death % (Model 1)]]/100</f>
        <v>9.8299999999999998E-2</v>
      </c>
      <c r="W994">
        <f>Cardiac_Table[[#This Row],[Risk of Death % (Model 2)]]/100</f>
        <v>2.7699999999999999E-2</v>
      </c>
      <c r="X994" s="18">
        <f>Cardiac_Table[[#This Row],[Procedure Start Date and Time]]-Cardiac_Table[[#This Row],[Hospital Admit Date ]]</f>
        <v>17.099305555559113</v>
      </c>
    </row>
    <row r="995" spans="1:24" x14ac:dyDescent="0.35">
      <c r="A995">
        <v>1005</v>
      </c>
      <c r="B995" s="9">
        <v>44113.666666666664</v>
      </c>
      <c r="C995" s="10">
        <f>INT(Cardiac_Table[[#This Row],[Hospital Admit Date ]])</f>
        <v>44113</v>
      </c>
      <c r="D995" s="11" t="str">
        <f t="shared" si="15"/>
        <v>16:00</v>
      </c>
      <c r="E995" s="9">
        <v>44114.320833333331</v>
      </c>
      <c r="F995" s="10">
        <f>INT(Cardiac_Table[[#This Row],[Procedure Start Date and Time]])</f>
        <v>44114</v>
      </c>
      <c r="G995" s="12">
        <f>MOD(Cardiac_Table[[#This Row],[Procedure Start Date and Time]],1)</f>
        <v>0.32083333333139308</v>
      </c>
      <c r="H995">
        <v>5</v>
      </c>
      <c r="I995" t="s">
        <v>4</v>
      </c>
      <c r="J995" t="s">
        <v>10</v>
      </c>
      <c r="K995" t="s">
        <v>26</v>
      </c>
      <c r="L995">
        <v>64</v>
      </c>
      <c r="M995">
        <v>1.23</v>
      </c>
      <c r="N995">
        <v>0.56000000000000005</v>
      </c>
      <c r="O995" t="s">
        <v>15</v>
      </c>
      <c r="P995">
        <v>71</v>
      </c>
      <c r="Q995">
        <v>173</v>
      </c>
      <c r="R995">
        <v>64</v>
      </c>
      <c r="S995">
        <v>57</v>
      </c>
      <c r="T995" t="s">
        <v>48</v>
      </c>
      <c r="U995">
        <f>IF(Cardiac_Table[[#This Row],[Patient Status at Discharge]]="Died", 1,0)</f>
        <v>0</v>
      </c>
      <c r="V995">
        <f>Cardiac_Table[[#This Row],[Risk of Death % (Model 1)]]/100</f>
        <v>1.23E-2</v>
      </c>
      <c r="W995">
        <f>Cardiac_Table[[#This Row],[Risk of Death % (Model 2)]]/100</f>
        <v>5.6000000000000008E-3</v>
      </c>
      <c r="X995" s="18">
        <f>Cardiac_Table[[#This Row],[Procedure Start Date and Time]]-Cardiac_Table[[#This Row],[Hospital Admit Date ]]</f>
        <v>0.65416666666715173</v>
      </c>
    </row>
    <row r="996" spans="1:24" x14ac:dyDescent="0.35">
      <c r="A996">
        <v>1006</v>
      </c>
      <c r="B996" s="9">
        <v>44113.588888888888</v>
      </c>
      <c r="C996" s="10">
        <f>INT(Cardiac_Table[[#This Row],[Hospital Admit Date ]])</f>
        <v>44113</v>
      </c>
      <c r="D996" s="11" t="str">
        <f t="shared" si="15"/>
        <v>14:08</v>
      </c>
      <c r="E996" s="9">
        <v>44114.326388888891</v>
      </c>
      <c r="F996" s="10">
        <f>INT(Cardiac_Table[[#This Row],[Procedure Start Date and Time]])</f>
        <v>44114</v>
      </c>
      <c r="G996" s="12">
        <f>MOD(Cardiac_Table[[#This Row],[Procedure Start Date and Time]],1)</f>
        <v>0.32638888889050577</v>
      </c>
      <c r="H996">
        <v>4</v>
      </c>
      <c r="I996" t="s">
        <v>4</v>
      </c>
      <c r="J996" t="s">
        <v>10</v>
      </c>
      <c r="K996" t="s">
        <v>29</v>
      </c>
      <c r="L996">
        <v>76</v>
      </c>
      <c r="M996">
        <v>2.69</v>
      </c>
      <c r="N996">
        <v>1.07</v>
      </c>
      <c r="O996" t="s">
        <v>15</v>
      </c>
      <c r="P996">
        <v>126</v>
      </c>
      <c r="Q996">
        <v>160</v>
      </c>
      <c r="R996">
        <v>55</v>
      </c>
      <c r="S996">
        <v>55</v>
      </c>
      <c r="T996" t="s">
        <v>48</v>
      </c>
      <c r="U996">
        <f>IF(Cardiac_Table[[#This Row],[Patient Status at Discharge]]="Died", 1,0)</f>
        <v>0</v>
      </c>
      <c r="V996">
        <f>Cardiac_Table[[#This Row],[Risk of Death % (Model 1)]]/100</f>
        <v>2.69E-2</v>
      </c>
      <c r="W996">
        <f>Cardiac_Table[[#This Row],[Risk of Death % (Model 2)]]/100</f>
        <v>1.0700000000000001E-2</v>
      </c>
      <c r="X996" s="18">
        <f>Cardiac_Table[[#This Row],[Procedure Start Date and Time]]-Cardiac_Table[[#This Row],[Hospital Admit Date ]]</f>
        <v>0.73750000000291038</v>
      </c>
    </row>
    <row r="997" spans="1:24" x14ac:dyDescent="0.35">
      <c r="A997">
        <v>1007</v>
      </c>
      <c r="B997" s="9">
        <v>44113.48333333333</v>
      </c>
      <c r="C997" s="10">
        <f>INT(Cardiac_Table[[#This Row],[Hospital Admit Date ]])</f>
        <v>44113</v>
      </c>
      <c r="D997" s="11" t="str">
        <f t="shared" si="15"/>
        <v>11:36</v>
      </c>
      <c r="E997" s="9">
        <v>44114.534722222219</v>
      </c>
      <c r="F997" s="10">
        <f>INT(Cardiac_Table[[#This Row],[Procedure Start Date and Time]])</f>
        <v>44114</v>
      </c>
      <c r="G997" s="12">
        <f>MOD(Cardiac_Table[[#This Row],[Procedure Start Date and Time]],1)</f>
        <v>0.53472222221898846</v>
      </c>
      <c r="H997">
        <v>5</v>
      </c>
      <c r="I997" t="s">
        <v>4</v>
      </c>
      <c r="J997" t="s">
        <v>11</v>
      </c>
      <c r="K997" t="s">
        <v>26</v>
      </c>
      <c r="L997">
        <v>78</v>
      </c>
      <c r="M997">
        <v>8.15</v>
      </c>
      <c r="N997">
        <v>3.27</v>
      </c>
      <c r="O997" t="s">
        <v>15</v>
      </c>
      <c r="P997">
        <v>92</v>
      </c>
      <c r="Q997">
        <v>167</v>
      </c>
      <c r="R997">
        <v>109</v>
      </c>
      <c r="S997">
        <v>45</v>
      </c>
      <c r="T997" t="s">
        <v>50</v>
      </c>
      <c r="U997">
        <f>IF(Cardiac_Table[[#This Row],[Patient Status at Discharge]]="Died", 1,0)</f>
        <v>0</v>
      </c>
      <c r="V997">
        <f>Cardiac_Table[[#This Row],[Risk of Death % (Model 1)]]/100</f>
        <v>8.1500000000000003E-2</v>
      </c>
      <c r="W997">
        <f>Cardiac_Table[[#This Row],[Risk of Death % (Model 2)]]/100</f>
        <v>3.27E-2</v>
      </c>
      <c r="X997" s="18">
        <f>Cardiac_Table[[#This Row],[Procedure Start Date and Time]]-Cardiac_Table[[#This Row],[Hospital Admit Date ]]</f>
        <v>1.0513888888890506</v>
      </c>
    </row>
    <row r="998" spans="1:24" x14ac:dyDescent="0.35">
      <c r="A998">
        <v>1008</v>
      </c>
      <c r="B998" s="9">
        <v>44114.3</v>
      </c>
      <c r="C998" s="10">
        <f>INT(Cardiac_Table[[#This Row],[Hospital Admit Date ]])</f>
        <v>44114</v>
      </c>
      <c r="D998" s="11" t="str">
        <f t="shared" si="15"/>
        <v>07:12</v>
      </c>
      <c r="E998" s="9">
        <v>44114.5625</v>
      </c>
      <c r="F998" s="10">
        <f>INT(Cardiac_Table[[#This Row],[Procedure Start Date and Time]])</f>
        <v>44114</v>
      </c>
      <c r="G998" s="12">
        <f>MOD(Cardiac_Table[[#This Row],[Procedure Start Date and Time]],1)</f>
        <v>0.5625</v>
      </c>
      <c r="H998">
        <v>4</v>
      </c>
      <c r="I998" t="s">
        <v>4</v>
      </c>
      <c r="J998" t="s">
        <v>10</v>
      </c>
      <c r="K998" t="s">
        <v>29</v>
      </c>
      <c r="L998">
        <v>63</v>
      </c>
      <c r="M998">
        <v>1.73</v>
      </c>
      <c r="N998">
        <v>1</v>
      </c>
      <c r="O998" t="s">
        <v>15</v>
      </c>
      <c r="P998">
        <v>119</v>
      </c>
      <c r="Q998">
        <v>170</v>
      </c>
      <c r="R998">
        <v>81</v>
      </c>
      <c r="S998">
        <v>65</v>
      </c>
      <c r="T998" t="s">
        <v>48</v>
      </c>
      <c r="U998">
        <f>IF(Cardiac_Table[[#This Row],[Patient Status at Discharge]]="Died", 1,0)</f>
        <v>0</v>
      </c>
      <c r="V998">
        <f>Cardiac_Table[[#This Row],[Risk of Death % (Model 1)]]/100</f>
        <v>1.7299999999999999E-2</v>
      </c>
      <c r="W998">
        <f>Cardiac_Table[[#This Row],[Risk of Death % (Model 2)]]/100</f>
        <v>0.01</v>
      </c>
      <c r="X998" s="18">
        <f>Cardiac_Table[[#This Row],[Procedure Start Date and Time]]-Cardiac_Table[[#This Row],[Hospital Admit Date ]]</f>
        <v>0.26249999999708962</v>
      </c>
    </row>
    <row r="999" spans="1:24" x14ac:dyDescent="0.35">
      <c r="A999">
        <v>1009</v>
      </c>
      <c r="B999" s="9">
        <v>44110.851388888892</v>
      </c>
      <c r="C999" s="10">
        <f>INT(Cardiac_Table[[#This Row],[Hospital Admit Date ]])</f>
        <v>44110</v>
      </c>
      <c r="D999" s="11" t="str">
        <f t="shared" si="15"/>
        <v>20:26</v>
      </c>
      <c r="E999" s="9">
        <v>44114.831944444442</v>
      </c>
      <c r="F999" s="10">
        <f>INT(Cardiac_Table[[#This Row],[Procedure Start Date and Time]])</f>
        <v>44114</v>
      </c>
      <c r="G999" s="12">
        <f>MOD(Cardiac_Table[[#This Row],[Procedure Start Date and Time]],1)</f>
        <v>0.8319444444423425</v>
      </c>
      <c r="H999">
        <v>4</v>
      </c>
      <c r="I999" t="s">
        <v>2</v>
      </c>
      <c r="J999" t="s">
        <v>5</v>
      </c>
      <c r="K999" t="s">
        <v>30</v>
      </c>
      <c r="L999">
        <v>53</v>
      </c>
      <c r="M999">
        <v>11.86</v>
      </c>
      <c r="N999">
        <v>1.73</v>
      </c>
      <c r="O999" t="s">
        <v>13</v>
      </c>
      <c r="P999">
        <v>116</v>
      </c>
      <c r="Q999">
        <v>161</v>
      </c>
      <c r="R999">
        <v>92</v>
      </c>
      <c r="S999">
        <v>35</v>
      </c>
      <c r="T999" t="s">
        <v>50</v>
      </c>
      <c r="U999">
        <f>IF(Cardiac_Table[[#This Row],[Patient Status at Discharge]]="Died", 1,0)</f>
        <v>1</v>
      </c>
      <c r="V999">
        <f>Cardiac_Table[[#This Row],[Risk of Death % (Model 1)]]/100</f>
        <v>0.1186</v>
      </c>
      <c r="W999">
        <f>Cardiac_Table[[#This Row],[Risk of Death % (Model 2)]]/100</f>
        <v>1.7299999999999999E-2</v>
      </c>
      <c r="X999" s="18">
        <f>Cardiac_Table[[#This Row],[Procedure Start Date and Time]]-Cardiac_Table[[#This Row],[Hospital Admit Date ]]</f>
        <v>3.9805555555503815</v>
      </c>
    </row>
    <row r="1000" spans="1:24" x14ac:dyDescent="0.35">
      <c r="A1000">
        <v>1010</v>
      </c>
      <c r="B1000" s="9">
        <v>44115.659722222219</v>
      </c>
      <c r="C1000" s="10">
        <f>INT(Cardiac_Table[[#This Row],[Hospital Admit Date ]])</f>
        <v>44115</v>
      </c>
      <c r="D1000" s="11" t="str">
        <f t="shared" si="15"/>
        <v>15:50</v>
      </c>
      <c r="E1000" s="9">
        <v>44116.331250000003</v>
      </c>
      <c r="F1000" s="10">
        <f>INT(Cardiac_Table[[#This Row],[Procedure Start Date and Time]])</f>
        <v>44116</v>
      </c>
      <c r="G1000" s="12">
        <f>MOD(Cardiac_Table[[#This Row],[Procedure Start Date and Time]],1)</f>
        <v>0.33125000000291038</v>
      </c>
      <c r="H1000">
        <v>4</v>
      </c>
      <c r="I1000" t="s">
        <v>4</v>
      </c>
      <c r="J1000" t="s">
        <v>10</v>
      </c>
      <c r="K1000" t="s">
        <v>33</v>
      </c>
      <c r="L1000">
        <v>49</v>
      </c>
      <c r="M1000">
        <v>4.3899999999999997</v>
      </c>
      <c r="N1000">
        <v>3.01</v>
      </c>
      <c r="O1000" t="s">
        <v>15</v>
      </c>
      <c r="P1000">
        <v>84</v>
      </c>
      <c r="Q1000">
        <v>172</v>
      </c>
      <c r="R1000">
        <v>76</v>
      </c>
      <c r="S1000">
        <v>65</v>
      </c>
      <c r="T1000" t="s">
        <v>48</v>
      </c>
      <c r="U1000">
        <f>IF(Cardiac_Table[[#This Row],[Patient Status at Discharge]]="Died", 1,0)</f>
        <v>0</v>
      </c>
      <c r="V1000">
        <f>Cardiac_Table[[#This Row],[Risk of Death % (Model 1)]]/100</f>
        <v>4.3899999999999995E-2</v>
      </c>
      <c r="W1000">
        <f>Cardiac_Table[[#This Row],[Risk of Death % (Model 2)]]/100</f>
        <v>3.0099999999999998E-2</v>
      </c>
      <c r="X1000" s="18">
        <f>Cardiac_Table[[#This Row],[Procedure Start Date and Time]]-Cardiac_Table[[#This Row],[Hospital Admit Date ]]</f>
        <v>0.67152777778392192</v>
      </c>
    </row>
    <row r="1001" spans="1:24" x14ac:dyDescent="0.35">
      <c r="A1001">
        <v>1011</v>
      </c>
      <c r="B1001" s="9">
        <v>44115.666666666664</v>
      </c>
      <c r="C1001" s="10">
        <f>INT(Cardiac_Table[[#This Row],[Hospital Admit Date ]])</f>
        <v>44115</v>
      </c>
      <c r="D1001" s="11" t="str">
        <f t="shared" si="15"/>
        <v>16:00</v>
      </c>
      <c r="E1001" s="9">
        <v>44116.340277777781</v>
      </c>
      <c r="F1001" s="10">
        <f>INT(Cardiac_Table[[#This Row],[Procedure Start Date and Time]])</f>
        <v>44116</v>
      </c>
      <c r="G1001" s="12">
        <f>MOD(Cardiac_Table[[#This Row],[Procedure Start Date and Time]],1)</f>
        <v>0.34027777778101154</v>
      </c>
      <c r="H1001">
        <v>3</v>
      </c>
      <c r="I1001" t="s">
        <v>4</v>
      </c>
      <c r="J1001" t="s">
        <v>10</v>
      </c>
      <c r="K1001" t="s">
        <v>30</v>
      </c>
      <c r="L1001">
        <v>72</v>
      </c>
      <c r="M1001">
        <v>4.28</v>
      </c>
      <c r="N1001">
        <v>1.79</v>
      </c>
      <c r="O1001" t="s">
        <v>15</v>
      </c>
      <c r="P1001">
        <v>72</v>
      </c>
      <c r="Q1001">
        <v>175</v>
      </c>
      <c r="R1001">
        <v>97</v>
      </c>
      <c r="S1001">
        <v>42</v>
      </c>
      <c r="T1001" t="s">
        <v>50</v>
      </c>
      <c r="U1001">
        <f>IF(Cardiac_Table[[#This Row],[Patient Status at Discharge]]="Died", 1,0)</f>
        <v>0</v>
      </c>
      <c r="V1001">
        <f>Cardiac_Table[[#This Row],[Risk of Death % (Model 1)]]/100</f>
        <v>4.2800000000000005E-2</v>
      </c>
      <c r="W1001">
        <f>Cardiac_Table[[#This Row],[Risk of Death % (Model 2)]]/100</f>
        <v>1.7899999999999999E-2</v>
      </c>
      <c r="X1001" s="18">
        <f>Cardiac_Table[[#This Row],[Procedure Start Date and Time]]-Cardiac_Table[[#This Row],[Hospital Admit Date ]]</f>
        <v>0.67361111111677019</v>
      </c>
    </row>
    <row r="1002" spans="1:24" x14ac:dyDescent="0.35">
      <c r="A1002">
        <v>1012</v>
      </c>
      <c r="B1002" s="9">
        <v>44115.666666666664</v>
      </c>
      <c r="C1002" s="10">
        <f>INT(Cardiac_Table[[#This Row],[Hospital Admit Date ]])</f>
        <v>44115</v>
      </c>
      <c r="D1002" s="11" t="str">
        <f t="shared" si="15"/>
        <v>16:00</v>
      </c>
      <c r="E1002" s="9">
        <v>44116.341666666667</v>
      </c>
      <c r="F1002" s="10">
        <f>INT(Cardiac_Table[[#This Row],[Procedure Start Date and Time]])</f>
        <v>44116</v>
      </c>
      <c r="G1002" s="12">
        <f>MOD(Cardiac_Table[[#This Row],[Procedure Start Date and Time]],1)</f>
        <v>0.34166666666715173</v>
      </c>
      <c r="H1002">
        <v>2</v>
      </c>
      <c r="I1002" t="s">
        <v>4</v>
      </c>
      <c r="J1002" t="s">
        <v>3</v>
      </c>
      <c r="K1002" t="s">
        <v>35</v>
      </c>
      <c r="L1002">
        <v>77</v>
      </c>
      <c r="M1002">
        <v>6.59</v>
      </c>
      <c r="N1002">
        <v>1.73</v>
      </c>
      <c r="O1002" t="s">
        <v>15</v>
      </c>
      <c r="P1002">
        <v>65</v>
      </c>
      <c r="Q1002">
        <v>171</v>
      </c>
      <c r="R1002">
        <v>76</v>
      </c>
      <c r="S1002">
        <v>53</v>
      </c>
      <c r="T1002" t="s">
        <v>48</v>
      </c>
      <c r="U1002">
        <f>IF(Cardiac_Table[[#This Row],[Patient Status at Discharge]]="Died", 1,0)</f>
        <v>0</v>
      </c>
      <c r="V1002">
        <f>Cardiac_Table[[#This Row],[Risk of Death % (Model 1)]]/100</f>
        <v>6.59E-2</v>
      </c>
      <c r="W1002">
        <f>Cardiac_Table[[#This Row],[Risk of Death % (Model 2)]]/100</f>
        <v>1.7299999999999999E-2</v>
      </c>
      <c r="X1002" s="18">
        <f>Cardiac_Table[[#This Row],[Procedure Start Date and Time]]-Cardiac_Table[[#This Row],[Hospital Admit Date ]]</f>
        <v>0.67500000000291038</v>
      </c>
    </row>
    <row r="1003" spans="1:24" x14ac:dyDescent="0.35">
      <c r="A1003">
        <v>1013</v>
      </c>
      <c r="B1003" s="9">
        <v>44114.666666666664</v>
      </c>
      <c r="C1003" s="10">
        <f>INT(Cardiac_Table[[#This Row],[Hospital Admit Date ]])</f>
        <v>44114</v>
      </c>
      <c r="D1003" s="11" t="str">
        <f t="shared" si="15"/>
        <v>16:00</v>
      </c>
      <c r="E1003" s="9">
        <v>44116.341666666667</v>
      </c>
      <c r="F1003" s="10">
        <f>INT(Cardiac_Table[[#This Row],[Procedure Start Date and Time]])</f>
        <v>44116</v>
      </c>
      <c r="G1003" s="12">
        <f>MOD(Cardiac_Table[[#This Row],[Procedure Start Date and Time]],1)</f>
        <v>0.34166666666715173</v>
      </c>
      <c r="H1003">
        <v>6</v>
      </c>
      <c r="I1003" t="s">
        <v>4</v>
      </c>
      <c r="J1003" t="s">
        <v>1</v>
      </c>
      <c r="K1003" t="s">
        <v>23</v>
      </c>
      <c r="L1003">
        <v>57</v>
      </c>
      <c r="M1003">
        <v>7.39</v>
      </c>
      <c r="N1003">
        <v>2.64</v>
      </c>
      <c r="O1003" t="s">
        <v>15</v>
      </c>
      <c r="P1003">
        <v>79</v>
      </c>
      <c r="Q1003">
        <v>60</v>
      </c>
      <c r="R1003">
        <v>180</v>
      </c>
      <c r="S1003">
        <v>55</v>
      </c>
      <c r="T1003" t="s">
        <v>48</v>
      </c>
      <c r="U1003">
        <f>IF(Cardiac_Table[[#This Row],[Patient Status at Discharge]]="Died", 1,0)</f>
        <v>0</v>
      </c>
      <c r="V1003">
        <f>Cardiac_Table[[#This Row],[Risk of Death % (Model 1)]]/100</f>
        <v>7.3899999999999993E-2</v>
      </c>
      <c r="W1003">
        <f>Cardiac_Table[[#This Row],[Risk of Death % (Model 2)]]/100</f>
        <v>2.64E-2</v>
      </c>
      <c r="X1003" s="18">
        <f>Cardiac_Table[[#This Row],[Procedure Start Date and Time]]-Cardiac_Table[[#This Row],[Hospital Admit Date ]]</f>
        <v>1.6750000000029104</v>
      </c>
    </row>
    <row r="1004" spans="1:24" x14ac:dyDescent="0.35">
      <c r="A1004">
        <v>1014</v>
      </c>
      <c r="B1004" s="9">
        <v>44115.666666666664</v>
      </c>
      <c r="C1004" s="10">
        <f>INT(Cardiac_Table[[#This Row],[Hospital Admit Date ]])</f>
        <v>44115</v>
      </c>
      <c r="D1004" s="11" t="str">
        <f t="shared" si="15"/>
        <v>16:00</v>
      </c>
      <c r="E1004" s="9">
        <v>44116.34375</v>
      </c>
      <c r="F1004" s="10">
        <f>INT(Cardiac_Table[[#This Row],[Procedure Start Date and Time]])</f>
        <v>44116</v>
      </c>
      <c r="G1004" s="12">
        <f>MOD(Cardiac_Table[[#This Row],[Procedure Start Date and Time]],1)</f>
        <v>0.34375</v>
      </c>
      <c r="H1004">
        <v>5</v>
      </c>
      <c r="I1004" t="s">
        <v>4</v>
      </c>
      <c r="J1004" t="s">
        <v>3</v>
      </c>
      <c r="K1004" t="s">
        <v>29</v>
      </c>
      <c r="L1004">
        <v>82</v>
      </c>
      <c r="M1004">
        <v>6.61</v>
      </c>
      <c r="N1004">
        <v>1.4</v>
      </c>
      <c r="O1004" t="s">
        <v>15</v>
      </c>
      <c r="P1004">
        <v>147</v>
      </c>
      <c r="Q1004">
        <v>179</v>
      </c>
      <c r="R1004">
        <v>77</v>
      </c>
      <c r="S1004">
        <v>65</v>
      </c>
      <c r="T1004" t="s">
        <v>48</v>
      </c>
      <c r="U1004">
        <f>IF(Cardiac_Table[[#This Row],[Patient Status at Discharge]]="Died", 1,0)</f>
        <v>0</v>
      </c>
      <c r="V1004">
        <f>Cardiac_Table[[#This Row],[Risk of Death % (Model 1)]]/100</f>
        <v>6.6100000000000006E-2</v>
      </c>
      <c r="W1004">
        <f>Cardiac_Table[[#This Row],[Risk of Death % (Model 2)]]/100</f>
        <v>1.3999999999999999E-2</v>
      </c>
      <c r="X1004" s="18">
        <f>Cardiac_Table[[#This Row],[Procedure Start Date and Time]]-Cardiac_Table[[#This Row],[Hospital Admit Date ]]</f>
        <v>0.67708333333575865</v>
      </c>
    </row>
    <row r="1005" spans="1:24" x14ac:dyDescent="0.35">
      <c r="A1005">
        <v>1015</v>
      </c>
      <c r="B1005" s="9">
        <v>44116.289583333331</v>
      </c>
      <c r="C1005" s="10">
        <f>INT(Cardiac_Table[[#This Row],[Hospital Admit Date ]])</f>
        <v>44116</v>
      </c>
      <c r="D1005" s="11" t="str">
        <f t="shared" si="15"/>
        <v>06:57</v>
      </c>
      <c r="E1005" s="9">
        <v>44116.53125</v>
      </c>
      <c r="F1005" s="10">
        <f>INT(Cardiac_Table[[#This Row],[Procedure Start Date and Time]])</f>
        <v>44116</v>
      </c>
      <c r="G1005" s="12">
        <f>MOD(Cardiac_Table[[#This Row],[Procedure Start Date and Time]],1)</f>
        <v>0.53125</v>
      </c>
      <c r="H1005">
        <v>4</v>
      </c>
      <c r="I1005" t="s">
        <v>4</v>
      </c>
      <c r="J1005" t="s">
        <v>3</v>
      </c>
      <c r="K1005" t="s">
        <v>33</v>
      </c>
      <c r="L1005">
        <v>70</v>
      </c>
      <c r="M1005">
        <v>3.08</v>
      </c>
      <c r="N1005">
        <v>1.27</v>
      </c>
      <c r="O1005" t="s">
        <v>15</v>
      </c>
      <c r="P1005">
        <v>84</v>
      </c>
      <c r="Q1005">
        <v>160</v>
      </c>
      <c r="R1005">
        <v>54</v>
      </c>
      <c r="S1005">
        <v>55</v>
      </c>
      <c r="T1005" t="s">
        <v>48</v>
      </c>
      <c r="U1005">
        <f>IF(Cardiac_Table[[#This Row],[Patient Status at Discharge]]="Died", 1,0)</f>
        <v>0</v>
      </c>
      <c r="V1005">
        <f>Cardiac_Table[[#This Row],[Risk of Death % (Model 1)]]/100</f>
        <v>3.0800000000000001E-2</v>
      </c>
      <c r="W1005">
        <f>Cardiac_Table[[#This Row],[Risk of Death % (Model 2)]]/100</f>
        <v>1.2699999999999999E-2</v>
      </c>
      <c r="X1005" s="18">
        <f>Cardiac_Table[[#This Row],[Procedure Start Date and Time]]-Cardiac_Table[[#This Row],[Hospital Admit Date ]]</f>
        <v>0.24166666666860692</v>
      </c>
    </row>
    <row r="1006" spans="1:24" x14ac:dyDescent="0.35">
      <c r="A1006">
        <v>1016</v>
      </c>
      <c r="B1006" s="9">
        <v>44113.658333333333</v>
      </c>
      <c r="C1006" s="10">
        <f>INT(Cardiac_Table[[#This Row],[Hospital Admit Date ]])</f>
        <v>44113</v>
      </c>
      <c r="D1006" s="11" t="str">
        <f t="shared" si="15"/>
        <v>15:48</v>
      </c>
      <c r="E1006" s="9">
        <v>44116.534722222219</v>
      </c>
      <c r="F1006" s="10">
        <f>INT(Cardiac_Table[[#This Row],[Procedure Start Date and Time]])</f>
        <v>44116</v>
      </c>
      <c r="G1006" s="12">
        <f>MOD(Cardiac_Table[[#This Row],[Procedure Start Date and Time]],1)</f>
        <v>0.53472222221898846</v>
      </c>
      <c r="H1006">
        <v>3</v>
      </c>
      <c r="I1006" t="s">
        <v>4</v>
      </c>
      <c r="J1006" t="s">
        <v>11</v>
      </c>
      <c r="K1006" t="s">
        <v>30</v>
      </c>
      <c r="L1006">
        <v>84</v>
      </c>
      <c r="M1006">
        <v>7.48</v>
      </c>
      <c r="N1006">
        <v>4.29</v>
      </c>
      <c r="O1006" t="s">
        <v>15</v>
      </c>
      <c r="P1006">
        <v>196</v>
      </c>
      <c r="Q1006">
        <v>169</v>
      </c>
      <c r="R1006">
        <v>68</v>
      </c>
      <c r="S1006">
        <v>66</v>
      </c>
      <c r="T1006" t="s">
        <v>48</v>
      </c>
      <c r="U1006">
        <f>IF(Cardiac_Table[[#This Row],[Patient Status at Discharge]]="Died", 1,0)</f>
        <v>0</v>
      </c>
      <c r="V1006">
        <f>Cardiac_Table[[#This Row],[Risk of Death % (Model 1)]]/100</f>
        <v>7.4800000000000005E-2</v>
      </c>
      <c r="W1006">
        <f>Cardiac_Table[[#This Row],[Risk of Death % (Model 2)]]/100</f>
        <v>4.2900000000000001E-2</v>
      </c>
      <c r="X1006" s="18">
        <f>Cardiac_Table[[#This Row],[Procedure Start Date and Time]]-Cardiac_Table[[#This Row],[Hospital Admit Date ]]</f>
        <v>2.8763888888861402</v>
      </c>
    </row>
    <row r="1007" spans="1:24" x14ac:dyDescent="0.35">
      <c r="A1007">
        <v>1017</v>
      </c>
      <c r="B1007" s="9">
        <v>44104.625</v>
      </c>
      <c r="C1007" s="10">
        <f>INT(Cardiac_Table[[#This Row],[Hospital Admit Date ]])</f>
        <v>44104</v>
      </c>
      <c r="D1007" s="11" t="str">
        <f t="shared" si="15"/>
        <v>15:00</v>
      </c>
      <c r="E1007" s="9">
        <v>44116.554166666669</v>
      </c>
      <c r="F1007" s="10">
        <f>INT(Cardiac_Table[[#This Row],[Procedure Start Date and Time]])</f>
        <v>44116</v>
      </c>
      <c r="G1007" s="12">
        <f>MOD(Cardiac_Table[[#This Row],[Procedure Start Date and Time]],1)</f>
        <v>0.55416666666860692</v>
      </c>
      <c r="H1007">
        <v>2</v>
      </c>
      <c r="I1007" t="s">
        <v>6</v>
      </c>
      <c r="J1007" t="s">
        <v>10</v>
      </c>
      <c r="K1007" t="s">
        <v>24</v>
      </c>
      <c r="L1007">
        <v>71</v>
      </c>
      <c r="M1007">
        <v>3.3</v>
      </c>
      <c r="N1007">
        <v>3.17</v>
      </c>
      <c r="O1007" t="s">
        <v>15</v>
      </c>
      <c r="P1007">
        <v>86</v>
      </c>
      <c r="Q1007">
        <v>164</v>
      </c>
      <c r="R1007">
        <v>57</v>
      </c>
      <c r="S1007">
        <v>48</v>
      </c>
      <c r="T1007" t="s">
        <v>50</v>
      </c>
      <c r="U1007">
        <f>IF(Cardiac_Table[[#This Row],[Patient Status at Discharge]]="Died", 1,0)</f>
        <v>0</v>
      </c>
      <c r="V1007">
        <f>Cardiac_Table[[#This Row],[Risk of Death % (Model 1)]]/100</f>
        <v>3.3000000000000002E-2</v>
      </c>
      <c r="W1007">
        <f>Cardiac_Table[[#This Row],[Risk of Death % (Model 2)]]/100</f>
        <v>3.1699999999999999E-2</v>
      </c>
      <c r="X1007" s="18">
        <f>Cardiac_Table[[#This Row],[Procedure Start Date and Time]]-Cardiac_Table[[#This Row],[Hospital Admit Date ]]</f>
        <v>11.929166666668607</v>
      </c>
    </row>
    <row r="1008" spans="1:24" x14ac:dyDescent="0.35">
      <c r="A1008">
        <v>1018</v>
      </c>
      <c r="B1008" s="9">
        <v>44116.291666666664</v>
      </c>
      <c r="C1008" s="10">
        <f>INT(Cardiac_Table[[#This Row],[Hospital Admit Date ]])</f>
        <v>44116</v>
      </c>
      <c r="D1008" s="11" t="str">
        <f t="shared" si="15"/>
        <v>07:00</v>
      </c>
      <c r="E1008" s="9">
        <v>44116.555555555555</v>
      </c>
      <c r="F1008" s="10">
        <f>INT(Cardiac_Table[[#This Row],[Procedure Start Date and Time]])</f>
        <v>44116</v>
      </c>
      <c r="G1008" s="12">
        <f>MOD(Cardiac_Table[[#This Row],[Procedure Start Date and Time]],1)</f>
        <v>0.55555555555474712</v>
      </c>
      <c r="H1008">
        <v>6</v>
      </c>
      <c r="I1008" t="s">
        <v>4</v>
      </c>
      <c r="J1008" t="s">
        <v>10</v>
      </c>
      <c r="K1008" t="s">
        <v>23</v>
      </c>
      <c r="L1008">
        <v>81</v>
      </c>
      <c r="M1008">
        <v>8.07</v>
      </c>
      <c r="N1008">
        <v>2.04</v>
      </c>
      <c r="O1008" t="s">
        <v>15</v>
      </c>
      <c r="P1008">
        <v>94</v>
      </c>
      <c r="Q1008">
        <v>176</v>
      </c>
      <c r="R1008">
        <v>94</v>
      </c>
      <c r="S1008">
        <v>51</v>
      </c>
      <c r="T1008" t="s">
        <v>48</v>
      </c>
      <c r="U1008">
        <f>IF(Cardiac_Table[[#This Row],[Patient Status at Discharge]]="Died", 1,0)</f>
        <v>0</v>
      </c>
      <c r="V1008">
        <f>Cardiac_Table[[#This Row],[Risk of Death % (Model 1)]]/100</f>
        <v>8.0700000000000008E-2</v>
      </c>
      <c r="W1008">
        <f>Cardiac_Table[[#This Row],[Risk of Death % (Model 2)]]/100</f>
        <v>2.0400000000000001E-2</v>
      </c>
      <c r="X1008" s="18">
        <f>Cardiac_Table[[#This Row],[Procedure Start Date and Time]]-Cardiac_Table[[#This Row],[Hospital Admit Date ]]</f>
        <v>0.26388888889050577</v>
      </c>
    </row>
    <row r="1009" spans="1:24" x14ac:dyDescent="0.35">
      <c r="A1009">
        <v>1019</v>
      </c>
      <c r="B1009" s="9">
        <v>44116.286805555559</v>
      </c>
      <c r="C1009" s="10">
        <f>INT(Cardiac_Table[[#This Row],[Hospital Admit Date ]])</f>
        <v>44116</v>
      </c>
      <c r="D1009" s="11" t="str">
        <f t="shared" si="15"/>
        <v>06:53</v>
      </c>
      <c r="E1009" s="9">
        <v>44116.59375</v>
      </c>
      <c r="F1009" s="10">
        <f>INT(Cardiac_Table[[#This Row],[Procedure Start Date and Time]])</f>
        <v>44116</v>
      </c>
      <c r="G1009" s="12">
        <f>MOD(Cardiac_Table[[#This Row],[Procedure Start Date and Time]],1)</f>
        <v>0.59375</v>
      </c>
      <c r="H1009">
        <v>5</v>
      </c>
      <c r="I1009" t="s">
        <v>4</v>
      </c>
      <c r="J1009" t="s">
        <v>10</v>
      </c>
      <c r="K1009" t="s">
        <v>29</v>
      </c>
      <c r="L1009">
        <v>63</v>
      </c>
      <c r="M1009">
        <v>3.79</v>
      </c>
      <c r="N1009">
        <v>1.25</v>
      </c>
      <c r="O1009" t="s">
        <v>15</v>
      </c>
      <c r="P1009">
        <v>68</v>
      </c>
      <c r="Q1009">
        <v>158</v>
      </c>
      <c r="R1009">
        <v>60</v>
      </c>
      <c r="S1009">
        <v>35</v>
      </c>
      <c r="T1009" t="s">
        <v>50</v>
      </c>
      <c r="U1009">
        <f>IF(Cardiac_Table[[#This Row],[Patient Status at Discharge]]="Died", 1,0)</f>
        <v>0</v>
      </c>
      <c r="V1009">
        <f>Cardiac_Table[[#This Row],[Risk of Death % (Model 1)]]/100</f>
        <v>3.7900000000000003E-2</v>
      </c>
      <c r="W1009">
        <f>Cardiac_Table[[#This Row],[Risk of Death % (Model 2)]]/100</f>
        <v>1.2500000000000001E-2</v>
      </c>
      <c r="X1009" s="18">
        <f>Cardiac_Table[[#This Row],[Procedure Start Date and Time]]-Cardiac_Table[[#This Row],[Hospital Admit Date ]]</f>
        <v>0.30694444444088731</v>
      </c>
    </row>
    <row r="1010" spans="1:24" x14ac:dyDescent="0.35">
      <c r="A1010">
        <v>1020</v>
      </c>
      <c r="B1010" s="9">
        <v>44115.416666666664</v>
      </c>
      <c r="C1010" s="10">
        <f>INT(Cardiac_Table[[#This Row],[Hospital Admit Date ]])</f>
        <v>44115</v>
      </c>
      <c r="D1010" s="11" t="str">
        <f t="shared" si="15"/>
        <v>10:00</v>
      </c>
      <c r="E1010" s="9">
        <v>44117.336111111108</v>
      </c>
      <c r="F1010" s="10">
        <f>INT(Cardiac_Table[[#This Row],[Procedure Start Date and Time]])</f>
        <v>44117</v>
      </c>
      <c r="G1010" s="12">
        <f>MOD(Cardiac_Table[[#This Row],[Procedure Start Date and Time]],1)</f>
        <v>0.33611111110803904</v>
      </c>
      <c r="H1010">
        <v>4</v>
      </c>
      <c r="I1010" t="s">
        <v>6</v>
      </c>
      <c r="J1010" t="s">
        <v>3</v>
      </c>
      <c r="K1010" t="s">
        <v>35</v>
      </c>
      <c r="L1010">
        <v>83</v>
      </c>
      <c r="M1010">
        <v>9.52</v>
      </c>
      <c r="N1010">
        <v>5.01</v>
      </c>
      <c r="O1010" t="s">
        <v>15</v>
      </c>
      <c r="P1010">
        <v>72</v>
      </c>
      <c r="Q1010">
        <v>162</v>
      </c>
      <c r="R1010">
        <v>53</v>
      </c>
      <c r="S1010">
        <v>65</v>
      </c>
      <c r="T1010" t="s">
        <v>48</v>
      </c>
      <c r="U1010">
        <f>IF(Cardiac_Table[[#This Row],[Patient Status at Discharge]]="Died", 1,0)</f>
        <v>0</v>
      </c>
      <c r="V1010">
        <f>Cardiac_Table[[#This Row],[Risk of Death % (Model 1)]]/100</f>
        <v>9.5199999999999993E-2</v>
      </c>
      <c r="W1010">
        <f>Cardiac_Table[[#This Row],[Risk of Death % (Model 2)]]/100</f>
        <v>5.0099999999999999E-2</v>
      </c>
      <c r="X1010" s="18">
        <f>Cardiac_Table[[#This Row],[Procedure Start Date and Time]]-Cardiac_Table[[#This Row],[Hospital Admit Date ]]</f>
        <v>1.9194444444437977</v>
      </c>
    </row>
    <row r="1011" spans="1:24" x14ac:dyDescent="0.35">
      <c r="A1011">
        <v>1021</v>
      </c>
      <c r="B1011" s="9">
        <v>44115.583333333336</v>
      </c>
      <c r="C1011" s="10">
        <f>INT(Cardiac_Table[[#This Row],[Hospital Admit Date ]])</f>
        <v>44115</v>
      </c>
      <c r="D1011" s="11" t="str">
        <f t="shared" si="15"/>
        <v>14:00</v>
      </c>
      <c r="E1011" s="9">
        <v>44117.34375</v>
      </c>
      <c r="F1011" s="10">
        <f>INT(Cardiac_Table[[#This Row],[Procedure Start Date and Time]])</f>
        <v>44117</v>
      </c>
      <c r="G1011" s="12">
        <f>MOD(Cardiac_Table[[#This Row],[Procedure Start Date and Time]],1)</f>
        <v>0.34375</v>
      </c>
      <c r="H1011">
        <v>5</v>
      </c>
      <c r="I1011" t="s">
        <v>6</v>
      </c>
      <c r="J1011" t="s">
        <v>10</v>
      </c>
      <c r="K1011" t="s">
        <v>26</v>
      </c>
      <c r="L1011">
        <v>76</v>
      </c>
      <c r="M1011">
        <v>12.48</v>
      </c>
      <c r="N1011">
        <v>3.72</v>
      </c>
      <c r="O1011" t="s">
        <v>15</v>
      </c>
      <c r="P1011">
        <v>83</v>
      </c>
      <c r="Q1011">
        <v>180</v>
      </c>
      <c r="R1011">
        <v>113</v>
      </c>
      <c r="S1011">
        <v>15</v>
      </c>
      <c r="T1011" t="s">
        <v>51</v>
      </c>
      <c r="U1011">
        <f>IF(Cardiac_Table[[#This Row],[Patient Status at Discharge]]="Died", 1,0)</f>
        <v>0</v>
      </c>
      <c r="V1011">
        <f>Cardiac_Table[[#This Row],[Risk of Death % (Model 1)]]/100</f>
        <v>0.12480000000000001</v>
      </c>
      <c r="W1011">
        <f>Cardiac_Table[[#This Row],[Risk of Death % (Model 2)]]/100</f>
        <v>3.7200000000000004E-2</v>
      </c>
      <c r="X1011" s="18">
        <f>Cardiac_Table[[#This Row],[Procedure Start Date and Time]]-Cardiac_Table[[#This Row],[Hospital Admit Date ]]</f>
        <v>1.7604166666642413</v>
      </c>
    </row>
    <row r="1012" spans="1:24" x14ac:dyDescent="0.35">
      <c r="A1012">
        <v>1022</v>
      </c>
      <c r="B1012" s="9">
        <v>44116.666666666664</v>
      </c>
      <c r="C1012" s="10">
        <f>INT(Cardiac_Table[[#This Row],[Hospital Admit Date ]])</f>
        <v>44116</v>
      </c>
      <c r="D1012" s="11" t="str">
        <f t="shared" si="15"/>
        <v>16:00</v>
      </c>
      <c r="E1012" s="9">
        <v>44117.34375</v>
      </c>
      <c r="F1012" s="10">
        <f>INT(Cardiac_Table[[#This Row],[Procedure Start Date and Time]])</f>
        <v>44117</v>
      </c>
      <c r="G1012" s="12">
        <f>MOD(Cardiac_Table[[#This Row],[Procedure Start Date and Time]],1)</f>
        <v>0.34375</v>
      </c>
      <c r="H1012">
        <v>6</v>
      </c>
      <c r="I1012" t="s">
        <v>4</v>
      </c>
      <c r="J1012" t="s">
        <v>1</v>
      </c>
      <c r="K1012" t="s">
        <v>29</v>
      </c>
      <c r="L1012">
        <v>73</v>
      </c>
      <c r="M1012">
        <v>11.02</v>
      </c>
      <c r="N1012">
        <v>3.56</v>
      </c>
      <c r="O1012" t="s">
        <v>15</v>
      </c>
      <c r="P1012">
        <v>82</v>
      </c>
      <c r="Q1012">
        <v>172</v>
      </c>
      <c r="R1012">
        <v>81</v>
      </c>
      <c r="S1012">
        <v>35</v>
      </c>
      <c r="T1012" t="s">
        <v>50</v>
      </c>
      <c r="U1012">
        <f>IF(Cardiac_Table[[#This Row],[Patient Status at Discharge]]="Died", 1,0)</f>
        <v>0</v>
      </c>
      <c r="V1012">
        <f>Cardiac_Table[[#This Row],[Risk of Death % (Model 1)]]/100</f>
        <v>0.11019999999999999</v>
      </c>
      <c r="W1012">
        <f>Cardiac_Table[[#This Row],[Risk of Death % (Model 2)]]/100</f>
        <v>3.56E-2</v>
      </c>
      <c r="X1012" s="18">
        <f>Cardiac_Table[[#This Row],[Procedure Start Date and Time]]-Cardiac_Table[[#This Row],[Hospital Admit Date ]]</f>
        <v>0.67708333333575865</v>
      </c>
    </row>
    <row r="1013" spans="1:24" x14ac:dyDescent="0.35">
      <c r="A1013">
        <v>1023</v>
      </c>
      <c r="B1013" s="9">
        <v>44117.292361111111</v>
      </c>
      <c r="C1013" s="10">
        <f>INT(Cardiac_Table[[#This Row],[Hospital Admit Date ]])</f>
        <v>44117</v>
      </c>
      <c r="D1013" s="11" t="str">
        <f t="shared" si="15"/>
        <v>07:01</v>
      </c>
      <c r="E1013" s="9">
        <v>44117.506944444445</v>
      </c>
      <c r="F1013" s="10">
        <f>INT(Cardiac_Table[[#This Row],[Procedure Start Date and Time]])</f>
        <v>44117</v>
      </c>
      <c r="G1013" s="12">
        <f>MOD(Cardiac_Table[[#This Row],[Procedure Start Date and Time]],1)</f>
        <v>0.50694444444525288</v>
      </c>
      <c r="H1013">
        <v>2</v>
      </c>
      <c r="I1013" t="s">
        <v>4</v>
      </c>
      <c r="J1013" t="s">
        <v>3</v>
      </c>
      <c r="K1013" t="s">
        <v>28</v>
      </c>
      <c r="L1013">
        <v>63</v>
      </c>
      <c r="M1013">
        <v>2.7</v>
      </c>
      <c r="N1013">
        <v>1.02</v>
      </c>
      <c r="O1013" t="s">
        <v>15</v>
      </c>
      <c r="P1013">
        <v>134</v>
      </c>
      <c r="Q1013">
        <v>178</v>
      </c>
      <c r="R1013">
        <v>85</v>
      </c>
      <c r="S1013">
        <v>61</v>
      </c>
      <c r="T1013" t="s">
        <v>48</v>
      </c>
      <c r="U1013">
        <f>IF(Cardiac_Table[[#This Row],[Patient Status at Discharge]]="Died", 1,0)</f>
        <v>0</v>
      </c>
      <c r="V1013">
        <f>Cardiac_Table[[#This Row],[Risk of Death % (Model 1)]]/100</f>
        <v>2.7000000000000003E-2</v>
      </c>
      <c r="W1013">
        <f>Cardiac_Table[[#This Row],[Risk of Death % (Model 2)]]/100</f>
        <v>1.0200000000000001E-2</v>
      </c>
      <c r="X1013" s="18">
        <f>Cardiac_Table[[#This Row],[Procedure Start Date and Time]]-Cardiac_Table[[#This Row],[Hospital Admit Date ]]</f>
        <v>0.21458333333430346</v>
      </c>
    </row>
    <row r="1014" spans="1:24" x14ac:dyDescent="0.35">
      <c r="A1014">
        <v>1024</v>
      </c>
      <c r="B1014" s="9">
        <v>44117.300694444442</v>
      </c>
      <c r="C1014" s="10">
        <f>INT(Cardiac_Table[[#This Row],[Hospital Admit Date ]])</f>
        <v>44117</v>
      </c>
      <c r="D1014" s="11" t="str">
        <f t="shared" si="15"/>
        <v>07:13</v>
      </c>
      <c r="E1014" s="9">
        <v>44117.520833333336</v>
      </c>
      <c r="F1014" s="10">
        <f>INT(Cardiac_Table[[#This Row],[Procedure Start Date and Time]])</f>
        <v>44117</v>
      </c>
      <c r="G1014" s="12">
        <f>MOD(Cardiac_Table[[#This Row],[Procedure Start Date and Time]],1)</f>
        <v>0.52083333333575865</v>
      </c>
      <c r="H1014">
        <v>5</v>
      </c>
      <c r="I1014" t="s">
        <v>4</v>
      </c>
      <c r="J1014" t="s">
        <v>10</v>
      </c>
      <c r="K1014" t="s">
        <v>26</v>
      </c>
      <c r="L1014">
        <v>63</v>
      </c>
      <c r="M1014">
        <v>2.0099999999999998</v>
      </c>
      <c r="N1014">
        <v>0.61</v>
      </c>
      <c r="O1014" t="s">
        <v>15</v>
      </c>
      <c r="P1014">
        <v>92</v>
      </c>
      <c r="Q1014">
        <v>154</v>
      </c>
      <c r="R1014">
        <v>63</v>
      </c>
      <c r="S1014">
        <v>52</v>
      </c>
      <c r="T1014" t="s">
        <v>48</v>
      </c>
      <c r="U1014">
        <f>IF(Cardiac_Table[[#This Row],[Patient Status at Discharge]]="Died", 1,0)</f>
        <v>0</v>
      </c>
      <c r="V1014">
        <f>Cardiac_Table[[#This Row],[Risk of Death % (Model 1)]]/100</f>
        <v>2.0099999999999996E-2</v>
      </c>
      <c r="W1014">
        <f>Cardiac_Table[[#This Row],[Risk of Death % (Model 2)]]/100</f>
        <v>6.0999999999999995E-3</v>
      </c>
      <c r="X1014" s="18">
        <f>Cardiac_Table[[#This Row],[Procedure Start Date and Time]]-Cardiac_Table[[#This Row],[Hospital Admit Date ]]</f>
        <v>0.22013888889341615</v>
      </c>
    </row>
    <row r="1015" spans="1:24" x14ac:dyDescent="0.35">
      <c r="A1015">
        <v>1025</v>
      </c>
      <c r="B1015" s="9">
        <v>44117.296527777777</v>
      </c>
      <c r="C1015" s="10">
        <f>INT(Cardiac_Table[[#This Row],[Hospital Admit Date ]])</f>
        <v>44117</v>
      </c>
      <c r="D1015" s="11" t="str">
        <f t="shared" si="15"/>
        <v>07:07</v>
      </c>
      <c r="E1015" s="9">
        <v>44117.648611111108</v>
      </c>
      <c r="F1015" s="10">
        <f>INT(Cardiac_Table[[#This Row],[Procedure Start Date and Time]])</f>
        <v>44117</v>
      </c>
      <c r="G1015" s="12">
        <f>MOD(Cardiac_Table[[#This Row],[Procedure Start Date and Time]],1)</f>
        <v>0.64861111110803904</v>
      </c>
      <c r="H1015">
        <v>6</v>
      </c>
      <c r="I1015" t="s">
        <v>4</v>
      </c>
      <c r="J1015" t="s">
        <v>3</v>
      </c>
      <c r="K1015" t="s">
        <v>29</v>
      </c>
      <c r="L1015">
        <v>67</v>
      </c>
      <c r="M1015">
        <v>2.54</v>
      </c>
      <c r="N1015">
        <v>0.61</v>
      </c>
      <c r="O1015" t="s">
        <v>15</v>
      </c>
      <c r="P1015">
        <v>75</v>
      </c>
      <c r="Q1015">
        <v>172</v>
      </c>
      <c r="R1015">
        <v>86</v>
      </c>
      <c r="S1015">
        <v>41</v>
      </c>
      <c r="T1015" t="s">
        <v>50</v>
      </c>
      <c r="U1015">
        <f>IF(Cardiac_Table[[#This Row],[Patient Status at Discharge]]="Died", 1,0)</f>
        <v>0</v>
      </c>
      <c r="V1015">
        <f>Cardiac_Table[[#This Row],[Risk of Death % (Model 1)]]/100</f>
        <v>2.5399999999999999E-2</v>
      </c>
      <c r="W1015">
        <f>Cardiac_Table[[#This Row],[Risk of Death % (Model 2)]]/100</f>
        <v>6.0999999999999995E-3</v>
      </c>
      <c r="X1015" s="18">
        <f>Cardiac_Table[[#This Row],[Procedure Start Date and Time]]-Cardiac_Table[[#This Row],[Hospital Admit Date ]]</f>
        <v>0.35208333333139308</v>
      </c>
    </row>
    <row r="1016" spans="1:24" x14ac:dyDescent="0.35">
      <c r="A1016">
        <v>1026</v>
      </c>
      <c r="B1016" s="9">
        <v>44117.974618055552</v>
      </c>
      <c r="C1016" s="10">
        <f>INT(Cardiac_Table[[#This Row],[Hospital Admit Date ]])</f>
        <v>44117</v>
      </c>
      <c r="D1016" s="11" t="str">
        <f t="shared" si="15"/>
        <v>23:23</v>
      </c>
      <c r="E1016" s="9">
        <v>44117.984722222223</v>
      </c>
      <c r="F1016" s="10">
        <f>INT(Cardiac_Table[[#This Row],[Procedure Start Date and Time]])</f>
        <v>44117</v>
      </c>
      <c r="G1016" s="12">
        <f>MOD(Cardiac_Table[[#This Row],[Procedure Start Date and Time]],1)</f>
        <v>0.98472222222335404</v>
      </c>
      <c r="H1016">
        <v>5</v>
      </c>
      <c r="I1016" t="s">
        <v>2</v>
      </c>
      <c r="J1016" t="s">
        <v>3</v>
      </c>
      <c r="K1016" t="s">
        <v>30</v>
      </c>
      <c r="L1016">
        <v>65</v>
      </c>
      <c r="M1016">
        <v>50.83</v>
      </c>
      <c r="N1016">
        <v>27.67</v>
      </c>
      <c r="O1016" t="s">
        <v>14</v>
      </c>
      <c r="P1016">
        <v>87</v>
      </c>
      <c r="Q1016">
        <v>158</v>
      </c>
      <c r="R1016">
        <v>77</v>
      </c>
      <c r="S1016">
        <v>52</v>
      </c>
      <c r="T1016" t="s">
        <v>48</v>
      </c>
      <c r="U1016">
        <f>IF(Cardiac_Table[[#This Row],[Patient Status at Discharge]]="Died", 1,0)</f>
        <v>0</v>
      </c>
      <c r="V1016">
        <f>Cardiac_Table[[#This Row],[Risk of Death % (Model 1)]]/100</f>
        <v>0.50829999999999997</v>
      </c>
      <c r="W1016">
        <f>Cardiac_Table[[#This Row],[Risk of Death % (Model 2)]]/100</f>
        <v>0.2767</v>
      </c>
      <c r="X1016" s="18">
        <f>Cardiac_Table[[#This Row],[Procedure Start Date and Time]]-Cardiac_Table[[#This Row],[Hospital Admit Date ]]</f>
        <v>1.0104166671226267E-2</v>
      </c>
    </row>
    <row r="1017" spans="1:24" x14ac:dyDescent="0.35">
      <c r="A1017">
        <v>1027</v>
      </c>
      <c r="B1017" s="9">
        <v>44111.416666666664</v>
      </c>
      <c r="C1017" s="10">
        <f>INT(Cardiac_Table[[#This Row],[Hospital Admit Date ]])</f>
        <v>44111</v>
      </c>
      <c r="D1017" s="11" t="str">
        <f t="shared" si="15"/>
        <v>10:00</v>
      </c>
      <c r="E1017" s="9">
        <v>44118.345833333333</v>
      </c>
      <c r="F1017" s="10">
        <f>INT(Cardiac_Table[[#This Row],[Procedure Start Date and Time]])</f>
        <v>44118</v>
      </c>
      <c r="G1017" s="12">
        <f>MOD(Cardiac_Table[[#This Row],[Procedure Start Date and Time]],1)</f>
        <v>0.34583333333284827</v>
      </c>
      <c r="H1017">
        <v>4</v>
      </c>
      <c r="I1017" t="s">
        <v>6</v>
      </c>
      <c r="J1017" t="s">
        <v>10</v>
      </c>
      <c r="K1017" t="s">
        <v>24</v>
      </c>
      <c r="L1017">
        <v>73</v>
      </c>
      <c r="M1017">
        <v>10.26</v>
      </c>
      <c r="N1017">
        <v>4.47</v>
      </c>
      <c r="O1017" t="s">
        <v>15</v>
      </c>
      <c r="P1017">
        <v>91</v>
      </c>
      <c r="Q1017">
        <v>182</v>
      </c>
      <c r="R1017">
        <v>78</v>
      </c>
      <c r="S1017">
        <v>44</v>
      </c>
      <c r="T1017" t="s">
        <v>50</v>
      </c>
      <c r="U1017">
        <f>IF(Cardiac_Table[[#This Row],[Patient Status at Discharge]]="Died", 1,0)</f>
        <v>0</v>
      </c>
      <c r="V1017">
        <f>Cardiac_Table[[#This Row],[Risk of Death % (Model 1)]]/100</f>
        <v>0.1026</v>
      </c>
      <c r="W1017">
        <f>Cardiac_Table[[#This Row],[Risk of Death % (Model 2)]]/100</f>
        <v>4.4699999999999997E-2</v>
      </c>
      <c r="X1017" s="18">
        <f>Cardiac_Table[[#This Row],[Procedure Start Date and Time]]-Cardiac_Table[[#This Row],[Hospital Admit Date ]]</f>
        <v>6.9291666666686069</v>
      </c>
    </row>
    <row r="1018" spans="1:24" x14ac:dyDescent="0.35">
      <c r="A1018">
        <v>1028</v>
      </c>
      <c r="B1018" s="9">
        <v>44111.367361111108</v>
      </c>
      <c r="C1018" s="10">
        <f>INT(Cardiac_Table[[#This Row],[Hospital Admit Date ]])</f>
        <v>44111</v>
      </c>
      <c r="D1018" s="11" t="str">
        <f t="shared" si="15"/>
        <v>08:49</v>
      </c>
      <c r="E1018" s="9">
        <v>44118.347222222219</v>
      </c>
      <c r="F1018" s="10">
        <f>INT(Cardiac_Table[[#This Row],[Procedure Start Date and Time]])</f>
        <v>44118</v>
      </c>
      <c r="G1018" s="12">
        <f>MOD(Cardiac_Table[[#This Row],[Procedure Start Date and Time]],1)</f>
        <v>0.34722222221898846</v>
      </c>
      <c r="H1018">
        <v>5</v>
      </c>
      <c r="I1018" t="s">
        <v>6</v>
      </c>
      <c r="J1018" t="s">
        <v>10</v>
      </c>
      <c r="K1018" t="s">
        <v>31</v>
      </c>
      <c r="L1018">
        <v>74</v>
      </c>
      <c r="M1018">
        <v>4</v>
      </c>
      <c r="N1018">
        <v>1.32</v>
      </c>
      <c r="O1018" t="s">
        <v>15</v>
      </c>
      <c r="P1018">
        <v>64</v>
      </c>
      <c r="Q1018">
        <v>175</v>
      </c>
      <c r="R1018">
        <v>91</v>
      </c>
      <c r="S1018">
        <v>60</v>
      </c>
      <c r="T1018" t="s">
        <v>48</v>
      </c>
      <c r="U1018">
        <f>IF(Cardiac_Table[[#This Row],[Patient Status at Discharge]]="Died", 1,0)</f>
        <v>0</v>
      </c>
      <c r="V1018">
        <f>Cardiac_Table[[#This Row],[Risk of Death % (Model 1)]]/100</f>
        <v>0.04</v>
      </c>
      <c r="W1018">
        <f>Cardiac_Table[[#This Row],[Risk of Death % (Model 2)]]/100</f>
        <v>1.32E-2</v>
      </c>
      <c r="X1018" s="18">
        <f>Cardiac_Table[[#This Row],[Procedure Start Date and Time]]-Cardiac_Table[[#This Row],[Hospital Admit Date ]]</f>
        <v>6.9798611111109494</v>
      </c>
    </row>
    <row r="1019" spans="1:24" x14ac:dyDescent="0.35">
      <c r="A1019">
        <v>1029</v>
      </c>
      <c r="B1019" s="9">
        <v>44116.45208333333</v>
      </c>
      <c r="C1019" s="10">
        <f>INT(Cardiac_Table[[#This Row],[Hospital Admit Date ]])</f>
        <v>44116</v>
      </c>
      <c r="D1019" s="11" t="str">
        <f t="shared" si="15"/>
        <v>10:51</v>
      </c>
      <c r="E1019" s="9">
        <v>44118.347222222219</v>
      </c>
      <c r="F1019" s="10">
        <f>INT(Cardiac_Table[[#This Row],[Procedure Start Date and Time]])</f>
        <v>44118</v>
      </c>
      <c r="G1019" s="12">
        <f>MOD(Cardiac_Table[[#This Row],[Procedure Start Date and Time]],1)</f>
        <v>0.34722222221898846</v>
      </c>
      <c r="H1019">
        <v>2</v>
      </c>
      <c r="I1019" t="s">
        <v>6</v>
      </c>
      <c r="J1019" t="s">
        <v>3</v>
      </c>
      <c r="K1019" t="s">
        <v>28</v>
      </c>
      <c r="L1019">
        <v>61</v>
      </c>
      <c r="M1019">
        <v>3.83</v>
      </c>
      <c r="N1019">
        <v>6.59</v>
      </c>
      <c r="O1019" t="s">
        <v>15</v>
      </c>
      <c r="P1019">
        <v>95</v>
      </c>
      <c r="Q1019">
        <v>162</v>
      </c>
      <c r="R1019">
        <v>116</v>
      </c>
      <c r="S1019">
        <v>54</v>
      </c>
      <c r="T1019" t="s">
        <v>48</v>
      </c>
      <c r="U1019">
        <f>IF(Cardiac_Table[[#This Row],[Patient Status at Discharge]]="Died", 1,0)</f>
        <v>0</v>
      </c>
      <c r="V1019">
        <f>Cardiac_Table[[#This Row],[Risk of Death % (Model 1)]]/100</f>
        <v>3.8300000000000001E-2</v>
      </c>
      <c r="W1019">
        <f>Cardiac_Table[[#This Row],[Risk of Death % (Model 2)]]/100</f>
        <v>6.59E-2</v>
      </c>
      <c r="X1019" s="18">
        <f>Cardiac_Table[[#This Row],[Procedure Start Date and Time]]-Cardiac_Table[[#This Row],[Hospital Admit Date ]]</f>
        <v>1.8951388888890506</v>
      </c>
    </row>
    <row r="1020" spans="1:24" x14ac:dyDescent="0.35">
      <c r="A1020">
        <v>1030</v>
      </c>
      <c r="B1020" s="9">
        <v>44118.290972222225</v>
      </c>
      <c r="C1020" s="10">
        <f>INT(Cardiac_Table[[#This Row],[Hospital Admit Date ]])</f>
        <v>44118</v>
      </c>
      <c r="D1020" s="11" t="str">
        <f t="shared" si="15"/>
        <v>06:59</v>
      </c>
      <c r="E1020" s="9">
        <v>44118.590277777781</v>
      </c>
      <c r="F1020" s="10">
        <f>INT(Cardiac_Table[[#This Row],[Procedure Start Date and Time]])</f>
        <v>44118</v>
      </c>
      <c r="G1020" s="12">
        <f>MOD(Cardiac_Table[[#This Row],[Procedure Start Date and Time]],1)</f>
        <v>0.59027777778101154</v>
      </c>
      <c r="H1020">
        <v>5</v>
      </c>
      <c r="I1020" t="s">
        <v>4</v>
      </c>
      <c r="J1020" t="s">
        <v>10</v>
      </c>
      <c r="K1020" t="s">
        <v>31</v>
      </c>
      <c r="L1020">
        <v>66</v>
      </c>
      <c r="M1020">
        <v>1.4</v>
      </c>
      <c r="N1020">
        <v>0.66</v>
      </c>
      <c r="O1020" t="s">
        <v>15</v>
      </c>
      <c r="P1020">
        <v>63</v>
      </c>
      <c r="Q1020">
        <v>186</v>
      </c>
      <c r="R1020">
        <v>125</v>
      </c>
      <c r="S1020">
        <v>70</v>
      </c>
      <c r="T1020" t="s">
        <v>48</v>
      </c>
      <c r="U1020">
        <f>IF(Cardiac_Table[[#This Row],[Patient Status at Discharge]]="Died", 1,0)</f>
        <v>0</v>
      </c>
      <c r="V1020">
        <f>Cardiac_Table[[#This Row],[Risk of Death % (Model 1)]]/100</f>
        <v>1.3999999999999999E-2</v>
      </c>
      <c r="W1020">
        <f>Cardiac_Table[[#This Row],[Risk of Death % (Model 2)]]/100</f>
        <v>6.6E-3</v>
      </c>
      <c r="X1020" s="18">
        <f>Cardiac_Table[[#This Row],[Procedure Start Date and Time]]-Cardiac_Table[[#This Row],[Hospital Admit Date ]]</f>
        <v>0.29930555555620231</v>
      </c>
    </row>
    <row r="1021" spans="1:24" x14ac:dyDescent="0.35">
      <c r="A1021">
        <v>1031</v>
      </c>
      <c r="B1021" s="9">
        <v>44118.289583333331</v>
      </c>
      <c r="C1021" s="10">
        <f>INT(Cardiac_Table[[#This Row],[Hospital Admit Date ]])</f>
        <v>44118</v>
      </c>
      <c r="D1021" s="11" t="str">
        <f t="shared" si="15"/>
        <v>06:57</v>
      </c>
      <c r="E1021" s="9">
        <v>44118.597222222219</v>
      </c>
      <c r="F1021" s="10">
        <f>INT(Cardiac_Table[[#This Row],[Procedure Start Date and Time]])</f>
        <v>44118</v>
      </c>
      <c r="G1021" s="12">
        <f>MOD(Cardiac_Table[[#This Row],[Procedure Start Date and Time]],1)</f>
        <v>0.59722222221898846</v>
      </c>
      <c r="H1021">
        <v>2</v>
      </c>
      <c r="I1021" t="s">
        <v>4</v>
      </c>
      <c r="J1021" t="s">
        <v>3</v>
      </c>
      <c r="K1021" t="s">
        <v>28</v>
      </c>
      <c r="L1021">
        <v>72</v>
      </c>
      <c r="M1021">
        <v>8.3000000000000007</v>
      </c>
      <c r="N1021">
        <v>1.29</v>
      </c>
      <c r="O1021" t="s">
        <v>15</v>
      </c>
      <c r="P1021">
        <v>113</v>
      </c>
      <c r="Q1021">
        <v>160</v>
      </c>
      <c r="R1021">
        <v>78</v>
      </c>
      <c r="S1021">
        <v>35</v>
      </c>
      <c r="T1021" t="s">
        <v>50</v>
      </c>
      <c r="U1021">
        <f>IF(Cardiac_Table[[#This Row],[Patient Status at Discharge]]="Died", 1,0)</f>
        <v>0</v>
      </c>
      <c r="V1021">
        <f>Cardiac_Table[[#This Row],[Risk of Death % (Model 1)]]/100</f>
        <v>8.3000000000000004E-2</v>
      </c>
      <c r="W1021">
        <f>Cardiac_Table[[#This Row],[Risk of Death % (Model 2)]]/100</f>
        <v>1.29E-2</v>
      </c>
      <c r="X1021" s="18">
        <f>Cardiac_Table[[#This Row],[Procedure Start Date and Time]]-Cardiac_Table[[#This Row],[Hospital Admit Date ]]</f>
        <v>0.30763888888759539</v>
      </c>
    </row>
    <row r="1022" spans="1:24" x14ac:dyDescent="0.35">
      <c r="A1022">
        <v>1032</v>
      </c>
      <c r="B1022" s="9">
        <v>44117.393750000003</v>
      </c>
      <c r="C1022" s="10">
        <f>INT(Cardiac_Table[[#This Row],[Hospital Admit Date ]])</f>
        <v>44117</v>
      </c>
      <c r="D1022" s="11" t="str">
        <f t="shared" si="15"/>
        <v>09:27</v>
      </c>
      <c r="E1022" s="9">
        <v>44118.615972222222</v>
      </c>
      <c r="F1022" s="10">
        <f>INT(Cardiac_Table[[#This Row],[Procedure Start Date and Time]])</f>
        <v>44118</v>
      </c>
      <c r="G1022" s="12">
        <f>MOD(Cardiac_Table[[#This Row],[Procedure Start Date and Time]],1)</f>
        <v>0.61597222222189885</v>
      </c>
      <c r="H1022">
        <v>4</v>
      </c>
      <c r="I1022" t="s">
        <v>4</v>
      </c>
      <c r="J1022" t="s">
        <v>11</v>
      </c>
      <c r="K1022" t="s">
        <v>24</v>
      </c>
      <c r="L1022">
        <v>66</v>
      </c>
      <c r="M1022">
        <v>4.4800000000000004</v>
      </c>
      <c r="N1022">
        <v>2.3199999999999998</v>
      </c>
      <c r="O1022" t="s">
        <v>15</v>
      </c>
      <c r="P1022">
        <v>92</v>
      </c>
      <c r="Q1022">
        <v>170</v>
      </c>
      <c r="R1022">
        <v>105</v>
      </c>
      <c r="S1022">
        <v>61</v>
      </c>
      <c r="T1022" t="s">
        <v>48</v>
      </c>
      <c r="U1022">
        <f>IF(Cardiac_Table[[#This Row],[Patient Status at Discharge]]="Died", 1,0)</f>
        <v>0</v>
      </c>
      <c r="V1022">
        <f>Cardiac_Table[[#This Row],[Risk of Death % (Model 1)]]/100</f>
        <v>4.4800000000000006E-2</v>
      </c>
      <c r="W1022">
        <f>Cardiac_Table[[#This Row],[Risk of Death % (Model 2)]]/100</f>
        <v>2.3199999999999998E-2</v>
      </c>
      <c r="X1022" s="18">
        <f>Cardiac_Table[[#This Row],[Procedure Start Date and Time]]-Cardiac_Table[[#This Row],[Hospital Admit Date ]]</f>
        <v>1.2222222222189885</v>
      </c>
    </row>
    <row r="1023" spans="1:24" x14ac:dyDescent="0.35">
      <c r="A1023">
        <v>1033</v>
      </c>
      <c r="B1023" s="9">
        <v>44118.67083333333</v>
      </c>
      <c r="C1023" s="10">
        <f>INT(Cardiac_Table[[#This Row],[Hospital Admit Date ]])</f>
        <v>44118</v>
      </c>
      <c r="D1023" s="11" t="str">
        <f t="shared" si="15"/>
        <v>16:06</v>
      </c>
      <c r="E1023" s="9">
        <v>44119.331944444442</v>
      </c>
      <c r="F1023" s="10">
        <f>INT(Cardiac_Table[[#This Row],[Procedure Start Date and Time]])</f>
        <v>44119</v>
      </c>
      <c r="G1023" s="12">
        <f>MOD(Cardiac_Table[[#This Row],[Procedure Start Date and Time]],1)</f>
        <v>0.3319444444423425</v>
      </c>
      <c r="H1023">
        <v>2</v>
      </c>
      <c r="I1023" t="s">
        <v>4</v>
      </c>
      <c r="J1023" t="s">
        <v>3</v>
      </c>
      <c r="K1023" t="s">
        <v>35</v>
      </c>
      <c r="L1023">
        <v>60</v>
      </c>
      <c r="M1023">
        <v>2.42</v>
      </c>
      <c r="N1023">
        <v>0.92</v>
      </c>
      <c r="O1023" t="s">
        <v>15</v>
      </c>
      <c r="P1023">
        <v>135</v>
      </c>
      <c r="Q1023">
        <v>170</v>
      </c>
      <c r="R1023">
        <v>71</v>
      </c>
      <c r="S1023">
        <v>25</v>
      </c>
      <c r="T1023" t="s">
        <v>49</v>
      </c>
      <c r="U1023">
        <f>IF(Cardiac_Table[[#This Row],[Patient Status at Discharge]]="Died", 1,0)</f>
        <v>0</v>
      </c>
      <c r="V1023">
        <f>Cardiac_Table[[#This Row],[Risk of Death % (Model 1)]]/100</f>
        <v>2.4199999999999999E-2</v>
      </c>
      <c r="W1023">
        <f>Cardiac_Table[[#This Row],[Risk of Death % (Model 2)]]/100</f>
        <v>9.1999999999999998E-3</v>
      </c>
      <c r="X1023" s="18">
        <f>Cardiac_Table[[#This Row],[Procedure Start Date and Time]]-Cardiac_Table[[#This Row],[Hospital Admit Date ]]</f>
        <v>0.66111111111240461</v>
      </c>
    </row>
    <row r="1024" spans="1:24" x14ac:dyDescent="0.35">
      <c r="A1024">
        <v>1034</v>
      </c>
      <c r="B1024" s="9">
        <v>44104.447222222225</v>
      </c>
      <c r="C1024" s="10">
        <f>INT(Cardiac_Table[[#This Row],[Hospital Admit Date ]])</f>
        <v>44104</v>
      </c>
      <c r="D1024" s="11" t="str">
        <f t="shared" si="15"/>
        <v>10:44</v>
      </c>
      <c r="E1024" s="9">
        <v>44119.344444444447</v>
      </c>
      <c r="F1024" s="10">
        <f>INT(Cardiac_Table[[#This Row],[Procedure Start Date and Time]])</f>
        <v>44119</v>
      </c>
      <c r="G1024" s="12">
        <f>MOD(Cardiac_Table[[#This Row],[Procedure Start Date and Time]],1)</f>
        <v>0.34444444444670808</v>
      </c>
      <c r="H1024">
        <v>4</v>
      </c>
      <c r="I1024" t="s">
        <v>6</v>
      </c>
      <c r="J1024" t="s">
        <v>11</v>
      </c>
      <c r="K1024" t="s">
        <v>30</v>
      </c>
      <c r="L1024">
        <v>66</v>
      </c>
      <c r="M1024">
        <v>33.74</v>
      </c>
      <c r="N1024">
        <v>19.48</v>
      </c>
      <c r="O1024" t="s">
        <v>15</v>
      </c>
      <c r="P1024">
        <v>92</v>
      </c>
      <c r="Q1024">
        <v>180</v>
      </c>
      <c r="R1024">
        <v>105</v>
      </c>
      <c r="S1024">
        <v>60</v>
      </c>
      <c r="T1024" t="s">
        <v>48</v>
      </c>
      <c r="U1024">
        <f>IF(Cardiac_Table[[#This Row],[Patient Status at Discharge]]="Died", 1,0)</f>
        <v>0</v>
      </c>
      <c r="V1024">
        <f>Cardiac_Table[[#This Row],[Risk of Death % (Model 1)]]/100</f>
        <v>0.33740000000000003</v>
      </c>
      <c r="W1024">
        <f>Cardiac_Table[[#This Row],[Risk of Death % (Model 2)]]/100</f>
        <v>0.1948</v>
      </c>
      <c r="X1024" s="18">
        <f>Cardiac_Table[[#This Row],[Procedure Start Date and Time]]-Cardiac_Table[[#This Row],[Hospital Admit Date ]]</f>
        <v>14.897222222221899</v>
      </c>
    </row>
    <row r="1025" spans="1:24" x14ac:dyDescent="0.35">
      <c r="A1025">
        <v>1035</v>
      </c>
      <c r="B1025" s="9">
        <v>44117.458333333336</v>
      </c>
      <c r="C1025" s="10">
        <f>INT(Cardiac_Table[[#This Row],[Hospital Admit Date ]])</f>
        <v>44117</v>
      </c>
      <c r="D1025" s="11" t="str">
        <f t="shared" si="15"/>
        <v>11:00</v>
      </c>
      <c r="E1025" s="9">
        <v>44119.350694444445</v>
      </c>
      <c r="F1025" s="10">
        <f>INT(Cardiac_Table[[#This Row],[Procedure Start Date and Time]])</f>
        <v>44119</v>
      </c>
      <c r="G1025" s="12">
        <f>MOD(Cardiac_Table[[#This Row],[Procedure Start Date and Time]],1)</f>
        <v>0.35069444444525288</v>
      </c>
      <c r="H1025">
        <v>5</v>
      </c>
      <c r="I1025" t="s">
        <v>6</v>
      </c>
      <c r="J1025" t="s">
        <v>10</v>
      </c>
      <c r="K1025" t="s">
        <v>21</v>
      </c>
      <c r="L1025">
        <v>84</v>
      </c>
      <c r="M1025">
        <v>29.82</v>
      </c>
      <c r="N1025">
        <v>10.88</v>
      </c>
      <c r="O1025" t="s">
        <v>15</v>
      </c>
      <c r="P1025">
        <v>72</v>
      </c>
      <c r="Q1025">
        <v>163</v>
      </c>
      <c r="R1025">
        <v>69</v>
      </c>
      <c r="S1025">
        <v>66</v>
      </c>
      <c r="T1025" t="s">
        <v>48</v>
      </c>
      <c r="U1025">
        <f>IF(Cardiac_Table[[#This Row],[Patient Status at Discharge]]="Died", 1,0)</f>
        <v>0</v>
      </c>
      <c r="V1025">
        <f>Cardiac_Table[[#This Row],[Risk of Death % (Model 1)]]/100</f>
        <v>0.29820000000000002</v>
      </c>
      <c r="W1025">
        <f>Cardiac_Table[[#This Row],[Risk of Death % (Model 2)]]/100</f>
        <v>0.10880000000000001</v>
      </c>
      <c r="X1025" s="18">
        <f>Cardiac_Table[[#This Row],[Procedure Start Date and Time]]-Cardiac_Table[[#This Row],[Hospital Admit Date ]]</f>
        <v>1.8923611111094942</v>
      </c>
    </row>
    <row r="1026" spans="1:24" x14ac:dyDescent="0.35">
      <c r="A1026">
        <v>1036</v>
      </c>
      <c r="B1026" s="9">
        <v>44118.665277777778</v>
      </c>
      <c r="C1026" s="10">
        <f>INT(Cardiac_Table[[#This Row],[Hospital Admit Date ]])</f>
        <v>44118</v>
      </c>
      <c r="D1026" s="11" t="str">
        <f t="shared" ref="D1026:D1089" si="16">TEXT(B1026,"HH:MM")</f>
        <v>15:58</v>
      </c>
      <c r="E1026" s="9">
        <v>44119.443055555559</v>
      </c>
      <c r="F1026" s="10">
        <f>INT(Cardiac_Table[[#This Row],[Procedure Start Date and Time]])</f>
        <v>44119</v>
      </c>
      <c r="G1026" s="12">
        <f>MOD(Cardiac_Table[[#This Row],[Procedure Start Date and Time]],1)</f>
        <v>0.44305555555911269</v>
      </c>
      <c r="H1026">
        <v>6</v>
      </c>
      <c r="I1026" t="s">
        <v>4</v>
      </c>
      <c r="J1026" t="s">
        <v>3</v>
      </c>
      <c r="K1026" t="s">
        <v>23</v>
      </c>
      <c r="L1026">
        <v>75</v>
      </c>
      <c r="M1026">
        <v>4.25</v>
      </c>
      <c r="N1026">
        <v>1.39</v>
      </c>
      <c r="O1026" t="s">
        <v>15</v>
      </c>
      <c r="P1026">
        <v>74</v>
      </c>
      <c r="Q1026">
        <v>173</v>
      </c>
      <c r="R1026">
        <v>104</v>
      </c>
      <c r="S1026">
        <v>50</v>
      </c>
      <c r="T1026" t="s">
        <v>50</v>
      </c>
      <c r="U1026">
        <f>IF(Cardiac_Table[[#This Row],[Patient Status at Discharge]]="Died", 1,0)</f>
        <v>0</v>
      </c>
      <c r="V1026">
        <f>Cardiac_Table[[#This Row],[Risk of Death % (Model 1)]]/100</f>
        <v>4.2500000000000003E-2</v>
      </c>
      <c r="W1026">
        <f>Cardiac_Table[[#This Row],[Risk of Death % (Model 2)]]/100</f>
        <v>1.3899999999999999E-2</v>
      </c>
      <c r="X1026" s="18">
        <f>Cardiac_Table[[#This Row],[Procedure Start Date and Time]]-Cardiac_Table[[#This Row],[Hospital Admit Date ]]</f>
        <v>0.77777777778101154</v>
      </c>
    </row>
    <row r="1027" spans="1:24" x14ac:dyDescent="0.35">
      <c r="A1027">
        <v>1037</v>
      </c>
      <c r="B1027" s="9">
        <v>44116.534722222219</v>
      </c>
      <c r="C1027" s="10">
        <f>INT(Cardiac_Table[[#This Row],[Hospital Admit Date ]])</f>
        <v>44116</v>
      </c>
      <c r="D1027" s="11" t="str">
        <f t="shared" si="16"/>
        <v>12:50</v>
      </c>
      <c r="E1027" s="9">
        <v>44119.533333333333</v>
      </c>
      <c r="F1027" s="10">
        <f>INT(Cardiac_Table[[#This Row],[Procedure Start Date and Time]])</f>
        <v>44119</v>
      </c>
      <c r="G1027" s="12">
        <f>MOD(Cardiac_Table[[#This Row],[Procedure Start Date and Time]],1)</f>
        <v>0.53333333333284827</v>
      </c>
      <c r="H1027">
        <v>2</v>
      </c>
      <c r="I1027" t="s">
        <v>6</v>
      </c>
      <c r="J1027" t="s">
        <v>11</v>
      </c>
      <c r="K1027" t="s">
        <v>27</v>
      </c>
      <c r="L1027">
        <v>78</v>
      </c>
      <c r="M1027">
        <v>5.14</v>
      </c>
      <c r="N1027">
        <v>2.92</v>
      </c>
      <c r="O1027" t="s">
        <v>15</v>
      </c>
      <c r="P1027">
        <v>88</v>
      </c>
      <c r="Q1027">
        <v>174</v>
      </c>
      <c r="R1027">
        <v>68</v>
      </c>
      <c r="S1027">
        <v>69</v>
      </c>
      <c r="T1027" t="s">
        <v>48</v>
      </c>
      <c r="U1027">
        <f>IF(Cardiac_Table[[#This Row],[Patient Status at Discharge]]="Died", 1,0)</f>
        <v>0</v>
      </c>
      <c r="V1027">
        <f>Cardiac_Table[[#This Row],[Risk of Death % (Model 1)]]/100</f>
        <v>5.1399999999999994E-2</v>
      </c>
      <c r="W1027">
        <f>Cardiac_Table[[#This Row],[Risk of Death % (Model 2)]]/100</f>
        <v>2.92E-2</v>
      </c>
      <c r="X1027" s="18">
        <f>Cardiac_Table[[#This Row],[Procedure Start Date and Time]]-Cardiac_Table[[#This Row],[Hospital Admit Date ]]</f>
        <v>2.9986111111138598</v>
      </c>
    </row>
    <row r="1028" spans="1:24" x14ac:dyDescent="0.35">
      <c r="A1028">
        <v>1038</v>
      </c>
      <c r="B1028" s="9">
        <v>44119.3</v>
      </c>
      <c r="C1028" s="10">
        <f>INT(Cardiac_Table[[#This Row],[Hospital Admit Date ]])</f>
        <v>44119</v>
      </c>
      <c r="D1028" s="11" t="str">
        <f t="shared" si="16"/>
        <v>07:12</v>
      </c>
      <c r="E1028" s="9">
        <v>44119.609722222223</v>
      </c>
      <c r="F1028" s="10">
        <f>INT(Cardiac_Table[[#This Row],[Procedure Start Date and Time]])</f>
        <v>44119</v>
      </c>
      <c r="G1028" s="12">
        <f>MOD(Cardiac_Table[[#This Row],[Procedure Start Date and Time]],1)</f>
        <v>0.60972222222335404</v>
      </c>
      <c r="H1028">
        <v>6</v>
      </c>
      <c r="I1028" t="s">
        <v>4</v>
      </c>
      <c r="J1028" t="s">
        <v>3</v>
      </c>
      <c r="K1028" t="s">
        <v>23</v>
      </c>
      <c r="L1028">
        <v>73</v>
      </c>
      <c r="M1028">
        <v>3.74</v>
      </c>
      <c r="N1028">
        <v>2.52</v>
      </c>
      <c r="O1028" t="s">
        <v>15</v>
      </c>
      <c r="P1028">
        <v>70</v>
      </c>
      <c r="Q1028">
        <v>161</v>
      </c>
      <c r="R1028">
        <v>76</v>
      </c>
      <c r="S1028">
        <v>42</v>
      </c>
      <c r="T1028" t="s">
        <v>50</v>
      </c>
      <c r="U1028">
        <f>IF(Cardiac_Table[[#This Row],[Patient Status at Discharge]]="Died", 1,0)</f>
        <v>0</v>
      </c>
      <c r="V1028">
        <f>Cardiac_Table[[#This Row],[Risk of Death % (Model 1)]]/100</f>
        <v>3.7400000000000003E-2</v>
      </c>
      <c r="W1028">
        <f>Cardiac_Table[[#This Row],[Risk of Death % (Model 2)]]/100</f>
        <v>2.52E-2</v>
      </c>
      <c r="X1028" s="18">
        <f>Cardiac_Table[[#This Row],[Procedure Start Date and Time]]-Cardiac_Table[[#This Row],[Hospital Admit Date ]]</f>
        <v>0.30972222222044365</v>
      </c>
    </row>
    <row r="1029" spans="1:24" x14ac:dyDescent="0.35">
      <c r="A1029">
        <v>1039</v>
      </c>
      <c r="B1029" s="9">
        <v>44119.292361111111</v>
      </c>
      <c r="C1029" s="10">
        <f>INT(Cardiac_Table[[#This Row],[Hospital Admit Date ]])</f>
        <v>44119</v>
      </c>
      <c r="D1029" s="11" t="str">
        <f t="shared" si="16"/>
        <v>07:01</v>
      </c>
      <c r="E1029" s="9">
        <v>44119.676388888889</v>
      </c>
      <c r="F1029" s="10">
        <f>INT(Cardiac_Table[[#This Row],[Procedure Start Date and Time]])</f>
        <v>44119</v>
      </c>
      <c r="G1029" s="12">
        <f>MOD(Cardiac_Table[[#This Row],[Procedure Start Date and Time]],1)</f>
        <v>0.67638888888905058</v>
      </c>
      <c r="H1029">
        <v>5</v>
      </c>
      <c r="I1029" t="s">
        <v>4</v>
      </c>
      <c r="J1029" t="s">
        <v>3</v>
      </c>
      <c r="K1029" t="s">
        <v>21</v>
      </c>
      <c r="L1029">
        <v>44</v>
      </c>
      <c r="M1029">
        <v>1.33</v>
      </c>
      <c r="N1029">
        <v>0.76</v>
      </c>
      <c r="O1029" t="s">
        <v>15</v>
      </c>
      <c r="P1029">
        <v>73</v>
      </c>
      <c r="Q1029">
        <v>174</v>
      </c>
      <c r="R1029">
        <v>81</v>
      </c>
      <c r="S1029">
        <v>55</v>
      </c>
      <c r="T1029" t="s">
        <v>48</v>
      </c>
      <c r="U1029">
        <f>IF(Cardiac_Table[[#This Row],[Patient Status at Discharge]]="Died", 1,0)</f>
        <v>0</v>
      </c>
      <c r="V1029">
        <f>Cardiac_Table[[#This Row],[Risk of Death % (Model 1)]]/100</f>
        <v>1.3300000000000001E-2</v>
      </c>
      <c r="W1029">
        <f>Cardiac_Table[[#This Row],[Risk of Death % (Model 2)]]/100</f>
        <v>7.6E-3</v>
      </c>
      <c r="X1029" s="18">
        <f>Cardiac_Table[[#This Row],[Procedure Start Date and Time]]-Cardiac_Table[[#This Row],[Hospital Admit Date ]]</f>
        <v>0.38402777777810115</v>
      </c>
    </row>
    <row r="1030" spans="1:24" x14ac:dyDescent="0.35">
      <c r="A1030">
        <v>1040</v>
      </c>
      <c r="B1030" s="9">
        <v>44113.416666666664</v>
      </c>
      <c r="C1030" s="10">
        <f>INT(Cardiac_Table[[#This Row],[Hospital Admit Date ]])</f>
        <v>44113</v>
      </c>
      <c r="D1030" s="11" t="str">
        <f t="shared" si="16"/>
        <v>10:00</v>
      </c>
      <c r="E1030" s="9">
        <v>44120.331250000003</v>
      </c>
      <c r="F1030" s="10">
        <f>INT(Cardiac_Table[[#This Row],[Procedure Start Date and Time]])</f>
        <v>44120</v>
      </c>
      <c r="G1030" s="12">
        <f>MOD(Cardiac_Table[[#This Row],[Procedure Start Date and Time]],1)</f>
        <v>0.33125000000291038</v>
      </c>
      <c r="H1030">
        <v>2</v>
      </c>
      <c r="I1030" t="s">
        <v>6</v>
      </c>
      <c r="J1030" t="s">
        <v>10</v>
      </c>
      <c r="K1030" t="s">
        <v>31</v>
      </c>
      <c r="L1030">
        <v>79</v>
      </c>
      <c r="M1030">
        <v>8.6999999999999993</v>
      </c>
      <c r="N1030">
        <v>2.46</v>
      </c>
      <c r="O1030" t="s">
        <v>15</v>
      </c>
      <c r="P1030">
        <v>129</v>
      </c>
      <c r="Q1030">
        <v>161</v>
      </c>
      <c r="R1030">
        <v>58</v>
      </c>
      <c r="S1030">
        <v>60</v>
      </c>
      <c r="T1030" t="s">
        <v>48</v>
      </c>
      <c r="U1030">
        <f>IF(Cardiac_Table[[#This Row],[Patient Status at Discharge]]="Died", 1,0)</f>
        <v>0</v>
      </c>
      <c r="V1030">
        <f>Cardiac_Table[[#This Row],[Risk of Death % (Model 1)]]/100</f>
        <v>8.6999999999999994E-2</v>
      </c>
      <c r="W1030">
        <f>Cardiac_Table[[#This Row],[Risk of Death % (Model 2)]]/100</f>
        <v>2.46E-2</v>
      </c>
      <c r="X1030" s="18">
        <f>Cardiac_Table[[#This Row],[Procedure Start Date and Time]]-Cardiac_Table[[#This Row],[Hospital Admit Date ]]</f>
        <v>6.914583333338669</v>
      </c>
    </row>
    <row r="1031" spans="1:24" x14ac:dyDescent="0.35">
      <c r="A1031">
        <v>1041</v>
      </c>
      <c r="B1031" s="9">
        <v>44119.580555555556</v>
      </c>
      <c r="C1031" s="10">
        <f>INT(Cardiac_Table[[#This Row],[Hospital Admit Date ]])</f>
        <v>44119</v>
      </c>
      <c r="D1031" s="11" t="str">
        <f t="shared" si="16"/>
        <v>13:56</v>
      </c>
      <c r="E1031" s="9">
        <v>44120.333333333336</v>
      </c>
      <c r="F1031" s="10">
        <f>INT(Cardiac_Table[[#This Row],[Procedure Start Date and Time]])</f>
        <v>44120</v>
      </c>
      <c r="G1031" s="12">
        <f>MOD(Cardiac_Table[[#This Row],[Procedure Start Date and Time]],1)</f>
        <v>0.33333333333575865</v>
      </c>
      <c r="H1031">
        <v>4</v>
      </c>
      <c r="I1031" t="s">
        <v>4</v>
      </c>
      <c r="J1031" t="s">
        <v>10</v>
      </c>
      <c r="K1031" t="s">
        <v>24</v>
      </c>
      <c r="L1031">
        <v>72</v>
      </c>
      <c r="M1031">
        <v>2.0699999999999998</v>
      </c>
      <c r="N1031">
        <v>0.78</v>
      </c>
      <c r="O1031" t="s">
        <v>15</v>
      </c>
      <c r="P1031">
        <v>67</v>
      </c>
      <c r="Q1031">
        <v>154</v>
      </c>
      <c r="R1031">
        <v>77</v>
      </c>
      <c r="S1031">
        <v>20</v>
      </c>
      <c r="T1031" t="s">
        <v>51</v>
      </c>
      <c r="U1031">
        <f>IF(Cardiac_Table[[#This Row],[Patient Status at Discharge]]="Died", 1,0)</f>
        <v>0</v>
      </c>
      <c r="V1031">
        <f>Cardiac_Table[[#This Row],[Risk of Death % (Model 1)]]/100</f>
        <v>2.07E-2</v>
      </c>
      <c r="W1031">
        <f>Cardiac_Table[[#This Row],[Risk of Death % (Model 2)]]/100</f>
        <v>7.8000000000000005E-3</v>
      </c>
      <c r="X1031" s="18">
        <f>Cardiac_Table[[#This Row],[Procedure Start Date and Time]]-Cardiac_Table[[#This Row],[Hospital Admit Date ]]</f>
        <v>0.75277777777955635</v>
      </c>
    </row>
    <row r="1032" spans="1:24" x14ac:dyDescent="0.35">
      <c r="A1032">
        <v>1042</v>
      </c>
      <c r="B1032" s="9">
        <v>44119.662499999999</v>
      </c>
      <c r="C1032" s="10">
        <f>INT(Cardiac_Table[[#This Row],[Hospital Admit Date ]])</f>
        <v>44119</v>
      </c>
      <c r="D1032" s="11" t="str">
        <f t="shared" si="16"/>
        <v>15:54</v>
      </c>
      <c r="E1032" s="9">
        <v>44120.336111111108</v>
      </c>
      <c r="F1032" s="10">
        <f>INT(Cardiac_Table[[#This Row],[Procedure Start Date and Time]])</f>
        <v>44120</v>
      </c>
      <c r="G1032" s="12">
        <f>MOD(Cardiac_Table[[#This Row],[Procedure Start Date and Time]],1)</f>
        <v>0.33611111110803904</v>
      </c>
      <c r="H1032">
        <v>5</v>
      </c>
      <c r="I1032" t="s">
        <v>4</v>
      </c>
      <c r="J1032" t="s">
        <v>11</v>
      </c>
      <c r="K1032" t="s">
        <v>21</v>
      </c>
      <c r="L1032">
        <v>75</v>
      </c>
      <c r="M1032">
        <v>16.02</v>
      </c>
      <c r="N1032">
        <v>10.4</v>
      </c>
      <c r="O1032" t="s">
        <v>15</v>
      </c>
      <c r="P1032">
        <v>95</v>
      </c>
      <c r="Q1032">
        <v>162</v>
      </c>
      <c r="R1032">
        <v>126</v>
      </c>
      <c r="S1032">
        <v>45</v>
      </c>
      <c r="T1032" t="s">
        <v>50</v>
      </c>
      <c r="U1032">
        <f>IF(Cardiac_Table[[#This Row],[Patient Status at Discharge]]="Died", 1,0)</f>
        <v>0</v>
      </c>
      <c r="V1032">
        <f>Cardiac_Table[[#This Row],[Risk of Death % (Model 1)]]/100</f>
        <v>0.16020000000000001</v>
      </c>
      <c r="W1032">
        <f>Cardiac_Table[[#This Row],[Risk of Death % (Model 2)]]/100</f>
        <v>0.10400000000000001</v>
      </c>
      <c r="X1032" s="18">
        <f>Cardiac_Table[[#This Row],[Procedure Start Date and Time]]-Cardiac_Table[[#This Row],[Hospital Admit Date ]]</f>
        <v>0.67361111110949423</v>
      </c>
    </row>
    <row r="1033" spans="1:24" x14ac:dyDescent="0.35">
      <c r="A1033">
        <v>1043</v>
      </c>
      <c r="B1033" s="9">
        <v>44118.45208333333</v>
      </c>
      <c r="C1033" s="10">
        <f>INT(Cardiac_Table[[#This Row],[Hospital Admit Date ]])</f>
        <v>44118</v>
      </c>
      <c r="D1033" s="11" t="str">
        <f t="shared" si="16"/>
        <v>10:51</v>
      </c>
      <c r="E1033" s="9">
        <v>44120.336805555555</v>
      </c>
      <c r="F1033" s="10">
        <f>INT(Cardiac_Table[[#This Row],[Procedure Start Date and Time]])</f>
        <v>44120</v>
      </c>
      <c r="G1033" s="12">
        <f>MOD(Cardiac_Table[[#This Row],[Procedure Start Date and Time]],1)</f>
        <v>0.33680555555474712</v>
      </c>
      <c r="H1033">
        <v>6</v>
      </c>
      <c r="I1033" t="s">
        <v>6</v>
      </c>
      <c r="J1033" t="s">
        <v>10</v>
      </c>
      <c r="K1033" t="s">
        <v>27</v>
      </c>
      <c r="L1033">
        <v>72</v>
      </c>
      <c r="M1033">
        <v>3.52</v>
      </c>
      <c r="N1033">
        <v>1.1200000000000001</v>
      </c>
      <c r="O1033" t="s">
        <v>15</v>
      </c>
      <c r="P1033">
        <v>146</v>
      </c>
      <c r="Q1033">
        <v>181</v>
      </c>
      <c r="R1033">
        <v>88</v>
      </c>
      <c r="S1033">
        <v>50</v>
      </c>
      <c r="T1033" t="s">
        <v>50</v>
      </c>
      <c r="U1033">
        <f>IF(Cardiac_Table[[#This Row],[Patient Status at Discharge]]="Died", 1,0)</f>
        <v>0</v>
      </c>
      <c r="V1033">
        <f>Cardiac_Table[[#This Row],[Risk of Death % (Model 1)]]/100</f>
        <v>3.5200000000000002E-2</v>
      </c>
      <c r="W1033">
        <f>Cardiac_Table[[#This Row],[Risk of Death % (Model 2)]]/100</f>
        <v>1.1200000000000002E-2</v>
      </c>
      <c r="X1033" s="18">
        <f>Cardiac_Table[[#This Row],[Procedure Start Date and Time]]-Cardiac_Table[[#This Row],[Hospital Admit Date ]]</f>
        <v>1.8847222222248092</v>
      </c>
    </row>
    <row r="1034" spans="1:24" x14ac:dyDescent="0.35">
      <c r="A1034">
        <v>1044</v>
      </c>
      <c r="B1034" s="9">
        <v>44120.306250000001</v>
      </c>
      <c r="C1034" s="10">
        <f>INT(Cardiac_Table[[#This Row],[Hospital Admit Date ]])</f>
        <v>44120</v>
      </c>
      <c r="D1034" s="11" t="str">
        <f t="shared" si="16"/>
        <v>07:21</v>
      </c>
      <c r="E1034" s="9">
        <v>44120.505555555559</v>
      </c>
      <c r="F1034" s="10">
        <f>INT(Cardiac_Table[[#This Row],[Procedure Start Date and Time]])</f>
        <v>44120</v>
      </c>
      <c r="G1034" s="12">
        <f>MOD(Cardiac_Table[[#This Row],[Procedure Start Date and Time]],1)</f>
        <v>0.50555555555911269</v>
      </c>
      <c r="H1034">
        <v>2</v>
      </c>
      <c r="I1034" t="s">
        <v>4</v>
      </c>
      <c r="J1034" t="s">
        <v>10</v>
      </c>
      <c r="K1034" t="s">
        <v>31</v>
      </c>
      <c r="L1034">
        <v>75</v>
      </c>
      <c r="M1034">
        <v>3.47</v>
      </c>
      <c r="N1034">
        <v>1.28</v>
      </c>
      <c r="O1034" t="s">
        <v>15</v>
      </c>
      <c r="P1034">
        <v>74</v>
      </c>
      <c r="Q1034">
        <v>164</v>
      </c>
      <c r="R1034">
        <v>66</v>
      </c>
      <c r="S1034">
        <v>40</v>
      </c>
      <c r="T1034" t="s">
        <v>50</v>
      </c>
      <c r="U1034">
        <f>IF(Cardiac_Table[[#This Row],[Patient Status at Discharge]]="Died", 1,0)</f>
        <v>0</v>
      </c>
      <c r="V1034">
        <f>Cardiac_Table[[#This Row],[Risk of Death % (Model 1)]]/100</f>
        <v>3.4700000000000002E-2</v>
      </c>
      <c r="W1034">
        <f>Cardiac_Table[[#This Row],[Risk of Death % (Model 2)]]/100</f>
        <v>1.2800000000000001E-2</v>
      </c>
      <c r="X1034" s="18">
        <f>Cardiac_Table[[#This Row],[Procedure Start Date and Time]]-Cardiac_Table[[#This Row],[Hospital Admit Date ]]</f>
        <v>0.1993055555576575</v>
      </c>
    </row>
    <row r="1035" spans="1:24" x14ac:dyDescent="0.35">
      <c r="A1035">
        <v>1045</v>
      </c>
      <c r="B1035" s="9">
        <v>44120.304166666669</v>
      </c>
      <c r="C1035" s="10">
        <f>INT(Cardiac_Table[[#This Row],[Hospital Admit Date ]])</f>
        <v>44120</v>
      </c>
      <c r="D1035" s="11" t="str">
        <f t="shared" si="16"/>
        <v>07:18</v>
      </c>
      <c r="E1035" s="9">
        <v>44120.565972222219</v>
      </c>
      <c r="F1035" s="10">
        <f>INT(Cardiac_Table[[#This Row],[Procedure Start Date and Time]])</f>
        <v>44120</v>
      </c>
      <c r="G1035" s="12">
        <f>MOD(Cardiac_Table[[#This Row],[Procedure Start Date and Time]],1)</f>
        <v>0.56597222221898846</v>
      </c>
      <c r="H1035">
        <v>4</v>
      </c>
      <c r="I1035" t="s">
        <v>4</v>
      </c>
      <c r="J1035" t="s">
        <v>10</v>
      </c>
      <c r="K1035" t="s">
        <v>24</v>
      </c>
      <c r="L1035">
        <v>73</v>
      </c>
      <c r="M1035">
        <v>3.32</v>
      </c>
      <c r="N1035">
        <v>6.08</v>
      </c>
      <c r="O1035" t="s">
        <v>15</v>
      </c>
      <c r="P1035">
        <v>84</v>
      </c>
      <c r="Q1035">
        <v>184</v>
      </c>
      <c r="R1035">
        <v>90</v>
      </c>
      <c r="S1035">
        <v>55</v>
      </c>
      <c r="T1035" t="s">
        <v>48</v>
      </c>
      <c r="U1035">
        <f>IF(Cardiac_Table[[#This Row],[Patient Status at Discharge]]="Died", 1,0)</f>
        <v>0</v>
      </c>
      <c r="V1035">
        <f>Cardiac_Table[[#This Row],[Risk of Death % (Model 1)]]/100</f>
        <v>3.32E-2</v>
      </c>
      <c r="W1035">
        <f>Cardiac_Table[[#This Row],[Risk of Death % (Model 2)]]/100</f>
        <v>6.08E-2</v>
      </c>
      <c r="X1035" s="18">
        <f>Cardiac_Table[[#This Row],[Procedure Start Date and Time]]-Cardiac_Table[[#This Row],[Hospital Admit Date ]]</f>
        <v>0.26180555555038154</v>
      </c>
    </row>
    <row r="1036" spans="1:24" x14ac:dyDescent="0.35">
      <c r="A1036">
        <v>1046</v>
      </c>
      <c r="B1036" s="9">
        <v>44119.290277777778</v>
      </c>
      <c r="C1036" s="10">
        <f>INT(Cardiac_Table[[#This Row],[Hospital Admit Date ]])</f>
        <v>44119</v>
      </c>
      <c r="D1036" s="11" t="str">
        <f t="shared" si="16"/>
        <v>06:58</v>
      </c>
      <c r="E1036" s="9">
        <v>44120.623611111114</v>
      </c>
      <c r="F1036" s="10">
        <f>INT(Cardiac_Table[[#This Row],[Procedure Start Date and Time]])</f>
        <v>44120</v>
      </c>
      <c r="G1036" s="12">
        <f>MOD(Cardiac_Table[[#This Row],[Procedure Start Date and Time]],1)</f>
        <v>0.62361111111385981</v>
      </c>
      <c r="H1036">
        <v>6</v>
      </c>
      <c r="I1036" t="s">
        <v>4</v>
      </c>
      <c r="J1036" t="s">
        <v>11</v>
      </c>
      <c r="K1036" t="s">
        <v>30</v>
      </c>
      <c r="L1036">
        <v>73</v>
      </c>
      <c r="M1036">
        <v>3.74</v>
      </c>
      <c r="N1036">
        <v>1.67</v>
      </c>
      <c r="O1036" t="s">
        <v>15</v>
      </c>
      <c r="P1036">
        <v>108</v>
      </c>
      <c r="Q1036">
        <v>154</v>
      </c>
      <c r="R1036">
        <v>85</v>
      </c>
      <c r="S1036">
        <v>60</v>
      </c>
      <c r="T1036" t="s">
        <v>48</v>
      </c>
      <c r="U1036">
        <f>IF(Cardiac_Table[[#This Row],[Patient Status at Discharge]]="Died", 1,0)</f>
        <v>0</v>
      </c>
      <c r="V1036">
        <f>Cardiac_Table[[#This Row],[Risk of Death % (Model 1)]]/100</f>
        <v>3.7400000000000003E-2</v>
      </c>
      <c r="W1036">
        <f>Cardiac_Table[[#This Row],[Risk of Death % (Model 2)]]/100</f>
        <v>1.67E-2</v>
      </c>
      <c r="X1036" s="18">
        <f>Cardiac_Table[[#This Row],[Procedure Start Date and Time]]-Cardiac_Table[[#This Row],[Hospital Admit Date ]]</f>
        <v>1.3333333333357587</v>
      </c>
    </row>
    <row r="1037" spans="1:24" x14ac:dyDescent="0.35">
      <c r="A1037">
        <v>1047</v>
      </c>
      <c r="B1037" s="9">
        <v>44120.587500000001</v>
      </c>
      <c r="C1037" s="10">
        <f>INT(Cardiac_Table[[#This Row],[Hospital Admit Date ]])</f>
        <v>44120</v>
      </c>
      <c r="D1037" s="11" t="str">
        <f t="shared" si="16"/>
        <v>14:06</v>
      </c>
      <c r="E1037" s="9">
        <v>44121.340277777781</v>
      </c>
      <c r="F1037" s="10">
        <f>INT(Cardiac_Table[[#This Row],[Procedure Start Date and Time]])</f>
        <v>44121</v>
      </c>
      <c r="G1037" s="12">
        <f>MOD(Cardiac_Table[[#This Row],[Procedure Start Date and Time]],1)</f>
        <v>0.34027777778101154</v>
      </c>
      <c r="H1037">
        <v>5</v>
      </c>
      <c r="I1037" t="s">
        <v>4</v>
      </c>
      <c r="J1037" t="s">
        <v>3</v>
      </c>
      <c r="K1037" t="s">
        <v>23</v>
      </c>
      <c r="L1037">
        <v>72</v>
      </c>
      <c r="M1037">
        <v>4.8099999999999996</v>
      </c>
      <c r="N1037">
        <v>0.88</v>
      </c>
      <c r="O1037" t="s">
        <v>15</v>
      </c>
      <c r="P1037">
        <v>105</v>
      </c>
      <c r="Q1037">
        <v>175</v>
      </c>
      <c r="R1037">
        <v>94</v>
      </c>
      <c r="S1037">
        <v>50</v>
      </c>
      <c r="T1037" t="s">
        <v>50</v>
      </c>
      <c r="U1037">
        <f>IF(Cardiac_Table[[#This Row],[Patient Status at Discharge]]="Died", 1,0)</f>
        <v>0</v>
      </c>
      <c r="V1037">
        <f>Cardiac_Table[[#This Row],[Risk of Death % (Model 1)]]/100</f>
        <v>4.8099999999999997E-2</v>
      </c>
      <c r="W1037">
        <f>Cardiac_Table[[#This Row],[Risk of Death % (Model 2)]]/100</f>
        <v>8.8000000000000005E-3</v>
      </c>
      <c r="X1037" s="18">
        <f>Cardiac_Table[[#This Row],[Procedure Start Date and Time]]-Cardiac_Table[[#This Row],[Hospital Admit Date ]]</f>
        <v>0.75277777777955635</v>
      </c>
    </row>
    <row r="1038" spans="1:24" x14ac:dyDescent="0.35">
      <c r="A1038">
        <v>1048</v>
      </c>
      <c r="B1038" s="9">
        <v>44120.666666666664</v>
      </c>
      <c r="C1038" s="10">
        <f>INT(Cardiac_Table[[#This Row],[Hospital Admit Date ]])</f>
        <v>44120</v>
      </c>
      <c r="D1038" s="11" t="str">
        <f t="shared" si="16"/>
        <v>16:00</v>
      </c>
      <c r="E1038" s="9">
        <v>44121.340277777781</v>
      </c>
      <c r="F1038" s="10">
        <f>INT(Cardiac_Table[[#This Row],[Procedure Start Date and Time]])</f>
        <v>44121</v>
      </c>
      <c r="G1038" s="12">
        <f>MOD(Cardiac_Table[[#This Row],[Procedure Start Date and Time]],1)</f>
        <v>0.34027777778101154</v>
      </c>
      <c r="H1038">
        <v>4</v>
      </c>
      <c r="I1038" t="s">
        <v>4</v>
      </c>
      <c r="J1038" t="s">
        <v>3</v>
      </c>
      <c r="K1038" t="s">
        <v>30</v>
      </c>
      <c r="L1038">
        <v>74</v>
      </c>
      <c r="M1038">
        <v>5.46</v>
      </c>
      <c r="N1038">
        <v>1.25</v>
      </c>
      <c r="O1038" t="s">
        <v>15</v>
      </c>
      <c r="P1038">
        <v>77</v>
      </c>
      <c r="Q1038">
        <v>169</v>
      </c>
      <c r="R1038">
        <v>59</v>
      </c>
      <c r="S1038">
        <v>28</v>
      </c>
      <c r="T1038" t="s">
        <v>49</v>
      </c>
      <c r="U1038">
        <f>IF(Cardiac_Table[[#This Row],[Patient Status at Discharge]]="Died", 1,0)</f>
        <v>0</v>
      </c>
      <c r="V1038">
        <f>Cardiac_Table[[#This Row],[Risk of Death % (Model 1)]]/100</f>
        <v>5.4600000000000003E-2</v>
      </c>
      <c r="W1038">
        <f>Cardiac_Table[[#This Row],[Risk of Death % (Model 2)]]/100</f>
        <v>1.2500000000000001E-2</v>
      </c>
      <c r="X1038" s="18">
        <f>Cardiac_Table[[#This Row],[Procedure Start Date and Time]]-Cardiac_Table[[#This Row],[Hospital Admit Date ]]</f>
        <v>0.67361111111677019</v>
      </c>
    </row>
    <row r="1039" spans="1:24" x14ac:dyDescent="0.35">
      <c r="A1039">
        <v>1049</v>
      </c>
      <c r="B1039" s="9">
        <v>44120.416666666664</v>
      </c>
      <c r="C1039" s="10">
        <f>INT(Cardiac_Table[[#This Row],[Hospital Admit Date ]])</f>
        <v>44120</v>
      </c>
      <c r="D1039" s="11" t="str">
        <f t="shared" si="16"/>
        <v>10:00</v>
      </c>
      <c r="E1039" s="9">
        <v>44121.475694444445</v>
      </c>
      <c r="F1039" s="10">
        <f>INT(Cardiac_Table[[#This Row],[Procedure Start Date and Time]])</f>
        <v>44121</v>
      </c>
      <c r="G1039" s="12">
        <f>MOD(Cardiac_Table[[#This Row],[Procedure Start Date and Time]],1)</f>
        <v>0.47569444444525288</v>
      </c>
      <c r="H1039">
        <v>4</v>
      </c>
      <c r="I1039" t="s">
        <v>4</v>
      </c>
      <c r="J1039" t="s">
        <v>10</v>
      </c>
      <c r="K1039" t="s">
        <v>30</v>
      </c>
      <c r="L1039">
        <v>83</v>
      </c>
      <c r="M1039">
        <v>6.27</v>
      </c>
      <c r="N1039">
        <v>4.3099999999999996</v>
      </c>
      <c r="O1039" t="s">
        <v>15</v>
      </c>
      <c r="P1039">
        <v>93</v>
      </c>
      <c r="Q1039">
        <v>164</v>
      </c>
      <c r="R1039">
        <v>70</v>
      </c>
      <c r="S1039">
        <v>11</v>
      </c>
      <c r="T1039" t="s">
        <v>51</v>
      </c>
      <c r="U1039">
        <f>IF(Cardiac_Table[[#This Row],[Patient Status at Discharge]]="Died", 1,0)</f>
        <v>0</v>
      </c>
      <c r="V1039">
        <f>Cardiac_Table[[#This Row],[Risk of Death % (Model 1)]]/100</f>
        <v>6.2699999999999992E-2</v>
      </c>
      <c r="W1039">
        <f>Cardiac_Table[[#This Row],[Risk of Death % (Model 2)]]/100</f>
        <v>4.3099999999999999E-2</v>
      </c>
      <c r="X1039" s="18">
        <f>Cardiac_Table[[#This Row],[Procedure Start Date and Time]]-Cardiac_Table[[#This Row],[Hospital Admit Date ]]</f>
        <v>1.0590277777810115</v>
      </c>
    </row>
    <row r="1040" spans="1:24" x14ac:dyDescent="0.35">
      <c r="A1040">
        <v>1050</v>
      </c>
      <c r="B1040" s="9">
        <v>44120.580555555556</v>
      </c>
      <c r="C1040" s="10">
        <f>INT(Cardiac_Table[[#This Row],[Hospital Admit Date ]])</f>
        <v>44120</v>
      </c>
      <c r="D1040" s="11" t="str">
        <f t="shared" si="16"/>
        <v>13:56</v>
      </c>
      <c r="E1040" s="9">
        <v>44121.493055555555</v>
      </c>
      <c r="F1040" s="10">
        <f>INT(Cardiac_Table[[#This Row],[Procedure Start Date and Time]])</f>
        <v>44121</v>
      </c>
      <c r="G1040" s="12">
        <f>MOD(Cardiac_Table[[#This Row],[Procedure Start Date and Time]],1)</f>
        <v>0.49305555555474712</v>
      </c>
      <c r="H1040">
        <v>5</v>
      </c>
      <c r="I1040" t="s">
        <v>4</v>
      </c>
      <c r="J1040" t="s">
        <v>10</v>
      </c>
      <c r="K1040" t="s">
        <v>23</v>
      </c>
      <c r="L1040">
        <v>62</v>
      </c>
      <c r="M1040">
        <v>2.0499999999999998</v>
      </c>
      <c r="N1040">
        <v>1.43</v>
      </c>
      <c r="O1040" t="s">
        <v>15</v>
      </c>
      <c r="P1040">
        <v>79</v>
      </c>
      <c r="Q1040">
        <v>181</v>
      </c>
      <c r="R1040">
        <v>85</v>
      </c>
      <c r="S1040">
        <v>40</v>
      </c>
      <c r="T1040" t="s">
        <v>50</v>
      </c>
      <c r="U1040">
        <f>IF(Cardiac_Table[[#This Row],[Patient Status at Discharge]]="Died", 1,0)</f>
        <v>0</v>
      </c>
      <c r="V1040">
        <f>Cardiac_Table[[#This Row],[Risk of Death % (Model 1)]]/100</f>
        <v>2.0499999999999997E-2</v>
      </c>
      <c r="W1040">
        <f>Cardiac_Table[[#This Row],[Risk of Death % (Model 2)]]/100</f>
        <v>1.43E-2</v>
      </c>
      <c r="X1040" s="18">
        <f>Cardiac_Table[[#This Row],[Procedure Start Date and Time]]-Cardiac_Table[[#This Row],[Hospital Admit Date ]]</f>
        <v>0.91249999999854481</v>
      </c>
    </row>
    <row r="1041" spans="1:24" x14ac:dyDescent="0.35">
      <c r="A1041">
        <v>1051</v>
      </c>
      <c r="B1041" s="9">
        <v>44122.945833333331</v>
      </c>
      <c r="C1041" s="10">
        <f>INT(Cardiac_Table[[#This Row],[Hospital Admit Date ]])</f>
        <v>44122</v>
      </c>
      <c r="D1041" s="11" t="str">
        <f t="shared" si="16"/>
        <v>22:42</v>
      </c>
      <c r="E1041" s="9">
        <v>44123.021527777775</v>
      </c>
      <c r="F1041" s="10">
        <f>INT(Cardiac_Table[[#This Row],[Procedure Start Date and Time]])</f>
        <v>44123</v>
      </c>
      <c r="G1041" s="12">
        <f>MOD(Cardiac_Table[[#This Row],[Procedure Start Date and Time]],1)</f>
        <v>2.1527777775190771E-2</v>
      </c>
      <c r="H1041">
        <v>2</v>
      </c>
      <c r="I1041" t="s">
        <v>2</v>
      </c>
      <c r="J1041" t="s">
        <v>1</v>
      </c>
      <c r="K1041" t="s">
        <v>23</v>
      </c>
      <c r="L1041">
        <v>78</v>
      </c>
      <c r="M1041">
        <v>32.92</v>
      </c>
      <c r="N1041">
        <v>9.67</v>
      </c>
      <c r="O1041" t="s">
        <v>13</v>
      </c>
      <c r="P1041">
        <v>87</v>
      </c>
      <c r="Q1041">
        <v>165</v>
      </c>
      <c r="R1041">
        <v>80</v>
      </c>
      <c r="S1041">
        <v>58</v>
      </c>
      <c r="T1041" t="s">
        <v>48</v>
      </c>
      <c r="U1041">
        <f>IF(Cardiac_Table[[#This Row],[Patient Status at Discharge]]="Died", 1,0)</f>
        <v>1</v>
      </c>
      <c r="V1041">
        <f>Cardiac_Table[[#This Row],[Risk of Death % (Model 1)]]/100</f>
        <v>0.32919999999999999</v>
      </c>
      <c r="W1041">
        <f>Cardiac_Table[[#This Row],[Risk of Death % (Model 2)]]/100</f>
        <v>9.6699999999999994E-2</v>
      </c>
      <c r="X1041" s="18">
        <f>Cardiac_Table[[#This Row],[Procedure Start Date and Time]]-Cardiac_Table[[#This Row],[Hospital Admit Date ]]</f>
        <v>7.5694444443797693E-2</v>
      </c>
    </row>
    <row r="1042" spans="1:24" x14ac:dyDescent="0.35">
      <c r="A1042">
        <v>1052</v>
      </c>
      <c r="B1042" s="9">
        <v>44122.660416666666</v>
      </c>
      <c r="C1042" s="10">
        <f>INT(Cardiac_Table[[#This Row],[Hospital Admit Date ]])</f>
        <v>44122</v>
      </c>
      <c r="D1042" s="11" t="str">
        <f t="shared" si="16"/>
        <v>15:51</v>
      </c>
      <c r="E1042" s="9">
        <v>44123.341666666667</v>
      </c>
      <c r="F1042" s="10">
        <f>INT(Cardiac_Table[[#This Row],[Procedure Start Date and Time]])</f>
        <v>44123</v>
      </c>
      <c r="G1042" s="12">
        <f>MOD(Cardiac_Table[[#This Row],[Procedure Start Date and Time]],1)</f>
        <v>0.34166666666715173</v>
      </c>
      <c r="H1042">
        <v>4</v>
      </c>
      <c r="I1042" t="s">
        <v>4</v>
      </c>
      <c r="J1042" t="s">
        <v>3</v>
      </c>
      <c r="K1042" t="s">
        <v>29</v>
      </c>
      <c r="L1042">
        <v>78</v>
      </c>
      <c r="M1042">
        <v>12.87</v>
      </c>
      <c r="N1042">
        <v>3.35</v>
      </c>
      <c r="O1042" t="s">
        <v>15</v>
      </c>
      <c r="P1042">
        <v>76</v>
      </c>
      <c r="Q1042">
        <v>155</v>
      </c>
      <c r="R1042">
        <v>62</v>
      </c>
      <c r="S1042">
        <v>42</v>
      </c>
      <c r="T1042" t="s">
        <v>50</v>
      </c>
      <c r="U1042">
        <f>IF(Cardiac_Table[[#This Row],[Patient Status at Discharge]]="Died", 1,0)</f>
        <v>0</v>
      </c>
      <c r="V1042">
        <f>Cardiac_Table[[#This Row],[Risk of Death % (Model 1)]]/100</f>
        <v>0.12869999999999998</v>
      </c>
      <c r="W1042">
        <f>Cardiac_Table[[#This Row],[Risk of Death % (Model 2)]]/100</f>
        <v>3.3500000000000002E-2</v>
      </c>
      <c r="X1042" s="18">
        <f>Cardiac_Table[[#This Row],[Procedure Start Date and Time]]-Cardiac_Table[[#This Row],[Hospital Admit Date ]]</f>
        <v>0.68125000000145519</v>
      </c>
    </row>
    <row r="1043" spans="1:24" x14ac:dyDescent="0.35">
      <c r="A1043">
        <v>1053</v>
      </c>
      <c r="B1043" s="9">
        <v>44122.458333333336</v>
      </c>
      <c r="C1043" s="10">
        <f>INT(Cardiac_Table[[#This Row],[Hospital Admit Date ]])</f>
        <v>44122</v>
      </c>
      <c r="D1043" s="11" t="str">
        <f t="shared" si="16"/>
        <v>11:00</v>
      </c>
      <c r="E1043" s="9">
        <v>44123.343055555553</v>
      </c>
      <c r="F1043" s="10">
        <f>INT(Cardiac_Table[[#This Row],[Procedure Start Date and Time]])</f>
        <v>44123</v>
      </c>
      <c r="G1043" s="12">
        <f>MOD(Cardiac_Table[[#This Row],[Procedure Start Date and Time]],1)</f>
        <v>0.34305555555329192</v>
      </c>
      <c r="H1043">
        <v>5</v>
      </c>
      <c r="I1043" t="s">
        <v>4</v>
      </c>
      <c r="J1043" t="s">
        <v>3</v>
      </c>
      <c r="K1043" t="s">
        <v>31</v>
      </c>
      <c r="L1043">
        <v>65</v>
      </c>
      <c r="M1043">
        <v>4.21</v>
      </c>
      <c r="N1043">
        <v>1.32</v>
      </c>
      <c r="O1043" t="s">
        <v>15</v>
      </c>
      <c r="P1043">
        <v>122</v>
      </c>
      <c r="Q1043">
        <v>181</v>
      </c>
      <c r="R1043">
        <v>106</v>
      </c>
      <c r="S1043">
        <v>62</v>
      </c>
      <c r="T1043" t="s">
        <v>48</v>
      </c>
      <c r="U1043">
        <f>IF(Cardiac_Table[[#This Row],[Patient Status at Discharge]]="Died", 1,0)</f>
        <v>0</v>
      </c>
      <c r="V1043">
        <f>Cardiac_Table[[#This Row],[Risk of Death % (Model 1)]]/100</f>
        <v>4.2099999999999999E-2</v>
      </c>
      <c r="W1043">
        <f>Cardiac_Table[[#This Row],[Risk of Death % (Model 2)]]/100</f>
        <v>1.32E-2</v>
      </c>
      <c r="X1043" s="18">
        <f>Cardiac_Table[[#This Row],[Procedure Start Date and Time]]-Cardiac_Table[[#This Row],[Hospital Admit Date ]]</f>
        <v>0.88472222221753327</v>
      </c>
    </row>
    <row r="1044" spans="1:24" x14ac:dyDescent="0.35">
      <c r="A1044">
        <v>1054</v>
      </c>
      <c r="B1044" s="9">
        <v>44113.593055555553</v>
      </c>
      <c r="C1044" s="10">
        <f>INT(Cardiac_Table[[#This Row],[Hospital Admit Date ]])</f>
        <v>44113</v>
      </c>
      <c r="D1044" s="11" t="str">
        <f t="shared" si="16"/>
        <v>14:14</v>
      </c>
      <c r="E1044" s="9">
        <v>44123.347222222219</v>
      </c>
      <c r="F1044" s="10">
        <f>INT(Cardiac_Table[[#This Row],[Procedure Start Date and Time]])</f>
        <v>44123</v>
      </c>
      <c r="G1044" s="12">
        <f>MOD(Cardiac_Table[[#This Row],[Procedure Start Date and Time]],1)</f>
        <v>0.34722222221898846</v>
      </c>
      <c r="H1044">
        <v>6</v>
      </c>
      <c r="I1044" t="s">
        <v>6</v>
      </c>
      <c r="J1044" t="s">
        <v>10</v>
      </c>
      <c r="K1044" t="s">
        <v>24</v>
      </c>
      <c r="L1044">
        <v>83</v>
      </c>
      <c r="M1044">
        <v>51.96</v>
      </c>
      <c r="N1044">
        <v>50.06</v>
      </c>
      <c r="O1044" t="s">
        <v>15</v>
      </c>
      <c r="P1044">
        <v>79</v>
      </c>
      <c r="Q1044">
        <v>173</v>
      </c>
      <c r="R1044">
        <v>66</v>
      </c>
      <c r="S1044">
        <v>66</v>
      </c>
      <c r="T1044" t="s">
        <v>48</v>
      </c>
      <c r="U1044">
        <f>IF(Cardiac_Table[[#This Row],[Patient Status at Discharge]]="Died", 1,0)</f>
        <v>0</v>
      </c>
      <c r="V1044">
        <f>Cardiac_Table[[#This Row],[Risk of Death % (Model 1)]]/100</f>
        <v>0.51960000000000006</v>
      </c>
      <c r="W1044">
        <f>Cardiac_Table[[#This Row],[Risk of Death % (Model 2)]]/100</f>
        <v>0.50060000000000004</v>
      </c>
      <c r="X1044" s="18">
        <f>Cardiac_Table[[#This Row],[Procedure Start Date and Time]]-Cardiac_Table[[#This Row],[Hospital Admit Date ]]</f>
        <v>9.7541666666656965</v>
      </c>
    </row>
    <row r="1045" spans="1:24" x14ac:dyDescent="0.35">
      <c r="A1045">
        <v>1055</v>
      </c>
      <c r="B1045" s="9">
        <v>44123.427083333336</v>
      </c>
      <c r="C1045" s="10">
        <f>INT(Cardiac_Table[[#This Row],[Hospital Admit Date ]])</f>
        <v>44123</v>
      </c>
      <c r="D1045" s="11" t="str">
        <f t="shared" si="16"/>
        <v>10:15</v>
      </c>
      <c r="E1045" s="9">
        <v>44123.51666666667</v>
      </c>
      <c r="F1045" s="10">
        <f>INT(Cardiac_Table[[#This Row],[Procedure Start Date and Time]])</f>
        <v>44123</v>
      </c>
      <c r="G1045" s="12">
        <f>MOD(Cardiac_Table[[#This Row],[Procedure Start Date and Time]],1)</f>
        <v>0.51666666667006211</v>
      </c>
      <c r="H1045">
        <v>2</v>
      </c>
      <c r="I1045" t="s">
        <v>2</v>
      </c>
      <c r="J1045" t="s">
        <v>1</v>
      </c>
      <c r="K1045" t="s">
        <v>31</v>
      </c>
      <c r="L1045">
        <v>51</v>
      </c>
      <c r="M1045">
        <v>9.0399999999999991</v>
      </c>
      <c r="N1045">
        <v>4.05</v>
      </c>
      <c r="O1045" t="s">
        <v>15</v>
      </c>
      <c r="P1045">
        <v>89</v>
      </c>
      <c r="Q1045">
        <v>177</v>
      </c>
      <c r="R1045">
        <v>120</v>
      </c>
      <c r="S1045">
        <v>55</v>
      </c>
      <c r="T1045" t="s">
        <v>48</v>
      </c>
      <c r="U1045">
        <f>IF(Cardiac_Table[[#This Row],[Patient Status at Discharge]]="Died", 1,0)</f>
        <v>0</v>
      </c>
      <c r="V1045">
        <f>Cardiac_Table[[#This Row],[Risk of Death % (Model 1)]]/100</f>
        <v>9.0399999999999994E-2</v>
      </c>
      <c r="W1045">
        <f>Cardiac_Table[[#This Row],[Risk of Death % (Model 2)]]/100</f>
        <v>4.0500000000000001E-2</v>
      </c>
      <c r="X1045" s="18">
        <f>Cardiac_Table[[#This Row],[Procedure Start Date and Time]]-Cardiac_Table[[#This Row],[Hospital Admit Date ]]</f>
        <v>8.9583333334303461E-2</v>
      </c>
    </row>
    <row r="1046" spans="1:24" x14ac:dyDescent="0.35">
      <c r="A1046">
        <v>1056</v>
      </c>
      <c r="B1046" s="9">
        <v>44123.291666666664</v>
      </c>
      <c r="C1046" s="10">
        <f>INT(Cardiac_Table[[#This Row],[Hospital Admit Date ]])</f>
        <v>44123</v>
      </c>
      <c r="D1046" s="11" t="str">
        <f t="shared" si="16"/>
        <v>07:00</v>
      </c>
      <c r="E1046" s="9">
        <v>44123.647916666669</v>
      </c>
      <c r="F1046" s="10">
        <f>INT(Cardiac_Table[[#This Row],[Procedure Start Date and Time]])</f>
        <v>44123</v>
      </c>
      <c r="G1046" s="12">
        <f>MOD(Cardiac_Table[[#This Row],[Procedure Start Date and Time]],1)</f>
        <v>0.64791666666860692</v>
      </c>
      <c r="H1046">
        <v>4</v>
      </c>
      <c r="I1046" t="s">
        <v>4</v>
      </c>
      <c r="J1046" t="s">
        <v>3</v>
      </c>
      <c r="K1046" t="s">
        <v>29</v>
      </c>
      <c r="L1046">
        <v>37</v>
      </c>
      <c r="M1046">
        <v>2.27</v>
      </c>
      <c r="N1046">
        <v>0.76</v>
      </c>
      <c r="O1046" t="s">
        <v>15</v>
      </c>
      <c r="P1046">
        <v>87</v>
      </c>
      <c r="Q1046">
        <v>162</v>
      </c>
      <c r="R1046">
        <v>70</v>
      </c>
      <c r="S1046">
        <v>45</v>
      </c>
      <c r="T1046" t="s">
        <v>50</v>
      </c>
      <c r="U1046">
        <f>IF(Cardiac_Table[[#This Row],[Patient Status at Discharge]]="Died", 1,0)</f>
        <v>0</v>
      </c>
      <c r="V1046">
        <f>Cardiac_Table[[#This Row],[Risk of Death % (Model 1)]]/100</f>
        <v>2.2700000000000001E-2</v>
      </c>
      <c r="W1046">
        <f>Cardiac_Table[[#This Row],[Risk of Death % (Model 2)]]/100</f>
        <v>7.6E-3</v>
      </c>
      <c r="X1046" s="18">
        <f>Cardiac_Table[[#This Row],[Procedure Start Date and Time]]-Cardiac_Table[[#This Row],[Hospital Admit Date ]]</f>
        <v>0.35625000000436557</v>
      </c>
    </row>
    <row r="1047" spans="1:24" x14ac:dyDescent="0.35">
      <c r="A1047">
        <v>1057</v>
      </c>
      <c r="B1047" s="9">
        <v>44123.661111111112</v>
      </c>
      <c r="C1047" s="10">
        <f>INT(Cardiac_Table[[#This Row],[Hospital Admit Date ]])</f>
        <v>44123</v>
      </c>
      <c r="D1047" s="11" t="str">
        <f t="shared" si="16"/>
        <v>15:52</v>
      </c>
      <c r="E1047" s="9">
        <v>44124.333333333336</v>
      </c>
      <c r="F1047" s="10">
        <f>INT(Cardiac_Table[[#This Row],[Procedure Start Date and Time]])</f>
        <v>44124</v>
      </c>
      <c r="G1047" s="12">
        <f>MOD(Cardiac_Table[[#This Row],[Procedure Start Date and Time]],1)</f>
        <v>0.33333333333575865</v>
      </c>
      <c r="H1047">
        <v>5</v>
      </c>
      <c r="I1047" t="s">
        <v>4</v>
      </c>
      <c r="J1047" t="s">
        <v>3</v>
      </c>
      <c r="K1047" t="s">
        <v>26</v>
      </c>
      <c r="L1047">
        <v>70</v>
      </c>
      <c r="M1047">
        <v>3.08</v>
      </c>
      <c r="N1047">
        <v>2.31</v>
      </c>
      <c r="O1047" t="s">
        <v>15</v>
      </c>
      <c r="P1047">
        <v>61</v>
      </c>
      <c r="Q1047">
        <v>167</v>
      </c>
      <c r="R1047">
        <v>75</v>
      </c>
      <c r="S1047">
        <v>50</v>
      </c>
      <c r="T1047" t="s">
        <v>50</v>
      </c>
      <c r="U1047">
        <f>IF(Cardiac_Table[[#This Row],[Patient Status at Discharge]]="Died", 1,0)</f>
        <v>0</v>
      </c>
      <c r="V1047">
        <f>Cardiac_Table[[#This Row],[Risk of Death % (Model 1)]]/100</f>
        <v>3.0800000000000001E-2</v>
      </c>
      <c r="W1047">
        <f>Cardiac_Table[[#This Row],[Risk of Death % (Model 2)]]/100</f>
        <v>2.3099999999999999E-2</v>
      </c>
      <c r="X1047" s="18">
        <f>Cardiac_Table[[#This Row],[Procedure Start Date and Time]]-Cardiac_Table[[#This Row],[Hospital Admit Date ]]</f>
        <v>0.67222222222335404</v>
      </c>
    </row>
    <row r="1048" spans="1:24" x14ac:dyDescent="0.35">
      <c r="A1048">
        <v>1058</v>
      </c>
      <c r="B1048" s="9">
        <v>44123.018750000003</v>
      </c>
      <c r="C1048" s="10">
        <f>INT(Cardiac_Table[[#This Row],[Hospital Admit Date ]])</f>
        <v>44123</v>
      </c>
      <c r="D1048" s="11" t="str">
        <f t="shared" si="16"/>
        <v>00:27</v>
      </c>
      <c r="E1048" s="9">
        <v>44124.338888888888</v>
      </c>
      <c r="F1048" s="10">
        <f>INT(Cardiac_Table[[#This Row],[Procedure Start Date and Time]])</f>
        <v>44124</v>
      </c>
      <c r="G1048" s="12">
        <f>MOD(Cardiac_Table[[#This Row],[Procedure Start Date and Time]],1)</f>
        <v>0.33888888888759539</v>
      </c>
      <c r="H1048">
        <v>4</v>
      </c>
      <c r="I1048" t="s">
        <v>6</v>
      </c>
      <c r="J1048" t="s">
        <v>11</v>
      </c>
      <c r="K1048" t="s">
        <v>35</v>
      </c>
      <c r="L1048">
        <v>61</v>
      </c>
      <c r="M1048">
        <v>1.72</v>
      </c>
      <c r="N1048">
        <v>1.22</v>
      </c>
      <c r="O1048" t="s">
        <v>15</v>
      </c>
      <c r="P1048">
        <v>73</v>
      </c>
      <c r="Q1048">
        <v>172</v>
      </c>
      <c r="R1048">
        <v>87</v>
      </c>
      <c r="S1048">
        <v>25</v>
      </c>
      <c r="T1048" t="s">
        <v>49</v>
      </c>
      <c r="U1048">
        <f>IF(Cardiac_Table[[#This Row],[Patient Status at Discharge]]="Died", 1,0)</f>
        <v>0</v>
      </c>
      <c r="V1048">
        <f>Cardiac_Table[[#This Row],[Risk of Death % (Model 1)]]/100</f>
        <v>1.72E-2</v>
      </c>
      <c r="W1048">
        <f>Cardiac_Table[[#This Row],[Risk of Death % (Model 2)]]/100</f>
        <v>1.2199999999999999E-2</v>
      </c>
      <c r="X1048" s="18">
        <f>Cardiac_Table[[#This Row],[Procedure Start Date and Time]]-Cardiac_Table[[#This Row],[Hospital Admit Date ]]</f>
        <v>1.320138888884685</v>
      </c>
    </row>
    <row r="1049" spans="1:24" x14ac:dyDescent="0.35">
      <c r="A1049">
        <v>1059</v>
      </c>
      <c r="B1049" s="9">
        <v>44123.666666666664</v>
      </c>
      <c r="C1049" s="10">
        <f>INT(Cardiac_Table[[#This Row],[Hospital Admit Date ]])</f>
        <v>44123</v>
      </c>
      <c r="D1049" s="11" t="str">
        <f t="shared" si="16"/>
        <v>16:00</v>
      </c>
      <c r="E1049" s="9">
        <v>44124.34375</v>
      </c>
      <c r="F1049" s="10">
        <f>INT(Cardiac_Table[[#This Row],[Procedure Start Date and Time]])</f>
        <v>44124</v>
      </c>
      <c r="G1049" s="12">
        <f>MOD(Cardiac_Table[[#This Row],[Procedure Start Date and Time]],1)</f>
        <v>0.34375</v>
      </c>
      <c r="H1049">
        <v>2</v>
      </c>
      <c r="I1049" t="s">
        <v>4</v>
      </c>
      <c r="J1049" t="s">
        <v>3</v>
      </c>
      <c r="K1049" t="s">
        <v>28</v>
      </c>
      <c r="L1049">
        <v>75</v>
      </c>
      <c r="M1049">
        <v>12.28</v>
      </c>
      <c r="N1049">
        <v>4.46</v>
      </c>
      <c r="O1049" t="s">
        <v>15</v>
      </c>
      <c r="P1049">
        <v>140</v>
      </c>
      <c r="Q1049">
        <v>161</v>
      </c>
      <c r="R1049">
        <v>102</v>
      </c>
      <c r="S1049">
        <v>45</v>
      </c>
      <c r="T1049" t="s">
        <v>50</v>
      </c>
      <c r="U1049">
        <f>IF(Cardiac_Table[[#This Row],[Patient Status at Discharge]]="Died", 1,0)</f>
        <v>0</v>
      </c>
      <c r="V1049">
        <f>Cardiac_Table[[#This Row],[Risk of Death % (Model 1)]]/100</f>
        <v>0.12279999999999999</v>
      </c>
      <c r="W1049">
        <f>Cardiac_Table[[#This Row],[Risk of Death % (Model 2)]]/100</f>
        <v>4.4600000000000001E-2</v>
      </c>
      <c r="X1049" s="18">
        <f>Cardiac_Table[[#This Row],[Procedure Start Date and Time]]-Cardiac_Table[[#This Row],[Hospital Admit Date ]]</f>
        <v>0.67708333333575865</v>
      </c>
    </row>
    <row r="1050" spans="1:24" x14ac:dyDescent="0.35">
      <c r="A1050">
        <v>1060</v>
      </c>
      <c r="B1050" s="9">
        <v>44115.5</v>
      </c>
      <c r="C1050" s="10">
        <f>INT(Cardiac_Table[[#This Row],[Hospital Admit Date ]])</f>
        <v>44115</v>
      </c>
      <c r="D1050" s="11" t="str">
        <f t="shared" si="16"/>
        <v>12:00</v>
      </c>
      <c r="E1050" s="9">
        <v>44124.34375</v>
      </c>
      <c r="F1050" s="10">
        <f>INT(Cardiac_Table[[#This Row],[Procedure Start Date and Time]])</f>
        <v>44124</v>
      </c>
      <c r="G1050" s="12">
        <f>MOD(Cardiac_Table[[#This Row],[Procedure Start Date and Time]],1)</f>
        <v>0.34375</v>
      </c>
      <c r="H1050">
        <v>6</v>
      </c>
      <c r="I1050" t="s">
        <v>6</v>
      </c>
      <c r="J1050" t="s">
        <v>11</v>
      </c>
      <c r="K1050" t="s">
        <v>29</v>
      </c>
      <c r="L1050">
        <v>58</v>
      </c>
      <c r="M1050">
        <v>2.08</v>
      </c>
      <c r="N1050">
        <v>2.46</v>
      </c>
      <c r="O1050" t="s">
        <v>15</v>
      </c>
      <c r="P1050">
        <v>78</v>
      </c>
      <c r="Q1050">
        <v>155</v>
      </c>
      <c r="R1050">
        <v>84</v>
      </c>
      <c r="S1050">
        <v>61</v>
      </c>
      <c r="T1050" t="s">
        <v>48</v>
      </c>
      <c r="U1050">
        <f>IF(Cardiac_Table[[#This Row],[Patient Status at Discharge]]="Died", 1,0)</f>
        <v>0</v>
      </c>
      <c r="V1050">
        <f>Cardiac_Table[[#This Row],[Risk of Death % (Model 1)]]/100</f>
        <v>2.0799999999999999E-2</v>
      </c>
      <c r="W1050">
        <f>Cardiac_Table[[#This Row],[Risk of Death % (Model 2)]]/100</f>
        <v>2.46E-2</v>
      </c>
      <c r="X1050" s="18">
        <f>Cardiac_Table[[#This Row],[Procedure Start Date and Time]]-Cardiac_Table[[#This Row],[Hospital Admit Date ]]</f>
        <v>8.84375</v>
      </c>
    </row>
    <row r="1051" spans="1:24" x14ac:dyDescent="0.35">
      <c r="A1051">
        <v>1061</v>
      </c>
      <c r="B1051" s="9">
        <v>44123.291666666664</v>
      </c>
      <c r="C1051" s="10">
        <f>INT(Cardiac_Table[[#This Row],[Hospital Admit Date ]])</f>
        <v>44123</v>
      </c>
      <c r="D1051" s="11" t="str">
        <f t="shared" si="16"/>
        <v>07:00</v>
      </c>
      <c r="E1051" s="9">
        <v>44124.508333333331</v>
      </c>
      <c r="F1051" s="10">
        <f>INT(Cardiac_Table[[#This Row],[Procedure Start Date and Time]])</f>
        <v>44124</v>
      </c>
      <c r="G1051" s="12">
        <f>MOD(Cardiac_Table[[#This Row],[Procedure Start Date and Time]],1)</f>
        <v>0.50833333333139308</v>
      </c>
      <c r="H1051">
        <v>5</v>
      </c>
      <c r="I1051" t="s">
        <v>4</v>
      </c>
      <c r="J1051" t="s">
        <v>11</v>
      </c>
      <c r="K1051" t="s">
        <v>26</v>
      </c>
      <c r="L1051">
        <v>66</v>
      </c>
      <c r="M1051">
        <v>2.38</v>
      </c>
      <c r="N1051">
        <v>2.0699999999999998</v>
      </c>
      <c r="O1051" t="s">
        <v>15</v>
      </c>
      <c r="P1051">
        <v>67</v>
      </c>
      <c r="Q1051">
        <v>172</v>
      </c>
      <c r="R1051">
        <v>123</v>
      </c>
      <c r="S1051">
        <v>43</v>
      </c>
      <c r="T1051" t="s">
        <v>50</v>
      </c>
      <c r="U1051">
        <f>IF(Cardiac_Table[[#This Row],[Patient Status at Discharge]]="Died", 1,0)</f>
        <v>0</v>
      </c>
      <c r="V1051">
        <f>Cardiac_Table[[#This Row],[Risk of Death % (Model 1)]]/100</f>
        <v>2.3799999999999998E-2</v>
      </c>
      <c r="W1051">
        <f>Cardiac_Table[[#This Row],[Risk of Death % (Model 2)]]/100</f>
        <v>2.07E-2</v>
      </c>
      <c r="X1051" s="18">
        <f>Cardiac_Table[[#This Row],[Procedure Start Date and Time]]-Cardiac_Table[[#This Row],[Hospital Admit Date ]]</f>
        <v>1.2166666666671517</v>
      </c>
    </row>
    <row r="1052" spans="1:24" x14ac:dyDescent="0.35">
      <c r="A1052">
        <v>1062</v>
      </c>
      <c r="B1052" s="9">
        <v>44124.291666666664</v>
      </c>
      <c r="C1052" s="10">
        <f>INT(Cardiac_Table[[#This Row],[Hospital Admit Date ]])</f>
        <v>44124</v>
      </c>
      <c r="D1052" s="11" t="str">
        <f t="shared" si="16"/>
        <v>07:00</v>
      </c>
      <c r="E1052" s="9">
        <v>44124.625</v>
      </c>
      <c r="F1052" s="10">
        <f>INT(Cardiac_Table[[#This Row],[Procedure Start Date and Time]])</f>
        <v>44124</v>
      </c>
      <c r="G1052" s="12">
        <f>MOD(Cardiac_Table[[#This Row],[Procedure Start Date and Time]],1)</f>
        <v>0.625</v>
      </c>
      <c r="H1052">
        <v>2</v>
      </c>
      <c r="I1052" t="s">
        <v>4</v>
      </c>
      <c r="J1052" t="s">
        <v>1</v>
      </c>
      <c r="K1052" t="s">
        <v>28</v>
      </c>
      <c r="L1052">
        <v>69</v>
      </c>
      <c r="M1052">
        <v>16.73</v>
      </c>
      <c r="N1052">
        <v>7.02</v>
      </c>
      <c r="O1052" t="s">
        <v>15</v>
      </c>
      <c r="P1052">
        <v>73</v>
      </c>
      <c r="Q1052">
        <v>165</v>
      </c>
      <c r="R1052">
        <v>68</v>
      </c>
      <c r="S1052">
        <v>55</v>
      </c>
      <c r="T1052" t="s">
        <v>48</v>
      </c>
      <c r="U1052">
        <f>IF(Cardiac_Table[[#This Row],[Patient Status at Discharge]]="Died", 1,0)</f>
        <v>0</v>
      </c>
      <c r="V1052">
        <f>Cardiac_Table[[#This Row],[Risk of Death % (Model 1)]]/100</f>
        <v>0.1673</v>
      </c>
      <c r="W1052">
        <f>Cardiac_Table[[#This Row],[Risk of Death % (Model 2)]]/100</f>
        <v>7.0199999999999999E-2</v>
      </c>
      <c r="X1052" s="18">
        <f>Cardiac_Table[[#This Row],[Procedure Start Date and Time]]-Cardiac_Table[[#This Row],[Hospital Admit Date ]]</f>
        <v>0.33333333333575865</v>
      </c>
    </row>
    <row r="1053" spans="1:24" x14ac:dyDescent="0.35">
      <c r="A1053">
        <v>1063</v>
      </c>
      <c r="B1053" s="9">
        <v>44123.663888888892</v>
      </c>
      <c r="C1053" s="10">
        <f>INT(Cardiac_Table[[#This Row],[Hospital Admit Date ]])</f>
        <v>44123</v>
      </c>
      <c r="D1053" s="11" t="str">
        <f t="shared" si="16"/>
        <v>15:56</v>
      </c>
      <c r="E1053" s="9">
        <v>44124.6875</v>
      </c>
      <c r="F1053" s="10">
        <f>INT(Cardiac_Table[[#This Row],[Procedure Start Date and Time]])</f>
        <v>44124</v>
      </c>
      <c r="G1053" s="12">
        <f>MOD(Cardiac_Table[[#This Row],[Procedure Start Date and Time]],1)</f>
        <v>0.6875</v>
      </c>
      <c r="H1053">
        <v>4</v>
      </c>
      <c r="I1053" t="s">
        <v>4</v>
      </c>
      <c r="J1053" t="s">
        <v>3</v>
      </c>
      <c r="K1053" t="s">
        <v>35</v>
      </c>
      <c r="L1053">
        <v>51</v>
      </c>
      <c r="M1053">
        <v>1.51</v>
      </c>
      <c r="N1053">
        <v>0.67</v>
      </c>
      <c r="O1053" t="s">
        <v>15</v>
      </c>
      <c r="P1053">
        <v>61</v>
      </c>
      <c r="Q1053">
        <v>170</v>
      </c>
      <c r="R1053">
        <v>101</v>
      </c>
      <c r="S1053">
        <v>66</v>
      </c>
      <c r="T1053" t="s">
        <v>48</v>
      </c>
      <c r="U1053">
        <f>IF(Cardiac_Table[[#This Row],[Patient Status at Discharge]]="Died", 1,0)</f>
        <v>0</v>
      </c>
      <c r="V1053">
        <f>Cardiac_Table[[#This Row],[Risk of Death % (Model 1)]]/100</f>
        <v>1.5100000000000001E-2</v>
      </c>
      <c r="W1053">
        <f>Cardiac_Table[[#This Row],[Risk of Death % (Model 2)]]/100</f>
        <v>6.7000000000000002E-3</v>
      </c>
      <c r="X1053" s="18">
        <f>Cardiac_Table[[#This Row],[Procedure Start Date and Time]]-Cardiac_Table[[#This Row],[Hospital Admit Date ]]</f>
        <v>1.023611111108039</v>
      </c>
    </row>
    <row r="1054" spans="1:24" x14ac:dyDescent="0.35">
      <c r="A1054">
        <v>1064</v>
      </c>
      <c r="B1054" s="9">
        <v>44116.416666666664</v>
      </c>
      <c r="C1054" s="10">
        <f>INT(Cardiac_Table[[#This Row],[Hospital Admit Date ]])</f>
        <v>44116</v>
      </c>
      <c r="D1054" s="11" t="str">
        <f t="shared" si="16"/>
        <v>10:00</v>
      </c>
      <c r="E1054" s="9">
        <v>44125.342361111114</v>
      </c>
      <c r="F1054" s="10">
        <f>INT(Cardiac_Table[[#This Row],[Procedure Start Date and Time]])</f>
        <v>44125</v>
      </c>
      <c r="G1054" s="12">
        <f>MOD(Cardiac_Table[[#This Row],[Procedure Start Date and Time]],1)</f>
        <v>0.34236111111385981</v>
      </c>
      <c r="H1054">
        <v>5</v>
      </c>
      <c r="I1054" t="s">
        <v>6</v>
      </c>
      <c r="J1054" t="s">
        <v>10</v>
      </c>
      <c r="K1054" t="s">
        <v>31</v>
      </c>
      <c r="L1054">
        <v>71</v>
      </c>
      <c r="M1054">
        <v>4.54</v>
      </c>
      <c r="N1054">
        <v>1.82</v>
      </c>
      <c r="O1054" t="s">
        <v>15</v>
      </c>
      <c r="P1054">
        <v>66</v>
      </c>
      <c r="Q1054">
        <v>169</v>
      </c>
      <c r="R1054">
        <v>82</v>
      </c>
      <c r="S1054">
        <v>55</v>
      </c>
      <c r="T1054" t="s">
        <v>48</v>
      </c>
      <c r="U1054">
        <f>IF(Cardiac_Table[[#This Row],[Patient Status at Discharge]]="Died", 1,0)</f>
        <v>0</v>
      </c>
      <c r="V1054">
        <f>Cardiac_Table[[#This Row],[Risk of Death % (Model 1)]]/100</f>
        <v>4.5400000000000003E-2</v>
      </c>
      <c r="W1054">
        <f>Cardiac_Table[[#This Row],[Risk of Death % (Model 2)]]/100</f>
        <v>1.8200000000000001E-2</v>
      </c>
      <c r="X1054" s="18">
        <f>Cardiac_Table[[#This Row],[Procedure Start Date and Time]]-Cardiac_Table[[#This Row],[Hospital Admit Date ]]</f>
        <v>8.9256944444496185</v>
      </c>
    </row>
    <row r="1055" spans="1:24" x14ac:dyDescent="0.35">
      <c r="A1055">
        <v>1065</v>
      </c>
      <c r="B1055" s="9">
        <v>44112.604166666664</v>
      </c>
      <c r="C1055" s="10">
        <f>INT(Cardiac_Table[[#This Row],[Hospital Admit Date ]])</f>
        <v>44112</v>
      </c>
      <c r="D1055" s="11" t="str">
        <f t="shared" si="16"/>
        <v>14:30</v>
      </c>
      <c r="E1055" s="9">
        <v>44125.342361111114</v>
      </c>
      <c r="F1055" s="10">
        <f>INT(Cardiac_Table[[#This Row],[Procedure Start Date and Time]])</f>
        <v>44125</v>
      </c>
      <c r="G1055" s="12">
        <f>MOD(Cardiac_Table[[#This Row],[Procedure Start Date and Time]],1)</f>
        <v>0.34236111111385981</v>
      </c>
      <c r="H1055">
        <v>4</v>
      </c>
      <c r="I1055" t="s">
        <v>6</v>
      </c>
      <c r="J1055" t="s">
        <v>11</v>
      </c>
      <c r="K1055" t="s">
        <v>24</v>
      </c>
      <c r="L1055">
        <v>75</v>
      </c>
      <c r="M1055">
        <v>10.44</v>
      </c>
      <c r="N1055">
        <v>3.79</v>
      </c>
      <c r="O1055" t="s">
        <v>15</v>
      </c>
      <c r="P1055">
        <v>103</v>
      </c>
      <c r="Q1055">
        <v>174</v>
      </c>
      <c r="R1055">
        <v>74</v>
      </c>
      <c r="S1055">
        <v>52</v>
      </c>
      <c r="T1055" t="s">
        <v>48</v>
      </c>
      <c r="U1055">
        <f>IF(Cardiac_Table[[#This Row],[Patient Status at Discharge]]="Died", 1,0)</f>
        <v>0</v>
      </c>
      <c r="V1055">
        <f>Cardiac_Table[[#This Row],[Risk of Death % (Model 1)]]/100</f>
        <v>0.10439999999999999</v>
      </c>
      <c r="W1055">
        <f>Cardiac_Table[[#This Row],[Risk of Death % (Model 2)]]/100</f>
        <v>3.7900000000000003E-2</v>
      </c>
      <c r="X1055" s="18">
        <f>Cardiac_Table[[#This Row],[Procedure Start Date and Time]]-Cardiac_Table[[#This Row],[Hospital Admit Date ]]</f>
        <v>12.738194444449618</v>
      </c>
    </row>
    <row r="1056" spans="1:24" x14ac:dyDescent="0.35">
      <c r="A1056">
        <v>1066</v>
      </c>
      <c r="B1056" s="9">
        <v>44125.286805555559</v>
      </c>
      <c r="C1056" s="10">
        <f>INT(Cardiac_Table[[#This Row],[Hospital Admit Date ]])</f>
        <v>44125</v>
      </c>
      <c r="D1056" s="11" t="str">
        <f t="shared" si="16"/>
        <v>06:53</v>
      </c>
      <c r="E1056" s="9">
        <v>44125.42291666667</v>
      </c>
      <c r="F1056" s="10">
        <f>INT(Cardiac_Table[[#This Row],[Procedure Start Date and Time]])</f>
        <v>44125</v>
      </c>
      <c r="G1056" s="12">
        <f>MOD(Cardiac_Table[[#This Row],[Procedure Start Date and Time]],1)</f>
        <v>0.42291666667006211</v>
      </c>
      <c r="H1056">
        <v>2</v>
      </c>
      <c r="I1056" t="s">
        <v>2</v>
      </c>
      <c r="J1056" t="s">
        <v>10</v>
      </c>
      <c r="K1056" t="s">
        <v>28</v>
      </c>
      <c r="L1056">
        <v>74</v>
      </c>
      <c r="M1056">
        <v>38.6</v>
      </c>
      <c r="N1056">
        <v>12.83</v>
      </c>
      <c r="O1056" t="s">
        <v>15</v>
      </c>
      <c r="P1056">
        <v>110</v>
      </c>
      <c r="Q1056">
        <v>172</v>
      </c>
      <c r="R1056">
        <v>127</v>
      </c>
      <c r="S1056">
        <v>58</v>
      </c>
      <c r="T1056" t="s">
        <v>48</v>
      </c>
      <c r="U1056">
        <f>IF(Cardiac_Table[[#This Row],[Patient Status at Discharge]]="Died", 1,0)</f>
        <v>0</v>
      </c>
      <c r="V1056">
        <f>Cardiac_Table[[#This Row],[Risk of Death % (Model 1)]]/100</f>
        <v>0.38600000000000001</v>
      </c>
      <c r="W1056">
        <f>Cardiac_Table[[#This Row],[Risk of Death % (Model 2)]]/100</f>
        <v>0.1283</v>
      </c>
      <c r="X1056" s="18">
        <f>Cardiac_Table[[#This Row],[Procedure Start Date and Time]]-Cardiac_Table[[#This Row],[Hospital Admit Date ]]</f>
        <v>0.13611111111094942</v>
      </c>
    </row>
    <row r="1057" spans="1:24" x14ac:dyDescent="0.35">
      <c r="A1057">
        <v>1067</v>
      </c>
      <c r="B1057" s="9">
        <v>44118.479166666664</v>
      </c>
      <c r="C1057" s="10">
        <f>INT(Cardiac_Table[[#This Row],[Hospital Admit Date ]])</f>
        <v>44118</v>
      </c>
      <c r="D1057" s="11" t="str">
        <f t="shared" si="16"/>
        <v>11:30</v>
      </c>
      <c r="E1057" s="9">
        <v>44125.472916666666</v>
      </c>
      <c r="F1057" s="10">
        <f>INT(Cardiac_Table[[#This Row],[Procedure Start Date and Time]])</f>
        <v>44125</v>
      </c>
      <c r="G1057" s="12">
        <f>MOD(Cardiac_Table[[#This Row],[Procedure Start Date and Time]],1)</f>
        <v>0.47291666666569654</v>
      </c>
      <c r="H1057">
        <v>6</v>
      </c>
      <c r="I1057" t="s">
        <v>6</v>
      </c>
      <c r="J1057" t="s">
        <v>10</v>
      </c>
      <c r="K1057" t="s">
        <v>30</v>
      </c>
      <c r="L1057">
        <v>74</v>
      </c>
      <c r="M1057">
        <v>6.69</v>
      </c>
      <c r="N1057">
        <v>4.08</v>
      </c>
      <c r="O1057" t="s">
        <v>15</v>
      </c>
      <c r="P1057">
        <v>86</v>
      </c>
      <c r="Q1057">
        <v>180</v>
      </c>
      <c r="R1057">
        <v>100</v>
      </c>
      <c r="S1057">
        <v>60</v>
      </c>
      <c r="T1057" t="s">
        <v>48</v>
      </c>
      <c r="U1057">
        <f>IF(Cardiac_Table[[#This Row],[Patient Status at Discharge]]="Died", 1,0)</f>
        <v>0</v>
      </c>
      <c r="V1057">
        <f>Cardiac_Table[[#This Row],[Risk of Death % (Model 1)]]/100</f>
        <v>6.6900000000000001E-2</v>
      </c>
      <c r="W1057">
        <f>Cardiac_Table[[#This Row],[Risk of Death % (Model 2)]]/100</f>
        <v>4.0800000000000003E-2</v>
      </c>
      <c r="X1057" s="18">
        <f>Cardiac_Table[[#This Row],[Procedure Start Date and Time]]-Cardiac_Table[[#This Row],[Hospital Admit Date ]]</f>
        <v>6.9937500000014552</v>
      </c>
    </row>
    <row r="1058" spans="1:24" x14ac:dyDescent="0.35">
      <c r="A1058">
        <v>1068</v>
      </c>
      <c r="B1058" s="9">
        <v>44125.390277777777</v>
      </c>
      <c r="C1058" s="10">
        <f>INT(Cardiac_Table[[#This Row],[Hospital Admit Date ]])</f>
        <v>44125</v>
      </c>
      <c r="D1058" s="11" t="str">
        <f t="shared" si="16"/>
        <v>09:22</v>
      </c>
      <c r="E1058" s="9">
        <v>44125.508333333331</v>
      </c>
      <c r="F1058" s="10">
        <f>INT(Cardiac_Table[[#This Row],[Procedure Start Date and Time]])</f>
        <v>44125</v>
      </c>
      <c r="G1058" s="12">
        <f>MOD(Cardiac_Table[[#This Row],[Procedure Start Date and Time]],1)</f>
        <v>0.50833333333139308</v>
      </c>
      <c r="H1058">
        <v>1</v>
      </c>
      <c r="I1058" t="s">
        <v>2</v>
      </c>
      <c r="J1058" t="s">
        <v>10</v>
      </c>
      <c r="K1058" t="s">
        <v>21</v>
      </c>
      <c r="L1058">
        <v>72</v>
      </c>
      <c r="M1058">
        <v>33.07</v>
      </c>
      <c r="N1058">
        <v>10.5</v>
      </c>
      <c r="O1058" t="s">
        <v>13</v>
      </c>
      <c r="P1058">
        <v>121</v>
      </c>
      <c r="Q1058">
        <v>170</v>
      </c>
      <c r="R1058">
        <v>68</v>
      </c>
      <c r="S1058">
        <v>58</v>
      </c>
      <c r="T1058" t="s">
        <v>48</v>
      </c>
      <c r="U1058">
        <f>IF(Cardiac_Table[[#This Row],[Patient Status at Discharge]]="Died", 1,0)</f>
        <v>1</v>
      </c>
      <c r="V1058">
        <f>Cardiac_Table[[#This Row],[Risk of Death % (Model 1)]]/100</f>
        <v>0.33069999999999999</v>
      </c>
      <c r="W1058">
        <f>Cardiac_Table[[#This Row],[Risk of Death % (Model 2)]]/100</f>
        <v>0.105</v>
      </c>
      <c r="X1058" s="18">
        <f>Cardiac_Table[[#This Row],[Procedure Start Date and Time]]-Cardiac_Table[[#This Row],[Hospital Admit Date ]]</f>
        <v>0.11805555555474712</v>
      </c>
    </row>
    <row r="1059" spans="1:24" x14ac:dyDescent="0.35">
      <c r="A1059">
        <v>1069</v>
      </c>
      <c r="B1059" s="9">
        <v>44125.291666666664</v>
      </c>
      <c r="C1059" s="10">
        <f>INT(Cardiac_Table[[#This Row],[Hospital Admit Date ]])</f>
        <v>44125</v>
      </c>
      <c r="D1059" s="11" t="str">
        <f t="shared" si="16"/>
        <v>07:00</v>
      </c>
      <c r="E1059" s="9">
        <v>44125.572916666664</v>
      </c>
      <c r="F1059" s="10">
        <f>INT(Cardiac_Table[[#This Row],[Procedure Start Date and Time]])</f>
        <v>44125</v>
      </c>
      <c r="G1059" s="12">
        <f>MOD(Cardiac_Table[[#This Row],[Procedure Start Date and Time]],1)</f>
        <v>0.57291666666424135</v>
      </c>
      <c r="H1059">
        <v>5</v>
      </c>
      <c r="I1059" t="s">
        <v>4</v>
      </c>
      <c r="J1059" t="s">
        <v>10</v>
      </c>
      <c r="K1059" t="s">
        <v>31</v>
      </c>
      <c r="L1059">
        <v>56</v>
      </c>
      <c r="M1059">
        <v>1.33</v>
      </c>
      <c r="N1059">
        <v>0.76</v>
      </c>
      <c r="O1059" t="s">
        <v>15</v>
      </c>
      <c r="P1059">
        <v>78</v>
      </c>
      <c r="Q1059">
        <v>166</v>
      </c>
      <c r="R1059">
        <v>97</v>
      </c>
      <c r="S1059">
        <v>45</v>
      </c>
      <c r="T1059" t="s">
        <v>50</v>
      </c>
      <c r="U1059">
        <f>IF(Cardiac_Table[[#This Row],[Patient Status at Discharge]]="Died", 1,0)</f>
        <v>0</v>
      </c>
      <c r="V1059">
        <f>Cardiac_Table[[#This Row],[Risk of Death % (Model 1)]]/100</f>
        <v>1.3300000000000001E-2</v>
      </c>
      <c r="W1059">
        <f>Cardiac_Table[[#This Row],[Risk of Death % (Model 2)]]/100</f>
        <v>7.6E-3</v>
      </c>
      <c r="X1059" s="18">
        <f>Cardiac_Table[[#This Row],[Procedure Start Date and Time]]-Cardiac_Table[[#This Row],[Hospital Admit Date ]]</f>
        <v>0.28125</v>
      </c>
    </row>
    <row r="1060" spans="1:24" x14ac:dyDescent="0.35">
      <c r="A1060">
        <v>1070</v>
      </c>
      <c r="B1060" s="9">
        <v>44124.622916666667</v>
      </c>
      <c r="C1060" s="10">
        <f>INT(Cardiac_Table[[#This Row],[Hospital Admit Date ]])</f>
        <v>44124</v>
      </c>
      <c r="D1060" s="11" t="str">
        <f t="shared" si="16"/>
        <v>14:57</v>
      </c>
      <c r="E1060" s="9">
        <v>44125.646527777775</v>
      </c>
      <c r="F1060" s="10">
        <f>INT(Cardiac_Table[[#This Row],[Procedure Start Date and Time]])</f>
        <v>44125</v>
      </c>
      <c r="G1060" s="12">
        <f>MOD(Cardiac_Table[[#This Row],[Procedure Start Date and Time]],1)</f>
        <v>0.64652777777519077</v>
      </c>
      <c r="H1060">
        <v>4</v>
      </c>
      <c r="I1060" t="s">
        <v>4</v>
      </c>
      <c r="J1060" t="s">
        <v>10</v>
      </c>
      <c r="K1060" t="s">
        <v>24</v>
      </c>
      <c r="L1060">
        <v>71</v>
      </c>
      <c r="M1060">
        <v>1.94</v>
      </c>
      <c r="N1060">
        <v>1.03</v>
      </c>
      <c r="O1060" t="s">
        <v>15</v>
      </c>
      <c r="P1060">
        <v>90</v>
      </c>
      <c r="Q1060">
        <v>174</v>
      </c>
      <c r="R1060">
        <v>73</v>
      </c>
      <c r="S1060">
        <v>60</v>
      </c>
      <c r="T1060" t="s">
        <v>48</v>
      </c>
      <c r="U1060">
        <f>IF(Cardiac_Table[[#This Row],[Patient Status at Discharge]]="Died", 1,0)</f>
        <v>0</v>
      </c>
      <c r="V1060">
        <f>Cardiac_Table[[#This Row],[Risk of Death % (Model 1)]]/100</f>
        <v>1.9400000000000001E-2</v>
      </c>
      <c r="W1060">
        <f>Cardiac_Table[[#This Row],[Risk of Death % (Model 2)]]/100</f>
        <v>1.03E-2</v>
      </c>
      <c r="X1060" s="18">
        <f>Cardiac_Table[[#This Row],[Procedure Start Date and Time]]-Cardiac_Table[[#This Row],[Hospital Admit Date ]]</f>
        <v>1.023611111108039</v>
      </c>
    </row>
    <row r="1061" spans="1:24" x14ac:dyDescent="0.35">
      <c r="A1061">
        <v>1071</v>
      </c>
      <c r="B1061" s="9">
        <v>44120.5</v>
      </c>
      <c r="C1061" s="10">
        <f>INT(Cardiac_Table[[#This Row],[Hospital Admit Date ]])</f>
        <v>44120</v>
      </c>
      <c r="D1061" s="11" t="str">
        <f t="shared" si="16"/>
        <v>12:00</v>
      </c>
      <c r="E1061" s="9">
        <v>44126.339583333334</v>
      </c>
      <c r="F1061" s="10">
        <f>INT(Cardiac_Table[[#This Row],[Procedure Start Date and Time]])</f>
        <v>44126</v>
      </c>
      <c r="G1061" s="12">
        <f>MOD(Cardiac_Table[[#This Row],[Procedure Start Date and Time]],1)</f>
        <v>0.33958333333430346</v>
      </c>
      <c r="H1061">
        <v>3</v>
      </c>
      <c r="I1061" t="s">
        <v>6</v>
      </c>
      <c r="J1061" t="s">
        <v>3</v>
      </c>
      <c r="K1061" t="s">
        <v>33</v>
      </c>
      <c r="L1061">
        <v>74</v>
      </c>
      <c r="M1061">
        <v>16.559999999999999</v>
      </c>
      <c r="N1061">
        <v>6.02</v>
      </c>
      <c r="O1061" t="s">
        <v>15</v>
      </c>
      <c r="P1061">
        <v>132</v>
      </c>
      <c r="Q1061">
        <v>168</v>
      </c>
      <c r="R1061">
        <v>109</v>
      </c>
      <c r="S1061">
        <v>60</v>
      </c>
      <c r="T1061" t="s">
        <v>48</v>
      </c>
      <c r="U1061">
        <f>IF(Cardiac_Table[[#This Row],[Patient Status at Discharge]]="Died", 1,0)</f>
        <v>0</v>
      </c>
      <c r="V1061">
        <f>Cardiac_Table[[#This Row],[Risk of Death % (Model 1)]]/100</f>
        <v>0.1656</v>
      </c>
      <c r="W1061">
        <f>Cardiac_Table[[#This Row],[Risk of Death % (Model 2)]]/100</f>
        <v>6.0199999999999997E-2</v>
      </c>
      <c r="X1061" s="18">
        <f>Cardiac_Table[[#This Row],[Procedure Start Date and Time]]-Cardiac_Table[[#This Row],[Hospital Admit Date ]]</f>
        <v>5.8395833333343035</v>
      </c>
    </row>
    <row r="1062" spans="1:24" x14ac:dyDescent="0.35">
      <c r="A1062">
        <v>1072</v>
      </c>
      <c r="B1062" s="9">
        <v>44122.67083333333</v>
      </c>
      <c r="C1062" s="10">
        <f>INT(Cardiac_Table[[#This Row],[Hospital Admit Date ]])</f>
        <v>44122</v>
      </c>
      <c r="D1062" s="11" t="str">
        <f t="shared" si="16"/>
        <v>16:06</v>
      </c>
      <c r="E1062" s="9">
        <v>44126.340277777781</v>
      </c>
      <c r="F1062" s="10">
        <f>INT(Cardiac_Table[[#This Row],[Procedure Start Date and Time]])</f>
        <v>44126</v>
      </c>
      <c r="G1062" s="12">
        <f>MOD(Cardiac_Table[[#This Row],[Procedure Start Date and Time]],1)</f>
        <v>0.34027777778101154</v>
      </c>
      <c r="H1062">
        <v>6</v>
      </c>
      <c r="I1062" t="s">
        <v>4</v>
      </c>
      <c r="J1062" t="s">
        <v>1</v>
      </c>
      <c r="K1062" t="s">
        <v>23</v>
      </c>
      <c r="L1062">
        <v>71</v>
      </c>
      <c r="M1062">
        <v>31.01</v>
      </c>
      <c r="N1062">
        <v>8.76</v>
      </c>
      <c r="O1062" t="s">
        <v>15</v>
      </c>
      <c r="P1062">
        <v>93</v>
      </c>
      <c r="Q1062">
        <v>163</v>
      </c>
      <c r="R1062">
        <v>73</v>
      </c>
      <c r="S1062">
        <v>45</v>
      </c>
      <c r="T1062" t="s">
        <v>50</v>
      </c>
      <c r="U1062">
        <f>IF(Cardiac_Table[[#This Row],[Patient Status at Discharge]]="Died", 1,0)</f>
        <v>0</v>
      </c>
      <c r="V1062">
        <f>Cardiac_Table[[#This Row],[Risk of Death % (Model 1)]]/100</f>
        <v>0.31010000000000004</v>
      </c>
      <c r="W1062">
        <f>Cardiac_Table[[#This Row],[Risk of Death % (Model 2)]]/100</f>
        <v>8.7599999999999997E-2</v>
      </c>
      <c r="X1062" s="18">
        <f>Cardiac_Table[[#This Row],[Procedure Start Date and Time]]-Cardiac_Table[[#This Row],[Hospital Admit Date ]]</f>
        <v>3.6694444444510737</v>
      </c>
    </row>
    <row r="1063" spans="1:24" x14ac:dyDescent="0.35">
      <c r="A1063">
        <v>1073</v>
      </c>
      <c r="B1063" s="9">
        <v>44124.540277777778</v>
      </c>
      <c r="C1063" s="10">
        <f>INT(Cardiac_Table[[#This Row],[Hospital Admit Date ]])</f>
        <v>44124</v>
      </c>
      <c r="D1063" s="11" t="str">
        <f t="shared" si="16"/>
        <v>12:58</v>
      </c>
      <c r="E1063" s="9">
        <v>44126.347222222219</v>
      </c>
      <c r="F1063" s="10">
        <f>INT(Cardiac_Table[[#This Row],[Procedure Start Date and Time]])</f>
        <v>44126</v>
      </c>
      <c r="G1063" s="12">
        <f>MOD(Cardiac_Table[[#This Row],[Procedure Start Date and Time]],1)</f>
        <v>0.34722222221898846</v>
      </c>
      <c r="H1063">
        <v>2</v>
      </c>
      <c r="I1063" t="s">
        <v>6</v>
      </c>
      <c r="J1063" t="s">
        <v>10</v>
      </c>
      <c r="K1063" t="s">
        <v>31</v>
      </c>
      <c r="L1063">
        <v>74</v>
      </c>
      <c r="M1063">
        <v>4</v>
      </c>
      <c r="N1063">
        <v>1.32</v>
      </c>
      <c r="O1063" t="s">
        <v>15</v>
      </c>
      <c r="P1063">
        <v>90</v>
      </c>
      <c r="Q1063">
        <v>186</v>
      </c>
      <c r="R1063">
        <v>100</v>
      </c>
      <c r="S1063">
        <v>29</v>
      </c>
      <c r="T1063" t="s">
        <v>49</v>
      </c>
      <c r="U1063">
        <f>IF(Cardiac_Table[[#This Row],[Patient Status at Discharge]]="Died", 1,0)</f>
        <v>0</v>
      </c>
      <c r="V1063">
        <f>Cardiac_Table[[#This Row],[Risk of Death % (Model 1)]]/100</f>
        <v>0.04</v>
      </c>
      <c r="W1063">
        <f>Cardiac_Table[[#This Row],[Risk of Death % (Model 2)]]/100</f>
        <v>1.32E-2</v>
      </c>
      <c r="X1063" s="18">
        <f>Cardiac_Table[[#This Row],[Procedure Start Date and Time]]-Cardiac_Table[[#This Row],[Hospital Admit Date ]]</f>
        <v>1.8069444444408873</v>
      </c>
    </row>
    <row r="1064" spans="1:24" x14ac:dyDescent="0.35">
      <c r="A1064">
        <v>1074</v>
      </c>
      <c r="B1064" s="9">
        <v>44125.672222222223</v>
      </c>
      <c r="C1064" s="10">
        <f>INT(Cardiac_Table[[#This Row],[Hospital Admit Date ]])</f>
        <v>44125</v>
      </c>
      <c r="D1064" s="11" t="str">
        <f t="shared" si="16"/>
        <v>16:08</v>
      </c>
      <c r="E1064" s="9">
        <v>44126.347222222219</v>
      </c>
      <c r="F1064" s="10">
        <f>INT(Cardiac_Table[[#This Row],[Procedure Start Date and Time]])</f>
        <v>44126</v>
      </c>
      <c r="G1064" s="12">
        <f>MOD(Cardiac_Table[[#This Row],[Procedure Start Date and Time]],1)</f>
        <v>0.34722222221898846</v>
      </c>
      <c r="H1064">
        <v>4</v>
      </c>
      <c r="I1064" t="s">
        <v>4</v>
      </c>
      <c r="J1064" t="s">
        <v>11</v>
      </c>
      <c r="K1064" t="s">
        <v>34</v>
      </c>
      <c r="L1064">
        <v>80</v>
      </c>
      <c r="M1064">
        <v>7.94</v>
      </c>
      <c r="N1064">
        <v>1.88</v>
      </c>
      <c r="O1064" t="s">
        <v>15</v>
      </c>
      <c r="P1064">
        <v>118</v>
      </c>
      <c r="Q1064">
        <v>180</v>
      </c>
      <c r="R1064">
        <v>74</v>
      </c>
      <c r="S1064">
        <v>34</v>
      </c>
      <c r="T1064" t="s">
        <v>50</v>
      </c>
      <c r="U1064">
        <f>IF(Cardiac_Table[[#This Row],[Patient Status at Discharge]]="Died", 1,0)</f>
        <v>0</v>
      </c>
      <c r="V1064">
        <f>Cardiac_Table[[#This Row],[Risk of Death % (Model 1)]]/100</f>
        <v>7.9399999999999998E-2</v>
      </c>
      <c r="W1064">
        <f>Cardiac_Table[[#This Row],[Risk of Death % (Model 2)]]/100</f>
        <v>1.8799999999999997E-2</v>
      </c>
      <c r="X1064" s="18">
        <f>Cardiac_Table[[#This Row],[Procedure Start Date and Time]]-Cardiac_Table[[#This Row],[Hospital Admit Date ]]</f>
        <v>0.67499999999563443</v>
      </c>
    </row>
    <row r="1065" spans="1:24" x14ac:dyDescent="0.35">
      <c r="A1065">
        <v>1075</v>
      </c>
      <c r="B1065" s="9">
        <v>44125.675694444442</v>
      </c>
      <c r="C1065" s="10">
        <f>INT(Cardiac_Table[[#This Row],[Hospital Admit Date ]])</f>
        <v>44125</v>
      </c>
      <c r="D1065" s="11" t="str">
        <f t="shared" si="16"/>
        <v>16:13</v>
      </c>
      <c r="E1065" s="9">
        <v>44126.348611111112</v>
      </c>
      <c r="F1065" s="10">
        <f>INT(Cardiac_Table[[#This Row],[Procedure Start Date and Time]])</f>
        <v>44126</v>
      </c>
      <c r="G1065" s="12">
        <f>MOD(Cardiac_Table[[#This Row],[Procedure Start Date and Time]],1)</f>
        <v>0.34861111111240461</v>
      </c>
      <c r="H1065">
        <v>5</v>
      </c>
      <c r="I1065" t="s">
        <v>4</v>
      </c>
      <c r="J1065" t="s">
        <v>10</v>
      </c>
      <c r="K1065" t="s">
        <v>21</v>
      </c>
      <c r="L1065">
        <v>69</v>
      </c>
      <c r="M1065">
        <v>2.35</v>
      </c>
      <c r="N1065">
        <v>1.45</v>
      </c>
      <c r="O1065" t="s">
        <v>15</v>
      </c>
      <c r="P1065">
        <v>70</v>
      </c>
      <c r="Q1065">
        <v>180</v>
      </c>
      <c r="R1065">
        <v>100</v>
      </c>
      <c r="S1065">
        <v>55</v>
      </c>
      <c r="T1065" t="s">
        <v>48</v>
      </c>
      <c r="U1065">
        <f>IF(Cardiac_Table[[#This Row],[Patient Status at Discharge]]="Died", 1,0)</f>
        <v>0</v>
      </c>
      <c r="V1065">
        <f>Cardiac_Table[[#This Row],[Risk of Death % (Model 1)]]/100</f>
        <v>2.35E-2</v>
      </c>
      <c r="W1065">
        <f>Cardiac_Table[[#This Row],[Risk of Death % (Model 2)]]/100</f>
        <v>1.4499999999999999E-2</v>
      </c>
      <c r="X1065" s="18">
        <f>Cardiac_Table[[#This Row],[Procedure Start Date and Time]]-Cardiac_Table[[#This Row],[Hospital Admit Date ]]</f>
        <v>0.67291666667006211</v>
      </c>
    </row>
    <row r="1066" spans="1:24" x14ac:dyDescent="0.35">
      <c r="A1066">
        <v>1076</v>
      </c>
      <c r="B1066" s="9">
        <v>44126.288194444445</v>
      </c>
      <c r="C1066" s="10">
        <f>INT(Cardiac_Table[[#This Row],[Hospital Admit Date ]])</f>
        <v>44126</v>
      </c>
      <c r="D1066" s="11" t="str">
        <f t="shared" si="16"/>
        <v>06:55</v>
      </c>
      <c r="E1066" s="9">
        <v>44126.665972222225</v>
      </c>
      <c r="F1066" s="10">
        <f>INT(Cardiac_Table[[#This Row],[Procedure Start Date and Time]])</f>
        <v>44126</v>
      </c>
      <c r="G1066" s="12">
        <f>MOD(Cardiac_Table[[#This Row],[Procedure Start Date and Time]],1)</f>
        <v>0.66597222222480923</v>
      </c>
      <c r="H1066">
        <v>2</v>
      </c>
      <c r="I1066" t="s">
        <v>4</v>
      </c>
      <c r="J1066" t="s">
        <v>3</v>
      </c>
      <c r="K1066" t="s">
        <v>34</v>
      </c>
      <c r="L1066">
        <v>76</v>
      </c>
      <c r="M1066">
        <v>6.19</v>
      </c>
      <c r="N1066">
        <v>0.98</v>
      </c>
      <c r="O1066" t="s">
        <v>15</v>
      </c>
      <c r="P1066">
        <v>61</v>
      </c>
      <c r="Q1066">
        <v>151</v>
      </c>
      <c r="R1066">
        <v>68</v>
      </c>
      <c r="S1066">
        <v>40</v>
      </c>
      <c r="T1066" t="s">
        <v>50</v>
      </c>
      <c r="U1066">
        <f>IF(Cardiac_Table[[#This Row],[Patient Status at Discharge]]="Died", 1,0)</f>
        <v>0</v>
      </c>
      <c r="V1066">
        <f>Cardiac_Table[[#This Row],[Risk of Death % (Model 1)]]/100</f>
        <v>6.1900000000000004E-2</v>
      </c>
      <c r="W1066">
        <f>Cardiac_Table[[#This Row],[Risk of Death % (Model 2)]]/100</f>
        <v>9.7999999999999997E-3</v>
      </c>
      <c r="X1066" s="18">
        <f>Cardiac_Table[[#This Row],[Procedure Start Date and Time]]-Cardiac_Table[[#This Row],[Hospital Admit Date ]]</f>
        <v>0.37777777777955635</v>
      </c>
    </row>
    <row r="1067" spans="1:24" x14ac:dyDescent="0.35">
      <c r="A1067">
        <v>1077</v>
      </c>
      <c r="B1067" s="9">
        <v>44118.5</v>
      </c>
      <c r="C1067" s="10">
        <f>INT(Cardiac_Table[[#This Row],[Hospital Admit Date ]])</f>
        <v>44118</v>
      </c>
      <c r="D1067" s="11" t="str">
        <f t="shared" si="16"/>
        <v>12:00</v>
      </c>
      <c r="E1067" s="9">
        <v>44127.333333333336</v>
      </c>
      <c r="F1067" s="10">
        <f>INT(Cardiac_Table[[#This Row],[Procedure Start Date and Time]])</f>
        <v>44127</v>
      </c>
      <c r="G1067" s="12">
        <f>MOD(Cardiac_Table[[#This Row],[Procedure Start Date and Time]],1)</f>
        <v>0.33333333333575865</v>
      </c>
      <c r="H1067">
        <v>5</v>
      </c>
      <c r="I1067" t="s">
        <v>6</v>
      </c>
      <c r="J1067" t="s">
        <v>10</v>
      </c>
      <c r="K1067" t="s">
        <v>31</v>
      </c>
      <c r="L1067">
        <v>84</v>
      </c>
      <c r="M1067">
        <v>17.88</v>
      </c>
      <c r="N1067">
        <v>2.86</v>
      </c>
      <c r="O1067" t="s">
        <v>15</v>
      </c>
      <c r="P1067">
        <v>154</v>
      </c>
      <c r="Q1067">
        <v>188</v>
      </c>
      <c r="R1067">
        <v>100</v>
      </c>
      <c r="S1067">
        <v>28</v>
      </c>
      <c r="T1067" t="s">
        <v>49</v>
      </c>
      <c r="U1067">
        <f>IF(Cardiac_Table[[#This Row],[Patient Status at Discharge]]="Died", 1,0)</f>
        <v>0</v>
      </c>
      <c r="V1067">
        <f>Cardiac_Table[[#This Row],[Risk of Death % (Model 1)]]/100</f>
        <v>0.17879999999999999</v>
      </c>
      <c r="W1067">
        <f>Cardiac_Table[[#This Row],[Risk of Death % (Model 2)]]/100</f>
        <v>2.86E-2</v>
      </c>
      <c r="X1067" s="18">
        <f>Cardiac_Table[[#This Row],[Procedure Start Date and Time]]-Cardiac_Table[[#This Row],[Hospital Admit Date ]]</f>
        <v>8.8333333333357587</v>
      </c>
    </row>
    <row r="1068" spans="1:24" x14ac:dyDescent="0.35">
      <c r="A1068">
        <v>1078</v>
      </c>
      <c r="B1068" s="9">
        <v>44121.395138888889</v>
      </c>
      <c r="C1068" s="10">
        <f>INT(Cardiac_Table[[#This Row],[Hospital Admit Date ]])</f>
        <v>44121</v>
      </c>
      <c r="D1068" s="11" t="str">
        <f t="shared" si="16"/>
        <v>09:29</v>
      </c>
      <c r="E1068" s="9">
        <v>44127.34375</v>
      </c>
      <c r="F1068" s="10">
        <f>INT(Cardiac_Table[[#This Row],[Procedure Start Date and Time]])</f>
        <v>44127</v>
      </c>
      <c r="G1068" s="12">
        <f>MOD(Cardiac_Table[[#This Row],[Procedure Start Date and Time]],1)</f>
        <v>0.34375</v>
      </c>
      <c r="H1068">
        <v>2</v>
      </c>
      <c r="I1068" t="s">
        <v>4</v>
      </c>
      <c r="J1068" t="s">
        <v>3</v>
      </c>
      <c r="K1068" t="s">
        <v>35</v>
      </c>
      <c r="L1068">
        <v>82</v>
      </c>
      <c r="M1068">
        <v>24</v>
      </c>
      <c r="N1068">
        <v>9.9700000000000006</v>
      </c>
      <c r="O1068" t="s">
        <v>15</v>
      </c>
      <c r="P1068">
        <v>65</v>
      </c>
      <c r="Q1068">
        <v>178</v>
      </c>
      <c r="R1068">
        <v>75</v>
      </c>
      <c r="S1068">
        <v>45</v>
      </c>
      <c r="T1068" t="s">
        <v>50</v>
      </c>
      <c r="U1068">
        <f>IF(Cardiac_Table[[#This Row],[Patient Status at Discharge]]="Died", 1,0)</f>
        <v>0</v>
      </c>
      <c r="V1068">
        <f>Cardiac_Table[[#This Row],[Risk of Death % (Model 1)]]/100</f>
        <v>0.24</v>
      </c>
      <c r="W1068">
        <f>Cardiac_Table[[#This Row],[Risk of Death % (Model 2)]]/100</f>
        <v>9.9700000000000011E-2</v>
      </c>
      <c r="X1068" s="18">
        <f>Cardiac_Table[[#This Row],[Procedure Start Date and Time]]-Cardiac_Table[[#This Row],[Hospital Admit Date ]]</f>
        <v>5.9486111111109494</v>
      </c>
    </row>
    <row r="1069" spans="1:24" x14ac:dyDescent="0.35">
      <c r="A1069">
        <v>1079</v>
      </c>
      <c r="B1069" s="9">
        <v>44126.707638888889</v>
      </c>
      <c r="C1069" s="10">
        <f>INT(Cardiac_Table[[#This Row],[Hospital Admit Date ]])</f>
        <v>44126</v>
      </c>
      <c r="D1069" s="11" t="str">
        <f t="shared" si="16"/>
        <v>16:59</v>
      </c>
      <c r="E1069" s="9">
        <v>44127.34375</v>
      </c>
      <c r="F1069" s="10">
        <f>INT(Cardiac_Table[[#This Row],[Procedure Start Date and Time]])</f>
        <v>44127</v>
      </c>
      <c r="G1069" s="12">
        <f>MOD(Cardiac_Table[[#This Row],[Procedure Start Date and Time]],1)</f>
        <v>0.34375</v>
      </c>
      <c r="H1069">
        <v>4</v>
      </c>
      <c r="I1069" t="s">
        <v>4</v>
      </c>
      <c r="J1069" t="s">
        <v>3</v>
      </c>
      <c r="K1069" t="s">
        <v>24</v>
      </c>
      <c r="L1069">
        <v>54</v>
      </c>
      <c r="M1069">
        <v>1.51</v>
      </c>
      <c r="N1069">
        <v>1.64</v>
      </c>
      <c r="O1069" t="s">
        <v>15</v>
      </c>
      <c r="P1069">
        <v>115</v>
      </c>
      <c r="Q1069">
        <v>173</v>
      </c>
      <c r="R1069">
        <v>118</v>
      </c>
      <c r="S1069">
        <v>60</v>
      </c>
      <c r="T1069" t="s">
        <v>48</v>
      </c>
      <c r="U1069">
        <f>IF(Cardiac_Table[[#This Row],[Patient Status at Discharge]]="Died", 1,0)</f>
        <v>0</v>
      </c>
      <c r="V1069">
        <f>Cardiac_Table[[#This Row],[Risk of Death % (Model 1)]]/100</f>
        <v>1.5100000000000001E-2</v>
      </c>
      <c r="W1069">
        <f>Cardiac_Table[[#This Row],[Risk of Death % (Model 2)]]/100</f>
        <v>1.6399999999999998E-2</v>
      </c>
      <c r="X1069" s="18">
        <f>Cardiac_Table[[#This Row],[Procedure Start Date and Time]]-Cardiac_Table[[#This Row],[Hospital Admit Date ]]</f>
        <v>0.63611111111094942</v>
      </c>
    </row>
    <row r="1070" spans="1:24" x14ac:dyDescent="0.35">
      <c r="A1070">
        <v>1080</v>
      </c>
      <c r="B1070" s="9">
        <v>44124.481249999997</v>
      </c>
      <c r="C1070" s="10">
        <f>INT(Cardiac_Table[[#This Row],[Hospital Admit Date ]])</f>
        <v>44124</v>
      </c>
      <c r="D1070" s="11" t="str">
        <f t="shared" si="16"/>
        <v>11:33</v>
      </c>
      <c r="E1070" s="9">
        <v>44127.34375</v>
      </c>
      <c r="F1070" s="10">
        <f>INT(Cardiac_Table[[#This Row],[Procedure Start Date and Time]])</f>
        <v>44127</v>
      </c>
      <c r="G1070" s="12">
        <f>MOD(Cardiac_Table[[#This Row],[Procedure Start Date and Time]],1)</f>
        <v>0.34375</v>
      </c>
      <c r="H1070">
        <v>6</v>
      </c>
      <c r="I1070" t="s">
        <v>6</v>
      </c>
      <c r="J1070" t="s">
        <v>10</v>
      </c>
      <c r="K1070" t="s">
        <v>27</v>
      </c>
      <c r="L1070">
        <v>83</v>
      </c>
      <c r="M1070">
        <v>9.56</v>
      </c>
      <c r="N1070">
        <v>4.84</v>
      </c>
      <c r="O1070" t="s">
        <v>15</v>
      </c>
      <c r="P1070">
        <v>92</v>
      </c>
      <c r="Q1070">
        <v>163</v>
      </c>
      <c r="R1070">
        <v>79</v>
      </c>
      <c r="S1070">
        <v>52</v>
      </c>
      <c r="T1070" t="s">
        <v>48</v>
      </c>
      <c r="U1070">
        <f>IF(Cardiac_Table[[#This Row],[Patient Status at Discharge]]="Died", 1,0)</f>
        <v>0</v>
      </c>
      <c r="V1070">
        <f>Cardiac_Table[[#This Row],[Risk of Death % (Model 1)]]/100</f>
        <v>9.5600000000000004E-2</v>
      </c>
      <c r="W1070">
        <f>Cardiac_Table[[#This Row],[Risk of Death % (Model 2)]]/100</f>
        <v>4.8399999999999999E-2</v>
      </c>
      <c r="X1070" s="18">
        <f>Cardiac_Table[[#This Row],[Procedure Start Date and Time]]-Cardiac_Table[[#This Row],[Hospital Admit Date ]]</f>
        <v>2.8625000000029104</v>
      </c>
    </row>
    <row r="1071" spans="1:24" x14ac:dyDescent="0.35">
      <c r="A1071">
        <v>1081</v>
      </c>
      <c r="B1071" s="9">
        <v>44125.810416666667</v>
      </c>
      <c r="C1071" s="10">
        <f>INT(Cardiac_Table[[#This Row],[Hospital Admit Date ]])</f>
        <v>44125</v>
      </c>
      <c r="D1071" s="11" t="str">
        <f t="shared" si="16"/>
        <v>19:27</v>
      </c>
      <c r="E1071" s="9">
        <v>44127.535416666666</v>
      </c>
      <c r="F1071" s="10">
        <f>INT(Cardiac_Table[[#This Row],[Procedure Start Date and Time]])</f>
        <v>44127</v>
      </c>
      <c r="G1071" s="12">
        <f>MOD(Cardiac_Table[[#This Row],[Procedure Start Date and Time]],1)</f>
        <v>0.53541666666569654</v>
      </c>
      <c r="H1071">
        <v>5</v>
      </c>
      <c r="I1071" t="s">
        <v>2</v>
      </c>
      <c r="J1071" t="s">
        <v>3</v>
      </c>
      <c r="K1071" t="s">
        <v>31</v>
      </c>
      <c r="L1071">
        <v>66</v>
      </c>
      <c r="M1071">
        <v>52.49</v>
      </c>
      <c r="N1071">
        <v>56.65</v>
      </c>
      <c r="O1071" t="s">
        <v>15</v>
      </c>
      <c r="P1071">
        <v>94</v>
      </c>
      <c r="Q1071">
        <v>172</v>
      </c>
      <c r="R1071">
        <v>92</v>
      </c>
      <c r="S1071">
        <v>61</v>
      </c>
      <c r="T1071" t="s">
        <v>48</v>
      </c>
      <c r="U1071">
        <f>IF(Cardiac_Table[[#This Row],[Patient Status at Discharge]]="Died", 1,0)</f>
        <v>0</v>
      </c>
      <c r="V1071">
        <f>Cardiac_Table[[#This Row],[Risk of Death % (Model 1)]]/100</f>
        <v>0.52490000000000003</v>
      </c>
      <c r="W1071">
        <f>Cardiac_Table[[#This Row],[Risk of Death % (Model 2)]]/100</f>
        <v>0.5665</v>
      </c>
      <c r="X1071" s="18">
        <f>Cardiac_Table[[#This Row],[Procedure Start Date and Time]]-Cardiac_Table[[#This Row],[Hospital Admit Date ]]</f>
        <v>1.7249999999985448</v>
      </c>
    </row>
    <row r="1072" spans="1:24" x14ac:dyDescent="0.35">
      <c r="A1072">
        <v>1082</v>
      </c>
      <c r="B1072" s="9">
        <v>44126.666666666664</v>
      </c>
      <c r="C1072" s="10">
        <f>INT(Cardiac_Table[[#This Row],[Hospital Admit Date ]])</f>
        <v>44126</v>
      </c>
      <c r="D1072" s="11" t="str">
        <f t="shared" si="16"/>
        <v>16:00</v>
      </c>
      <c r="E1072" s="9">
        <v>44127.611111111109</v>
      </c>
      <c r="F1072" s="10">
        <f>INT(Cardiac_Table[[#This Row],[Procedure Start Date and Time]])</f>
        <v>44127</v>
      </c>
      <c r="G1072" s="12">
        <f>MOD(Cardiac_Table[[#This Row],[Procedure Start Date and Time]],1)</f>
        <v>0.61111111110949423</v>
      </c>
      <c r="H1072">
        <v>4</v>
      </c>
      <c r="I1072" t="s">
        <v>4</v>
      </c>
      <c r="J1072" t="s">
        <v>10</v>
      </c>
      <c r="K1072" t="s">
        <v>27</v>
      </c>
      <c r="L1072">
        <v>77</v>
      </c>
      <c r="M1072">
        <v>2.87</v>
      </c>
      <c r="N1072">
        <v>1.1000000000000001</v>
      </c>
      <c r="O1072" t="s">
        <v>15</v>
      </c>
      <c r="P1072">
        <v>91</v>
      </c>
      <c r="Q1072">
        <v>183</v>
      </c>
      <c r="R1072">
        <v>119</v>
      </c>
      <c r="S1072">
        <v>66</v>
      </c>
      <c r="T1072" t="s">
        <v>48</v>
      </c>
      <c r="U1072">
        <f>IF(Cardiac_Table[[#This Row],[Patient Status at Discharge]]="Died", 1,0)</f>
        <v>0</v>
      </c>
      <c r="V1072">
        <f>Cardiac_Table[[#This Row],[Risk of Death % (Model 1)]]/100</f>
        <v>2.87E-2</v>
      </c>
      <c r="W1072">
        <f>Cardiac_Table[[#This Row],[Risk of Death % (Model 2)]]/100</f>
        <v>1.1000000000000001E-2</v>
      </c>
      <c r="X1072" s="18">
        <f>Cardiac_Table[[#This Row],[Procedure Start Date and Time]]-Cardiac_Table[[#This Row],[Hospital Admit Date ]]</f>
        <v>0.94444444444525288</v>
      </c>
    </row>
    <row r="1073" spans="1:24" x14ac:dyDescent="0.35">
      <c r="A1073">
        <v>1083</v>
      </c>
      <c r="B1073" s="9">
        <v>44126.724305555559</v>
      </c>
      <c r="C1073" s="10">
        <f>INT(Cardiac_Table[[#This Row],[Hospital Admit Date ]])</f>
        <v>44126</v>
      </c>
      <c r="D1073" s="11" t="str">
        <f t="shared" si="16"/>
        <v>17:23</v>
      </c>
      <c r="E1073" s="9">
        <v>44127.722222222219</v>
      </c>
      <c r="F1073" s="10">
        <f>INT(Cardiac_Table[[#This Row],[Procedure Start Date and Time]])</f>
        <v>44127</v>
      </c>
      <c r="G1073" s="12">
        <f>MOD(Cardiac_Table[[#This Row],[Procedure Start Date and Time]],1)</f>
        <v>0.72222222221898846</v>
      </c>
      <c r="H1073">
        <v>2</v>
      </c>
      <c r="I1073" t="s">
        <v>2</v>
      </c>
      <c r="J1073" t="s">
        <v>10</v>
      </c>
      <c r="K1073" t="s">
        <v>24</v>
      </c>
      <c r="L1073">
        <v>69</v>
      </c>
      <c r="M1073">
        <v>27.02</v>
      </c>
      <c r="N1073">
        <v>13.62</v>
      </c>
      <c r="O1073" t="s">
        <v>15</v>
      </c>
      <c r="P1073">
        <v>71</v>
      </c>
      <c r="Q1073">
        <v>165</v>
      </c>
      <c r="R1073">
        <v>77</v>
      </c>
      <c r="S1073">
        <v>61</v>
      </c>
      <c r="T1073" t="s">
        <v>48</v>
      </c>
      <c r="U1073">
        <f>IF(Cardiac_Table[[#This Row],[Patient Status at Discharge]]="Died", 1,0)</f>
        <v>0</v>
      </c>
      <c r="V1073">
        <f>Cardiac_Table[[#This Row],[Risk of Death % (Model 1)]]/100</f>
        <v>0.2702</v>
      </c>
      <c r="W1073">
        <f>Cardiac_Table[[#This Row],[Risk of Death % (Model 2)]]/100</f>
        <v>0.13619999999999999</v>
      </c>
      <c r="X1073" s="18">
        <f>Cardiac_Table[[#This Row],[Procedure Start Date and Time]]-Cardiac_Table[[#This Row],[Hospital Admit Date ]]</f>
        <v>0.99791666665987577</v>
      </c>
    </row>
    <row r="1074" spans="1:24" x14ac:dyDescent="0.35">
      <c r="A1074">
        <v>1084</v>
      </c>
      <c r="B1074" s="9">
        <v>44126.416666666664</v>
      </c>
      <c r="C1074" s="10">
        <f>INT(Cardiac_Table[[#This Row],[Hospital Admit Date ]])</f>
        <v>44126</v>
      </c>
      <c r="D1074" s="11" t="str">
        <f t="shared" si="16"/>
        <v>10:00</v>
      </c>
      <c r="E1074" s="9">
        <v>44128.333333333336</v>
      </c>
      <c r="F1074" s="10">
        <f>INT(Cardiac_Table[[#This Row],[Procedure Start Date and Time]])</f>
        <v>44128</v>
      </c>
      <c r="G1074" s="12">
        <f>MOD(Cardiac_Table[[#This Row],[Procedure Start Date and Time]],1)</f>
        <v>0.33333333333575865</v>
      </c>
      <c r="H1074">
        <v>4</v>
      </c>
      <c r="I1074" t="s">
        <v>4</v>
      </c>
      <c r="J1074" t="s">
        <v>3</v>
      </c>
      <c r="K1074" t="s">
        <v>30</v>
      </c>
      <c r="L1074">
        <v>48</v>
      </c>
      <c r="M1074">
        <v>2.27</v>
      </c>
      <c r="N1074">
        <v>1.58</v>
      </c>
      <c r="O1074" t="s">
        <v>15</v>
      </c>
      <c r="P1074">
        <v>70</v>
      </c>
      <c r="Q1074">
        <v>178</v>
      </c>
      <c r="R1074">
        <v>150</v>
      </c>
      <c r="S1074">
        <v>25</v>
      </c>
      <c r="T1074" t="s">
        <v>49</v>
      </c>
      <c r="U1074">
        <f>IF(Cardiac_Table[[#This Row],[Patient Status at Discharge]]="Died", 1,0)</f>
        <v>0</v>
      </c>
      <c r="V1074">
        <f>Cardiac_Table[[#This Row],[Risk of Death % (Model 1)]]/100</f>
        <v>2.2700000000000001E-2</v>
      </c>
      <c r="W1074">
        <f>Cardiac_Table[[#This Row],[Risk of Death % (Model 2)]]/100</f>
        <v>1.5800000000000002E-2</v>
      </c>
      <c r="X1074" s="18">
        <f>Cardiac_Table[[#This Row],[Procedure Start Date and Time]]-Cardiac_Table[[#This Row],[Hospital Admit Date ]]</f>
        <v>1.9166666666715173</v>
      </c>
    </row>
    <row r="1075" spans="1:24" x14ac:dyDescent="0.35">
      <c r="A1075">
        <v>1085</v>
      </c>
      <c r="B1075" s="9">
        <v>44127.840277777781</v>
      </c>
      <c r="C1075" s="10">
        <f>INT(Cardiac_Table[[#This Row],[Hospital Admit Date ]])</f>
        <v>44127</v>
      </c>
      <c r="D1075" s="11" t="str">
        <f t="shared" si="16"/>
        <v>20:10</v>
      </c>
      <c r="E1075" s="9">
        <v>44128.337500000001</v>
      </c>
      <c r="F1075" s="10">
        <f>INT(Cardiac_Table[[#This Row],[Procedure Start Date and Time]])</f>
        <v>44128</v>
      </c>
      <c r="G1075" s="12">
        <f>MOD(Cardiac_Table[[#This Row],[Procedure Start Date and Time]],1)</f>
        <v>0.33750000000145519</v>
      </c>
      <c r="H1075">
        <v>5</v>
      </c>
      <c r="I1075" t="s">
        <v>2</v>
      </c>
      <c r="J1075" t="s">
        <v>1</v>
      </c>
      <c r="K1075" t="s">
        <v>31</v>
      </c>
      <c r="L1075">
        <v>33</v>
      </c>
      <c r="M1075">
        <v>9.0399999999999991</v>
      </c>
      <c r="N1075">
        <v>3.27</v>
      </c>
      <c r="O1075" t="s">
        <v>15</v>
      </c>
      <c r="P1075">
        <v>84</v>
      </c>
      <c r="Q1075">
        <v>172</v>
      </c>
      <c r="R1075">
        <v>68</v>
      </c>
      <c r="S1075">
        <v>55</v>
      </c>
      <c r="T1075" t="s">
        <v>48</v>
      </c>
      <c r="U1075">
        <f>IF(Cardiac_Table[[#This Row],[Patient Status at Discharge]]="Died", 1,0)</f>
        <v>0</v>
      </c>
      <c r="V1075">
        <f>Cardiac_Table[[#This Row],[Risk of Death % (Model 1)]]/100</f>
        <v>9.0399999999999994E-2</v>
      </c>
      <c r="W1075">
        <f>Cardiac_Table[[#This Row],[Risk of Death % (Model 2)]]/100</f>
        <v>3.27E-2</v>
      </c>
      <c r="X1075" s="18">
        <f>Cardiac_Table[[#This Row],[Procedure Start Date and Time]]-Cardiac_Table[[#This Row],[Hospital Admit Date ]]</f>
        <v>0.49722222222044365</v>
      </c>
    </row>
    <row r="1076" spans="1:24" x14ac:dyDescent="0.35">
      <c r="A1076">
        <v>1086</v>
      </c>
      <c r="B1076" s="9">
        <v>44127.583333333336</v>
      </c>
      <c r="C1076" s="10">
        <f>INT(Cardiac_Table[[#This Row],[Hospital Admit Date ]])</f>
        <v>44127</v>
      </c>
      <c r="D1076" s="11" t="str">
        <f t="shared" si="16"/>
        <v>14:00</v>
      </c>
      <c r="E1076" s="9">
        <v>44130.34097222222</v>
      </c>
      <c r="F1076" s="10">
        <f>INT(Cardiac_Table[[#This Row],[Procedure Start Date and Time]])</f>
        <v>44130</v>
      </c>
      <c r="G1076" s="12">
        <f>MOD(Cardiac_Table[[#This Row],[Procedure Start Date and Time]],1)</f>
        <v>0.34097222222044365</v>
      </c>
      <c r="H1076">
        <v>2</v>
      </c>
      <c r="I1076" t="s">
        <v>6</v>
      </c>
      <c r="J1076" t="s">
        <v>3</v>
      </c>
      <c r="K1076" t="s">
        <v>35</v>
      </c>
      <c r="L1076">
        <v>75</v>
      </c>
      <c r="M1076">
        <v>5.82</v>
      </c>
      <c r="N1076">
        <v>1.76</v>
      </c>
      <c r="O1076" t="s">
        <v>15</v>
      </c>
      <c r="P1076">
        <v>100</v>
      </c>
      <c r="Q1076">
        <v>185</v>
      </c>
      <c r="R1076">
        <v>107</v>
      </c>
      <c r="S1076">
        <v>43</v>
      </c>
      <c r="T1076" t="s">
        <v>50</v>
      </c>
      <c r="U1076">
        <f>IF(Cardiac_Table[[#This Row],[Patient Status at Discharge]]="Died", 1,0)</f>
        <v>0</v>
      </c>
      <c r="V1076">
        <f>Cardiac_Table[[#This Row],[Risk of Death % (Model 1)]]/100</f>
        <v>5.8200000000000002E-2</v>
      </c>
      <c r="W1076">
        <f>Cardiac_Table[[#This Row],[Risk of Death % (Model 2)]]/100</f>
        <v>1.7600000000000001E-2</v>
      </c>
      <c r="X1076" s="18">
        <f>Cardiac_Table[[#This Row],[Procedure Start Date and Time]]-Cardiac_Table[[#This Row],[Hospital Admit Date ]]</f>
        <v>2.757638888884685</v>
      </c>
    </row>
    <row r="1077" spans="1:24" x14ac:dyDescent="0.35">
      <c r="A1077">
        <v>1087</v>
      </c>
      <c r="B1077" s="9">
        <v>44128.458333333336</v>
      </c>
      <c r="C1077" s="10">
        <f>INT(Cardiac_Table[[#This Row],[Hospital Admit Date ]])</f>
        <v>44128</v>
      </c>
      <c r="D1077" s="11" t="str">
        <f t="shared" si="16"/>
        <v>11:00</v>
      </c>
      <c r="E1077" s="9">
        <v>44130.343055555553</v>
      </c>
      <c r="F1077" s="10">
        <f>INT(Cardiac_Table[[#This Row],[Procedure Start Date and Time]])</f>
        <v>44130</v>
      </c>
      <c r="G1077" s="12">
        <f>MOD(Cardiac_Table[[#This Row],[Procedure Start Date and Time]],1)</f>
        <v>0.34305555555329192</v>
      </c>
      <c r="H1077">
        <v>6</v>
      </c>
      <c r="I1077" t="s">
        <v>6</v>
      </c>
      <c r="J1077" t="s">
        <v>10</v>
      </c>
      <c r="K1077" t="s">
        <v>24</v>
      </c>
      <c r="L1077">
        <v>74</v>
      </c>
      <c r="M1077">
        <v>4</v>
      </c>
      <c r="N1077">
        <v>1.98</v>
      </c>
      <c r="O1077" t="s">
        <v>15</v>
      </c>
      <c r="P1077">
        <v>62</v>
      </c>
      <c r="Q1077">
        <v>157</v>
      </c>
      <c r="R1077">
        <v>80</v>
      </c>
      <c r="S1077">
        <v>40</v>
      </c>
      <c r="T1077" t="s">
        <v>50</v>
      </c>
      <c r="U1077">
        <f>IF(Cardiac_Table[[#This Row],[Patient Status at Discharge]]="Died", 1,0)</f>
        <v>0</v>
      </c>
      <c r="V1077">
        <f>Cardiac_Table[[#This Row],[Risk of Death % (Model 1)]]/100</f>
        <v>0.04</v>
      </c>
      <c r="W1077">
        <f>Cardiac_Table[[#This Row],[Risk of Death % (Model 2)]]/100</f>
        <v>1.9799999999999998E-2</v>
      </c>
      <c r="X1077" s="18">
        <f>Cardiac_Table[[#This Row],[Procedure Start Date and Time]]-Cardiac_Table[[#This Row],[Hospital Admit Date ]]</f>
        <v>1.8847222222175333</v>
      </c>
    </row>
    <row r="1078" spans="1:24" x14ac:dyDescent="0.35">
      <c r="A1078">
        <v>1088</v>
      </c>
      <c r="B1078" s="9">
        <v>44129.666666666664</v>
      </c>
      <c r="C1078" s="10">
        <f>INT(Cardiac_Table[[#This Row],[Hospital Admit Date ]])</f>
        <v>44129</v>
      </c>
      <c r="D1078" s="11" t="str">
        <f t="shared" si="16"/>
        <v>16:00</v>
      </c>
      <c r="E1078" s="9">
        <v>44130.348611111112</v>
      </c>
      <c r="F1078" s="10">
        <f>INT(Cardiac_Table[[#This Row],[Procedure Start Date and Time]])</f>
        <v>44130</v>
      </c>
      <c r="G1078" s="12">
        <f>MOD(Cardiac_Table[[#This Row],[Procedure Start Date and Time]],1)</f>
        <v>0.34861111111240461</v>
      </c>
      <c r="H1078">
        <v>5</v>
      </c>
      <c r="I1078" t="s">
        <v>4</v>
      </c>
      <c r="J1078" t="s">
        <v>11</v>
      </c>
      <c r="K1078" t="s">
        <v>29</v>
      </c>
      <c r="L1078">
        <v>40</v>
      </c>
      <c r="M1078">
        <v>5.48</v>
      </c>
      <c r="N1078">
        <v>4.2699999999999996</v>
      </c>
      <c r="O1078" t="s">
        <v>15</v>
      </c>
      <c r="P1078">
        <v>159</v>
      </c>
      <c r="Q1078">
        <v>150</v>
      </c>
      <c r="R1078">
        <v>111</v>
      </c>
      <c r="S1078">
        <v>55</v>
      </c>
      <c r="T1078" t="s">
        <v>48</v>
      </c>
      <c r="U1078">
        <f>IF(Cardiac_Table[[#This Row],[Patient Status at Discharge]]="Died", 1,0)</f>
        <v>0</v>
      </c>
      <c r="V1078">
        <f>Cardiac_Table[[#This Row],[Risk of Death % (Model 1)]]/100</f>
        <v>5.4800000000000001E-2</v>
      </c>
      <c r="W1078">
        <f>Cardiac_Table[[#This Row],[Risk of Death % (Model 2)]]/100</f>
        <v>4.2699999999999995E-2</v>
      </c>
      <c r="X1078" s="18">
        <f>Cardiac_Table[[#This Row],[Procedure Start Date and Time]]-Cardiac_Table[[#This Row],[Hospital Admit Date ]]</f>
        <v>0.68194444444816327</v>
      </c>
    </row>
    <row r="1079" spans="1:24" x14ac:dyDescent="0.35">
      <c r="A1079">
        <v>1089</v>
      </c>
      <c r="B1079" s="9">
        <v>44128.291666666664</v>
      </c>
      <c r="C1079" s="10">
        <f>INT(Cardiac_Table[[#This Row],[Hospital Admit Date ]])</f>
        <v>44128</v>
      </c>
      <c r="D1079" s="11" t="str">
        <f t="shared" si="16"/>
        <v>07:00</v>
      </c>
      <c r="E1079" s="9">
        <v>44130.349305555559</v>
      </c>
      <c r="F1079" s="10">
        <f>INT(Cardiac_Table[[#This Row],[Procedure Start Date and Time]])</f>
        <v>44130</v>
      </c>
      <c r="G1079" s="12">
        <f>MOD(Cardiac_Table[[#This Row],[Procedure Start Date and Time]],1)</f>
        <v>0.34930555555911269</v>
      </c>
      <c r="H1079">
        <v>3</v>
      </c>
      <c r="I1079" t="s">
        <v>4</v>
      </c>
      <c r="J1079" t="s">
        <v>10</v>
      </c>
      <c r="K1079" t="s">
        <v>30</v>
      </c>
      <c r="L1079">
        <v>73</v>
      </c>
      <c r="M1079">
        <v>2.21</v>
      </c>
      <c r="N1079">
        <v>0.73</v>
      </c>
      <c r="O1079" t="s">
        <v>15</v>
      </c>
      <c r="P1079">
        <v>74</v>
      </c>
      <c r="Q1079">
        <v>149</v>
      </c>
      <c r="R1079">
        <v>48</v>
      </c>
      <c r="S1079">
        <v>55</v>
      </c>
      <c r="T1079" t="s">
        <v>48</v>
      </c>
      <c r="U1079">
        <f>IF(Cardiac_Table[[#This Row],[Patient Status at Discharge]]="Died", 1,0)</f>
        <v>0</v>
      </c>
      <c r="V1079">
        <f>Cardiac_Table[[#This Row],[Risk of Death % (Model 1)]]/100</f>
        <v>2.2099999999999998E-2</v>
      </c>
      <c r="W1079">
        <f>Cardiac_Table[[#This Row],[Risk of Death % (Model 2)]]/100</f>
        <v>7.3000000000000001E-3</v>
      </c>
      <c r="X1079" s="18">
        <f>Cardiac_Table[[#This Row],[Procedure Start Date and Time]]-Cardiac_Table[[#This Row],[Hospital Admit Date ]]</f>
        <v>2.0576388888948713</v>
      </c>
    </row>
    <row r="1080" spans="1:24" x14ac:dyDescent="0.35">
      <c r="A1080">
        <v>1090</v>
      </c>
      <c r="B1080" s="9">
        <v>44118.583333333336</v>
      </c>
      <c r="C1080" s="10">
        <f>INT(Cardiac_Table[[#This Row],[Hospital Admit Date ]])</f>
        <v>44118</v>
      </c>
      <c r="D1080" s="11" t="str">
        <f t="shared" si="16"/>
        <v>14:00</v>
      </c>
      <c r="E1080" s="9">
        <v>44130.351388888892</v>
      </c>
      <c r="F1080" s="10">
        <f>INT(Cardiac_Table[[#This Row],[Procedure Start Date and Time]])</f>
        <v>44130</v>
      </c>
      <c r="G1080" s="12">
        <f>MOD(Cardiac_Table[[#This Row],[Procedure Start Date and Time]],1)</f>
        <v>0.35138888889196096</v>
      </c>
      <c r="H1080">
        <v>4</v>
      </c>
      <c r="I1080" t="s">
        <v>6</v>
      </c>
      <c r="J1080" t="s">
        <v>10</v>
      </c>
      <c r="K1080" t="s">
        <v>31</v>
      </c>
      <c r="L1080">
        <v>70</v>
      </c>
      <c r="M1080">
        <v>4.97</v>
      </c>
      <c r="N1080">
        <v>1.28</v>
      </c>
      <c r="O1080" t="s">
        <v>15</v>
      </c>
      <c r="P1080">
        <v>71</v>
      </c>
      <c r="Q1080">
        <v>176</v>
      </c>
      <c r="R1080">
        <v>85</v>
      </c>
      <c r="S1080">
        <v>42</v>
      </c>
      <c r="T1080" t="s">
        <v>50</v>
      </c>
      <c r="U1080">
        <f>IF(Cardiac_Table[[#This Row],[Patient Status at Discharge]]="Died", 1,0)</f>
        <v>0</v>
      </c>
      <c r="V1080">
        <f>Cardiac_Table[[#This Row],[Risk of Death % (Model 1)]]/100</f>
        <v>4.9699999999999994E-2</v>
      </c>
      <c r="W1080">
        <f>Cardiac_Table[[#This Row],[Risk of Death % (Model 2)]]/100</f>
        <v>1.2800000000000001E-2</v>
      </c>
      <c r="X1080" s="18">
        <f>Cardiac_Table[[#This Row],[Procedure Start Date and Time]]-Cardiac_Table[[#This Row],[Hospital Admit Date ]]</f>
        <v>11.768055555556202</v>
      </c>
    </row>
    <row r="1081" spans="1:24" x14ac:dyDescent="0.35">
      <c r="A1081">
        <v>1091</v>
      </c>
      <c r="B1081" s="9">
        <v>44129.659722222219</v>
      </c>
      <c r="C1081" s="10">
        <f>INT(Cardiac_Table[[#This Row],[Hospital Admit Date ]])</f>
        <v>44129</v>
      </c>
      <c r="D1081" s="11" t="str">
        <f t="shared" si="16"/>
        <v>15:50</v>
      </c>
      <c r="E1081" s="9">
        <v>44130.551388888889</v>
      </c>
      <c r="F1081" s="10">
        <f>INT(Cardiac_Table[[#This Row],[Procedure Start Date and Time]])</f>
        <v>44130</v>
      </c>
      <c r="G1081" s="12">
        <f>MOD(Cardiac_Table[[#This Row],[Procedure Start Date and Time]],1)</f>
        <v>0.55138888888905058</v>
      </c>
      <c r="H1081">
        <v>3</v>
      </c>
      <c r="I1081" t="s">
        <v>4</v>
      </c>
      <c r="J1081" t="s">
        <v>10</v>
      </c>
      <c r="K1081" t="s">
        <v>30</v>
      </c>
      <c r="L1081">
        <v>79</v>
      </c>
      <c r="M1081">
        <v>3.26</v>
      </c>
      <c r="N1081">
        <v>2.0099999999999998</v>
      </c>
      <c r="O1081" t="s">
        <v>15</v>
      </c>
      <c r="P1081">
        <v>97</v>
      </c>
      <c r="Q1081">
        <v>164</v>
      </c>
      <c r="R1081">
        <v>68</v>
      </c>
      <c r="S1081">
        <v>30</v>
      </c>
      <c r="T1081" t="s">
        <v>49</v>
      </c>
      <c r="U1081">
        <f>IF(Cardiac_Table[[#This Row],[Patient Status at Discharge]]="Died", 1,0)</f>
        <v>0</v>
      </c>
      <c r="V1081">
        <f>Cardiac_Table[[#This Row],[Risk of Death % (Model 1)]]/100</f>
        <v>3.2599999999999997E-2</v>
      </c>
      <c r="W1081">
        <f>Cardiac_Table[[#This Row],[Risk of Death % (Model 2)]]/100</f>
        <v>2.0099999999999996E-2</v>
      </c>
      <c r="X1081" s="18">
        <f>Cardiac_Table[[#This Row],[Procedure Start Date and Time]]-Cardiac_Table[[#This Row],[Hospital Admit Date ]]</f>
        <v>0.89166666667006211</v>
      </c>
    </row>
    <row r="1082" spans="1:24" x14ac:dyDescent="0.35">
      <c r="A1082">
        <v>1092</v>
      </c>
      <c r="B1082" s="9">
        <v>44130.479861111111</v>
      </c>
      <c r="C1082" s="10">
        <f>INT(Cardiac_Table[[#This Row],[Hospital Admit Date ]])</f>
        <v>44130</v>
      </c>
      <c r="D1082" s="11" t="str">
        <f t="shared" si="16"/>
        <v>11:31</v>
      </c>
      <c r="E1082" s="9">
        <v>44130.600694444445</v>
      </c>
      <c r="F1082" s="10">
        <f>INT(Cardiac_Table[[#This Row],[Procedure Start Date and Time]])</f>
        <v>44130</v>
      </c>
      <c r="G1082" s="12">
        <f>MOD(Cardiac_Table[[#This Row],[Procedure Start Date and Time]],1)</f>
        <v>0.60069444444525288</v>
      </c>
      <c r="H1082">
        <v>4</v>
      </c>
      <c r="I1082" t="s">
        <v>2</v>
      </c>
      <c r="J1082" t="s">
        <v>10</v>
      </c>
      <c r="K1082" t="s">
        <v>31</v>
      </c>
      <c r="L1082">
        <v>50</v>
      </c>
      <c r="M1082">
        <v>10.53</v>
      </c>
      <c r="N1082">
        <v>9.5399999999999991</v>
      </c>
      <c r="O1082" t="s">
        <v>15</v>
      </c>
      <c r="P1082">
        <v>81</v>
      </c>
      <c r="Q1082">
        <v>155</v>
      </c>
      <c r="R1082">
        <v>65</v>
      </c>
      <c r="S1082">
        <v>45</v>
      </c>
      <c r="T1082" t="s">
        <v>50</v>
      </c>
      <c r="U1082">
        <f>IF(Cardiac_Table[[#This Row],[Patient Status at Discharge]]="Died", 1,0)</f>
        <v>0</v>
      </c>
      <c r="V1082">
        <f>Cardiac_Table[[#This Row],[Risk of Death % (Model 1)]]/100</f>
        <v>0.10529999999999999</v>
      </c>
      <c r="W1082">
        <f>Cardiac_Table[[#This Row],[Risk of Death % (Model 2)]]/100</f>
        <v>9.5399999999999985E-2</v>
      </c>
      <c r="X1082" s="18">
        <f>Cardiac_Table[[#This Row],[Procedure Start Date and Time]]-Cardiac_Table[[#This Row],[Hospital Admit Date ]]</f>
        <v>0.12083333333430346</v>
      </c>
    </row>
    <row r="1083" spans="1:24" x14ac:dyDescent="0.35">
      <c r="A1083">
        <v>1093</v>
      </c>
      <c r="B1083" s="9">
        <v>44130.583333333336</v>
      </c>
      <c r="C1083" s="10">
        <f>INT(Cardiac_Table[[#This Row],[Hospital Admit Date ]])</f>
        <v>44130</v>
      </c>
      <c r="D1083" s="11" t="str">
        <f t="shared" si="16"/>
        <v>14:00</v>
      </c>
      <c r="E1083" s="9">
        <v>44131.342361111114</v>
      </c>
      <c r="F1083" s="10">
        <f>INT(Cardiac_Table[[#This Row],[Procedure Start Date and Time]])</f>
        <v>44131</v>
      </c>
      <c r="G1083" s="12">
        <f>MOD(Cardiac_Table[[#This Row],[Procedure Start Date and Time]],1)</f>
        <v>0.34236111111385981</v>
      </c>
      <c r="H1083">
        <v>2</v>
      </c>
      <c r="I1083" t="s">
        <v>4</v>
      </c>
      <c r="J1083" t="s">
        <v>10</v>
      </c>
      <c r="K1083" t="s">
        <v>27</v>
      </c>
      <c r="L1083">
        <v>66</v>
      </c>
      <c r="M1083">
        <v>2.11</v>
      </c>
      <c r="N1083">
        <v>1.0900000000000001</v>
      </c>
      <c r="O1083" t="s">
        <v>15</v>
      </c>
      <c r="P1083">
        <v>88</v>
      </c>
      <c r="Q1083">
        <v>176</v>
      </c>
      <c r="R1083">
        <v>75</v>
      </c>
      <c r="S1083">
        <v>45</v>
      </c>
      <c r="T1083" t="s">
        <v>50</v>
      </c>
      <c r="U1083">
        <f>IF(Cardiac_Table[[#This Row],[Patient Status at Discharge]]="Died", 1,0)</f>
        <v>0</v>
      </c>
      <c r="V1083">
        <f>Cardiac_Table[[#This Row],[Risk of Death % (Model 1)]]/100</f>
        <v>2.1099999999999997E-2</v>
      </c>
      <c r="W1083">
        <f>Cardiac_Table[[#This Row],[Risk of Death % (Model 2)]]/100</f>
        <v>1.09E-2</v>
      </c>
      <c r="X1083" s="18">
        <f>Cardiac_Table[[#This Row],[Procedure Start Date and Time]]-Cardiac_Table[[#This Row],[Hospital Admit Date ]]</f>
        <v>0.75902777777810115</v>
      </c>
    </row>
    <row r="1084" spans="1:24" x14ac:dyDescent="0.35">
      <c r="A1084">
        <v>1094</v>
      </c>
      <c r="B1084" s="9">
        <v>44130.666666666664</v>
      </c>
      <c r="C1084" s="10">
        <f>INT(Cardiac_Table[[#This Row],[Hospital Admit Date ]])</f>
        <v>44130</v>
      </c>
      <c r="D1084" s="11" t="str">
        <f t="shared" si="16"/>
        <v>16:00</v>
      </c>
      <c r="E1084" s="9">
        <v>44131.34375</v>
      </c>
      <c r="F1084" s="10">
        <f>INT(Cardiac_Table[[#This Row],[Procedure Start Date and Time]])</f>
        <v>44131</v>
      </c>
      <c r="G1084" s="12">
        <f>MOD(Cardiac_Table[[#This Row],[Procedure Start Date and Time]],1)</f>
        <v>0.34375</v>
      </c>
      <c r="H1084">
        <v>6</v>
      </c>
      <c r="I1084" t="s">
        <v>4</v>
      </c>
      <c r="J1084" t="s">
        <v>11</v>
      </c>
      <c r="K1084" t="s">
        <v>29</v>
      </c>
      <c r="L1084">
        <v>83</v>
      </c>
      <c r="M1084">
        <v>16.86</v>
      </c>
      <c r="N1084">
        <v>13.31</v>
      </c>
      <c r="O1084" t="s">
        <v>15</v>
      </c>
      <c r="P1084">
        <v>74</v>
      </c>
      <c r="Q1084">
        <v>177</v>
      </c>
      <c r="R1084">
        <v>83</v>
      </c>
      <c r="S1084">
        <v>55</v>
      </c>
      <c r="T1084" t="s">
        <v>48</v>
      </c>
      <c r="U1084">
        <f>IF(Cardiac_Table[[#This Row],[Patient Status at Discharge]]="Died", 1,0)</f>
        <v>0</v>
      </c>
      <c r="V1084">
        <f>Cardiac_Table[[#This Row],[Risk of Death % (Model 1)]]/100</f>
        <v>0.1686</v>
      </c>
      <c r="W1084">
        <f>Cardiac_Table[[#This Row],[Risk of Death % (Model 2)]]/100</f>
        <v>0.1331</v>
      </c>
      <c r="X1084" s="18">
        <f>Cardiac_Table[[#This Row],[Procedure Start Date and Time]]-Cardiac_Table[[#This Row],[Hospital Admit Date ]]</f>
        <v>0.67708333333575865</v>
      </c>
    </row>
    <row r="1085" spans="1:24" x14ac:dyDescent="0.35">
      <c r="A1085">
        <v>1095</v>
      </c>
      <c r="B1085" s="9">
        <v>44125.548611111109</v>
      </c>
      <c r="C1085" s="10">
        <f>INT(Cardiac_Table[[#This Row],[Hospital Admit Date ]])</f>
        <v>44125</v>
      </c>
      <c r="D1085" s="11" t="str">
        <f t="shared" si="16"/>
        <v>13:10</v>
      </c>
      <c r="E1085" s="9">
        <v>44131.347222222219</v>
      </c>
      <c r="F1085" s="10">
        <f>INT(Cardiac_Table[[#This Row],[Procedure Start Date and Time]])</f>
        <v>44131</v>
      </c>
      <c r="G1085" s="12">
        <f>MOD(Cardiac_Table[[#This Row],[Procedure Start Date and Time]],1)</f>
        <v>0.34722222221898846</v>
      </c>
      <c r="H1085">
        <v>4</v>
      </c>
      <c r="I1085" t="s">
        <v>6</v>
      </c>
      <c r="J1085" t="s">
        <v>3</v>
      </c>
      <c r="K1085" t="s">
        <v>35</v>
      </c>
      <c r="L1085">
        <v>64</v>
      </c>
      <c r="M1085">
        <v>4.32</v>
      </c>
      <c r="N1085">
        <v>1.96</v>
      </c>
      <c r="O1085" t="s">
        <v>15</v>
      </c>
      <c r="P1085">
        <v>131</v>
      </c>
      <c r="Q1085">
        <v>180</v>
      </c>
      <c r="R1085">
        <v>91</v>
      </c>
      <c r="S1085">
        <v>55</v>
      </c>
      <c r="T1085" t="s">
        <v>48</v>
      </c>
      <c r="U1085">
        <f>IF(Cardiac_Table[[#This Row],[Patient Status at Discharge]]="Died", 1,0)</f>
        <v>0</v>
      </c>
      <c r="V1085">
        <f>Cardiac_Table[[#This Row],[Risk of Death % (Model 1)]]/100</f>
        <v>4.3200000000000002E-2</v>
      </c>
      <c r="W1085">
        <f>Cardiac_Table[[#This Row],[Risk of Death % (Model 2)]]/100</f>
        <v>1.9599999999999999E-2</v>
      </c>
      <c r="X1085" s="18">
        <f>Cardiac_Table[[#This Row],[Procedure Start Date and Time]]-Cardiac_Table[[#This Row],[Hospital Admit Date ]]</f>
        <v>5.7986111111094942</v>
      </c>
    </row>
    <row r="1086" spans="1:24" x14ac:dyDescent="0.35">
      <c r="A1086">
        <v>1096</v>
      </c>
      <c r="B1086" s="9">
        <v>44130.666666666664</v>
      </c>
      <c r="C1086" s="10">
        <f>INT(Cardiac_Table[[#This Row],[Hospital Admit Date ]])</f>
        <v>44130</v>
      </c>
      <c r="D1086" s="11" t="str">
        <f t="shared" si="16"/>
        <v>16:00</v>
      </c>
      <c r="E1086" s="9">
        <v>44131.361111111109</v>
      </c>
      <c r="F1086" s="10">
        <f>INT(Cardiac_Table[[#This Row],[Procedure Start Date and Time]])</f>
        <v>44131</v>
      </c>
      <c r="G1086" s="12">
        <f>MOD(Cardiac_Table[[#This Row],[Procedure Start Date and Time]],1)</f>
        <v>0.36111111110949423</v>
      </c>
      <c r="H1086">
        <v>5</v>
      </c>
      <c r="I1086" t="s">
        <v>4</v>
      </c>
      <c r="J1086" t="s">
        <v>3</v>
      </c>
      <c r="K1086" t="s">
        <v>26</v>
      </c>
      <c r="L1086">
        <v>83</v>
      </c>
      <c r="M1086">
        <v>7.03</v>
      </c>
      <c r="N1086">
        <v>10.39</v>
      </c>
      <c r="O1086" t="s">
        <v>13</v>
      </c>
      <c r="P1086">
        <v>88</v>
      </c>
      <c r="Q1086">
        <v>162</v>
      </c>
      <c r="R1086">
        <v>70</v>
      </c>
      <c r="S1086">
        <v>61</v>
      </c>
      <c r="T1086" t="s">
        <v>48</v>
      </c>
      <c r="U1086">
        <f>IF(Cardiac_Table[[#This Row],[Patient Status at Discharge]]="Died", 1,0)</f>
        <v>1</v>
      </c>
      <c r="V1086">
        <f>Cardiac_Table[[#This Row],[Risk of Death % (Model 1)]]/100</f>
        <v>7.0300000000000001E-2</v>
      </c>
      <c r="W1086">
        <f>Cardiac_Table[[#This Row],[Risk of Death % (Model 2)]]/100</f>
        <v>0.10390000000000001</v>
      </c>
      <c r="X1086" s="18">
        <f>Cardiac_Table[[#This Row],[Procedure Start Date and Time]]-Cardiac_Table[[#This Row],[Hospital Admit Date ]]</f>
        <v>0.69444444444525288</v>
      </c>
    </row>
    <row r="1087" spans="1:24" x14ac:dyDescent="0.35">
      <c r="A1087">
        <v>1097</v>
      </c>
      <c r="B1087" s="9">
        <v>44131.291666666664</v>
      </c>
      <c r="C1087" s="10">
        <f>INT(Cardiac_Table[[#This Row],[Hospital Admit Date ]])</f>
        <v>44131</v>
      </c>
      <c r="D1087" s="11" t="str">
        <f t="shared" si="16"/>
        <v>07:00</v>
      </c>
      <c r="E1087" s="9">
        <v>44131.541666666664</v>
      </c>
      <c r="F1087" s="10">
        <f>INT(Cardiac_Table[[#This Row],[Procedure Start Date and Time]])</f>
        <v>44131</v>
      </c>
      <c r="G1087" s="12">
        <f>MOD(Cardiac_Table[[#This Row],[Procedure Start Date and Time]],1)</f>
        <v>0.54166666666424135</v>
      </c>
      <c r="H1087">
        <v>4</v>
      </c>
      <c r="I1087" t="s">
        <v>4</v>
      </c>
      <c r="J1087" t="s">
        <v>11</v>
      </c>
      <c r="K1087" t="s">
        <v>35</v>
      </c>
      <c r="L1087">
        <v>80</v>
      </c>
      <c r="M1087">
        <v>5.83</v>
      </c>
      <c r="N1087">
        <v>1.68</v>
      </c>
      <c r="O1087" t="s">
        <v>15</v>
      </c>
      <c r="P1087">
        <v>85</v>
      </c>
      <c r="Q1087">
        <v>172</v>
      </c>
      <c r="R1087">
        <v>88</v>
      </c>
      <c r="S1087">
        <v>60</v>
      </c>
      <c r="T1087" t="s">
        <v>48</v>
      </c>
      <c r="U1087">
        <f>IF(Cardiac_Table[[#This Row],[Patient Status at Discharge]]="Died", 1,0)</f>
        <v>0</v>
      </c>
      <c r="V1087">
        <f>Cardiac_Table[[#This Row],[Risk of Death % (Model 1)]]/100</f>
        <v>5.8299999999999998E-2</v>
      </c>
      <c r="W1087">
        <f>Cardiac_Table[[#This Row],[Risk of Death % (Model 2)]]/100</f>
        <v>1.6799999999999999E-2</v>
      </c>
      <c r="X1087" s="18">
        <f>Cardiac_Table[[#This Row],[Procedure Start Date and Time]]-Cardiac_Table[[#This Row],[Hospital Admit Date ]]</f>
        <v>0.25</v>
      </c>
    </row>
    <row r="1088" spans="1:24" x14ac:dyDescent="0.35">
      <c r="A1088">
        <v>1098</v>
      </c>
      <c r="B1088" s="9">
        <v>44128.576388888891</v>
      </c>
      <c r="C1088" s="10">
        <f>INT(Cardiac_Table[[#This Row],[Hospital Admit Date ]])</f>
        <v>44128</v>
      </c>
      <c r="D1088" s="11" t="str">
        <f t="shared" si="16"/>
        <v>13:50</v>
      </c>
      <c r="E1088" s="9">
        <v>44131.600694444445</v>
      </c>
      <c r="F1088" s="10">
        <f>INT(Cardiac_Table[[#This Row],[Procedure Start Date and Time]])</f>
        <v>44131</v>
      </c>
      <c r="G1088" s="12">
        <f>MOD(Cardiac_Table[[#This Row],[Procedure Start Date and Time]],1)</f>
        <v>0.60069444444525288</v>
      </c>
      <c r="H1088">
        <v>2</v>
      </c>
      <c r="I1088" t="s">
        <v>6</v>
      </c>
      <c r="J1088" t="s">
        <v>10</v>
      </c>
      <c r="K1088" t="s">
        <v>27</v>
      </c>
      <c r="L1088">
        <v>72</v>
      </c>
      <c r="M1088">
        <v>3.52</v>
      </c>
      <c r="N1088">
        <v>1.68</v>
      </c>
      <c r="O1088" t="s">
        <v>15</v>
      </c>
      <c r="P1088">
        <v>73</v>
      </c>
      <c r="Q1088">
        <v>177</v>
      </c>
      <c r="R1088">
        <v>112</v>
      </c>
      <c r="S1088">
        <v>55</v>
      </c>
      <c r="T1088" t="s">
        <v>48</v>
      </c>
      <c r="U1088">
        <f>IF(Cardiac_Table[[#This Row],[Patient Status at Discharge]]="Died", 1,0)</f>
        <v>0</v>
      </c>
      <c r="V1088">
        <f>Cardiac_Table[[#This Row],[Risk of Death % (Model 1)]]/100</f>
        <v>3.5200000000000002E-2</v>
      </c>
      <c r="W1088">
        <f>Cardiac_Table[[#This Row],[Risk of Death % (Model 2)]]/100</f>
        <v>1.6799999999999999E-2</v>
      </c>
      <c r="X1088" s="18">
        <f>Cardiac_Table[[#This Row],[Procedure Start Date and Time]]-Cardiac_Table[[#This Row],[Hospital Admit Date ]]</f>
        <v>3.0243055555547471</v>
      </c>
    </row>
    <row r="1089" spans="1:24" x14ac:dyDescent="0.35">
      <c r="A1089">
        <v>1099</v>
      </c>
      <c r="B1089" s="9">
        <v>44130.458333333336</v>
      </c>
      <c r="C1089" s="10">
        <f>INT(Cardiac_Table[[#This Row],[Hospital Admit Date ]])</f>
        <v>44130</v>
      </c>
      <c r="D1089" s="11" t="str">
        <f t="shared" si="16"/>
        <v>11:00</v>
      </c>
      <c r="E1089" s="9">
        <v>44131.652777777781</v>
      </c>
      <c r="F1089" s="10">
        <f>INT(Cardiac_Table[[#This Row],[Procedure Start Date and Time]])</f>
        <v>44131</v>
      </c>
      <c r="G1089" s="12">
        <f>MOD(Cardiac_Table[[#This Row],[Procedure Start Date and Time]],1)</f>
        <v>0.65277777778101154</v>
      </c>
      <c r="H1089">
        <v>6</v>
      </c>
      <c r="I1089" t="s">
        <v>4</v>
      </c>
      <c r="J1089" t="s">
        <v>1</v>
      </c>
      <c r="K1089" t="s">
        <v>29</v>
      </c>
      <c r="L1089">
        <v>38</v>
      </c>
      <c r="M1089">
        <v>7.39</v>
      </c>
      <c r="N1089">
        <v>1.29</v>
      </c>
      <c r="O1089" t="s">
        <v>15</v>
      </c>
      <c r="P1089">
        <v>101</v>
      </c>
      <c r="Q1089">
        <v>165</v>
      </c>
      <c r="R1089">
        <v>62</v>
      </c>
      <c r="S1089">
        <v>50</v>
      </c>
      <c r="T1089" t="s">
        <v>50</v>
      </c>
      <c r="U1089">
        <f>IF(Cardiac_Table[[#This Row],[Patient Status at Discharge]]="Died", 1,0)</f>
        <v>0</v>
      </c>
      <c r="V1089">
        <f>Cardiac_Table[[#This Row],[Risk of Death % (Model 1)]]/100</f>
        <v>7.3899999999999993E-2</v>
      </c>
      <c r="W1089">
        <f>Cardiac_Table[[#This Row],[Risk of Death % (Model 2)]]/100</f>
        <v>1.29E-2</v>
      </c>
      <c r="X1089" s="18">
        <f>Cardiac_Table[[#This Row],[Procedure Start Date and Time]]-Cardiac_Table[[#This Row],[Hospital Admit Date ]]</f>
        <v>1.1944444444452529</v>
      </c>
    </row>
    <row r="1090" spans="1:24" x14ac:dyDescent="0.35">
      <c r="A1090">
        <v>1100</v>
      </c>
      <c r="B1090" s="9">
        <v>44131.673611111109</v>
      </c>
      <c r="C1090" s="10">
        <f>INT(Cardiac_Table[[#This Row],[Hospital Admit Date ]])</f>
        <v>44131</v>
      </c>
      <c r="D1090" s="11" t="str">
        <f t="shared" ref="D1090:D1153" si="17">TEXT(B1090,"HH:MM")</f>
        <v>16:10</v>
      </c>
      <c r="E1090" s="9">
        <v>44132.336805555555</v>
      </c>
      <c r="F1090" s="10">
        <f>INT(Cardiac_Table[[#This Row],[Procedure Start Date and Time]])</f>
        <v>44132</v>
      </c>
      <c r="G1090" s="12">
        <f>MOD(Cardiac_Table[[#This Row],[Procedure Start Date and Time]],1)</f>
        <v>0.33680555555474712</v>
      </c>
      <c r="H1090">
        <v>6</v>
      </c>
      <c r="I1090" t="s">
        <v>4</v>
      </c>
      <c r="J1090" t="s">
        <v>3</v>
      </c>
      <c r="K1090" t="s">
        <v>21</v>
      </c>
      <c r="L1090">
        <v>71</v>
      </c>
      <c r="M1090">
        <v>3.29</v>
      </c>
      <c r="N1090">
        <v>1.03</v>
      </c>
      <c r="O1090" t="s">
        <v>15</v>
      </c>
      <c r="P1090">
        <v>124</v>
      </c>
      <c r="Q1090">
        <v>154</v>
      </c>
      <c r="R1090">
        <v>85</v>
      </c>
      <c r="S1090">
        <v>55</v>
      </c>
      <c r="T1090" t="s">
        <v>48</v>
      </c>
      <c r="U1090">
        <f>IF(Cardiac_Table[[#This Row],[Patient Status at Discharge]]="Died", 1,0)</f>
        <v>0</v>
      </c>
      <c r="V1090">
        <f>Cardiac_Table[[#This Row],[Risk of Death % (Model 1)]]/100</f>
        <v>3.2899999999999999E-2</v>
      </c>
      <c r="W1090">
        <f>Cardiac_Table[[#This Row],[Risk of Death % (Model 2)]]/100</f>
        <v>1.03E-2</v>
      </c>
      <c r="X1090" s="18">
        <f>Cardiac_Table[[#This Row],[Procedure Start Date and Time]]-Cardiac_Table[[#This Row],[Hospital Admit Date ]]</f>
        <v>0.66319444444525288</v>
      </c>
    </row>
    <row r="1091" spans="1:24" x14ac:dyDescent="0.35">
      <c r="A1091">
        <v>1101</v>
      </c>
      <c r="B1091" s="9">
        <v>44131.661111111112</v>
      </c>
      <c r="C1091" s="10">
        <f>INT(Cardiac_Table[[#This Row],[Hospital Admit Date ]])</f>
        <v>44131</v>
      </c>
      <c r="D1091" s="11" t="str">
        <f t="shared" si="17"/>
        <v>15:52</v>
      </c>
      <c r="E1091" s="9">
        <v>44132.339583333334</v>
      </c>
      <c r="F1091" s="10">
        <f>INT(Cardiac_Table[[#This Row],[Procedure Start Date and Time]])</f>
        <v>44132</v>
      </c>
      <c r="G1091" s="12">
        <f>MOD(Cardiac_Table[[#This Row],[Procedure Start Date and Time]],1)</f>
        <v>0.33958333333430346</v>
      </c>
      <c r="H1091">
        <v>5</v>
      </c>
      <c r="I1091" t="s">
        <v>4</v>
      </c>
      <c r="J1091" t="s">
        <v>10</v>
      </c>
      <c r="K1091" t="s">
        <v>26</v>
      </c>
      <c r="L1091">
        <v>74</v>
      </c>
      <c r="M1091">
        <v>2.36</v>
      </c>
      <c r="N1091">
        <v>1.1200000000000001</v>
      </c>
      <c r="O1091" t="s">
        <v>15</v>
      </c>
      <c r="P1091">
        <v>109</v>
      </c>
      <c r="Q1091">
        <v>170</v>
      </c>
      <c r="R1091">
        <v>87</v>
      </c>
      <c r="S1091">
        <v>64</v>
      </c>
      <c r="T1091" t="s">
        <v>48</v>
      </c>
      <c r="U1091">
        <f>IF(Cardiac_Table[[#This Row],[Patient Status at Discharge]]="Died", 1,0)</f>
        <v>0</v>
      </c>
      <c r="V1091">
        <f>Cardiac_Table[[#This Row],[Risk of Death % (Model 1)]]/100</f>
        <v>2.3599999999999999E-2</v>
      </c>
      <c r="W1091">
        <f>Cardiac_Table[[#This Row],[Risk of Death % (Model 2)]]/100</f>
        <v>1.1200000000000002E-2</v>
      </c>
      <c r="X1091" s="18">
        <f>Cardiac_Table[[#This Row],[Procedure Start Date and Time]]-Cardiac_Table[[#This Row],[Hospital Admit Date ]]</f>
        <v>0.67847222222189885</v>
      </c>
    </row>
    <row r="1092" spans="1:24" x14ac:dyDescent="0.35">
      <c r="A1092">
        <v>1102</v>
      </c>
      <c r="B1092" s="9">
        <v>44130.442361111112</v>
      </c>
      <c r="C1092" s="10">
        <f>INT(Cardiac_Table[[#This Row],[Hospital Admit Date ]])</f>
        <v>44130</v>
      </c>
      <c r="D1092" s="11" t="str">
        <f t="shared" si="17"/>
        <v>10:37</v>
      </c>
      <c r="E1092" s="9">
        <v>44132.34375</v>
      </c>
      <c r="F1092" s="10">
        <f>INT(Cardiac_Table[[#This Row],[Procedure Start Date and Time]])</f>
        <v>44132</v>
      </c>
      <c r="G1092" s="12">
        <f>MOD(Cardiac_Table[[#This Row],[Procedure Start Date and Time]],1)</f>
        <v>0.34375</v>
      </c>
      <c r="H1092">
        <v>4</v>
      </c>
      <c r="I1092" t="s">
        <v>6</v>
      </c>
      <c r="J1092" t="s">
        <v>10</v>
      </c>
      <c r="K1092" t="s">
        <v>24</v>
      </c>
      <c r="L1092">
        <v>63</v>
      </c>
      <c r="M1092">
        <v>1.59</v>
      </c>
      <c r="N1092">
        <v>1.25</v>
      </c>
      <c r="O1092" t="s">
        <v>15</v>
      </c>
      <c r="P1092">
        <v>71</v>
      </c>
      <c r="Q1092">
        <v>180</v>
      </c>
      <c r="R1092">
        <v>120</v>
      </c>
      <c r="S1092">
        <v>40</v>
      </c>
      <c r="T1092" t="s">
        <v>50</v>
      </c>
      <c r="U1092">
        <f>IF(Cardiac_Table[[#This Row],[Patient Status at Discharge]]="Died", 1,0)</f>
        <v>0</v>
      </c>
      <c r="V1092">
        <f>Cardiac_Table[[#This Row],[Risk of Death % (Model 1)]]/100</f>
        <v>1.5900000000000001E-2</v>
      </c>
      <c r="W1092">
        <f>Cardiac_Table[[#This Row],[Risk of Death % (Model 2)]]/100</f>
        <v>1.2500000000000001E-2</v>
      </c>
      <c r="X1092" s="18">
        <f>Cardiac_Table[[#This Row],[Procedure Start Date and Time]]-Cardiac_Table[[#This Row],[Hospital Admit Date ]]</f>
        <v>1.9013888888875954</v>
      </c>
    </row>
    <row r="1093" spans="1:24" x14ac:dyDescent="0.35">
      <c r="A1093">
        <v>1103</v>
      </c>
      <c r="B1093" s="9">
        <v>44120.711805555555</v>
      </c>
      <c r="C1093" s="10">
        <f>INT(Cardiac_Table[[#This Row],[Hospital Admit Date ]])</f>
        <v>44120</v>
      </c>
      <c r="D1093" s="11" t="str">
        <f t="shared" si="17"/>
        <v>17:05</v>
      </c>
      <c r="E1093" s="9">
        <v>44132.350694444445</v>
      </c>
      <c r="F1093" s="10">
        <f>INT(Cardiac_Table[[#This Row],[Procedure Start Date and Time]])</f>
        <v>44132</v>
      </c>
      <c r="G1093" s="12">
        <f>MOD(Cardiac_Table[[#This Row],[Procedure Start Date and Time]],1)</f>
        <v>0.35069444444525288</v>
      </c>
      <c r="H1093">
        <v>2</v>
      </c>
      <c r="I1093" t="s">
        <v>6</v>
      </c>
      <c r="J1093" t="s">
        <v>11</v>
      </c>
      <c r="K1093" t="s">
        <v>28</v>
      </c>
      <c r="L1093">
        <v>74</v>
      </c>
      <c r="M1093">
        <v>5.46</v>
      </c>
      <c r="N1093">
        <v>8.16</v>
      </c>
      <c r="O1093" t="s">
        <v>15</v>
      </c>
      <c r="P1093">
        <v>89</v>
      </c>
      <c r="Q1093">
        <v>162</v>
      </c>
      <c r="R1093">
        <v>91</v>
      </c>
      <c r="S1093">
        <v>51</v>
      </c>
      <c r="T1093" t="s">
        <v>48</v>
      </c>
      <c r="U1093">
        <f>IF(Cardiac_Table[[#This Row],[Patient Status at Discharge]]="Died", 1,0)</f>
        <v>0</v>
      </c>
      <c r="V1093">
        <f>Cardiac_Table[[#This Row],[Risk of Death % (Model 1)]]/100</f>
        <v>5.4600000000000003E-2</v>
      </c>
      <c r="W1093">
        <f>Cardiac_Table[[#This Row],[Risk of Death % (Model 2)]]/100</f>
        <v>8.1600000000000006E-2</v>
      </c>
      <c r="X1093" s="18">
        <f>Cardiac_Table[[#This Row],[Procedure Start Date and Time]]-Cardiac_Table[[#This Row],[Hospital Admit Date ]]</f>
        <v>11.638888888890506</v>
      </c>
    </row>
    <row r="1094" spans="1:24" x14ac:dyDescent="0.35">
      <c r="A1094">
        <v>1104</v>
      </c>
      <c r="B1094" s="9">
        <v>44132.502083333333</v>
      </c>
      <c r="C1094" s="10">
        <f>INT(Cardiac_Table[[#This Row],[Hospital Admit Date ]])</f>
        <v>44132</v>
      </c>
      <c r="D1094" s="11" t="str">
        <f t="shared" si="17"/>
        <v>12:03</v>
      </c>
      <c r="E1094" s="9">
        <v>44133.340277777781</v>
      </c>
      <c r="F1094" s="10">
        <f>INT(Cardiac_Table[[#This Row],[Procedure Start Date and Time]])</f>
        <v>44133</v>
      </c>
      <c r="G1094" s="12">
        <f>MOD(Cardiac_Table[[#This Row],[Procedure Start Date and Time]],1)</f>
        <v>0.34027777778101154</v>
      </c>
      <c r="H1094">
        <v>2</v>
      </c>
      <c r="I1094" t="s">
        <v>2</v>
      </c>
      <c r="J1094" t="s">
        <v>1</v>
      </c>
      <c r="K1094" t="s">
        <v>31</v>
      </c>
      <c r="L1094">
        <v>30</v>
      </c>
      <c r="M1094">
        <v>32.299999999999997</v>
      </c>
      <c r="N1094">
        <v>8.73</v>
      </c>
      <c r="O1094" t="s">
        <v>15</v>
      </c>
      <c r="P1094">
        <v>81</v>
      </c>
      <c r="Q1094">
        <v>150</v>
      </c>
      <c r="R1094">
        <v>69</v>
      </c>
      <c r="S1094">
        <v>45</v>
      </c>
      <c r="T1094" t="s">
        <v>50</v>
      </c>
      <c r="U1094">
        <f>IF(Cardiac_Table[[#This Row],[Patient Status at Discharge]]="Died", 1,0)</f>
        <v>0</v>
      </c>
      <c r="V1094">
        <f>Cardiac_Table[[#This Row],[Risk of Death % (Model 1)]]/100</f>
        <v>0.32299999999999995</v>
      </c>
      <c r="W1094">
        <f>Cardiac_Table[[#This Row],[Risk of Death % (Model 2)]]/100</f>
        <v>8.7300000000000003E-2</v>
      </c>
      <c r="X1094" s="18">
        <f>Cardiac_Table[[#This Row],[Procedure Start Date and Time]]-Cardiac_Table[[#This Row],[Hospital Admit Date ]]</f>
        <v>0.83819444444816327</v>
      </c>
    </row>
    <row r="1095" spans="1:24" x14ac:dyDescent="0.35">
      <c r="A1095">
        <v>1105</v>
      </c>
      <c r="B1095" s="9">
        <v>44132.5625</v>
      </c>
      <c r="C1095" s="10">
        <f>INT(Cardiac_Table[[#This Row],[Hospital Admit Date ]])</f>
        <v>44132</v>
      </c>
      <c r="D1095" s="11" t="str">
        <f t="shared" si="17"/>
        <v>13:30</v>
      </c>
      <c r="E1095" s="9">
        <v>44133.341666666667</v>
      </c>
      <c r="F1095" s="10">
        <f>INT(Cardiac_Table[[#This Row],[Procedure Start Date and Time]])</f>
        <v>44133</v>
      </c>
      <c r="G1095" s="12">
        <f>MOD(Cardiac_Table[[#This Row],[Procedure Start Date and Time]],1)</f>
        <v>0.34166666666715173</v>
      </c>
      <c r="H1095">
        <v>5</v>
      </c>
      <c r="I1095" t="s">
        <v>4</v>
      </c>
      <c r="J1095" t="s">
        <v>10</v>
      </c>
      <c r="K1095" t="s">
        <v>21</v>
      </c>
      <c r="L1095">
        <v>78</v>
      </c>
      <c r="M1095">
        <v>3.06</v>
      </c>
      <c r="N1095">
        <v>1.1200000000000001</v>
      </c>
      <c r="O1095" t="s">
        <v>15</v>
      </c>
      <c r="P1095">
        <v>138</v>
      </c>
      <c r="Q1095">
        <v>176</v>
      </c>
      <c r="R1095">
        <v>85</v>
      </c>
      <c r="S1095">
        <v>55</v>
      </c>
      <c r="T1095" t="s">
        <v>48</v>
      </c>
      <c r="U1095">
        <f>IF(Cardiac_Table[[#This Row],[Patient Status at Discharge]]="Died", 1,0)</f>
        <v>0</v>
      </c>
      <c r="V1095">
        <f>Cardiac_Table[[#This Row],[Risk of Death % (Model 1)]]/100</f>
        <v>3.0600000000000002E-2</v>
      </c>
      <c r="W1095">
        <f>Cardiac_Table[[#This Row],[Risk of Death % (Model 2)]]/100</f>
        <v>1.1200000000000002E-2</v>
      </c>
      <c r="X1095" s="18">
        <f>Cardiac_Table[[#This Row],[Procedure Start Date and Time]]-Cardiac_Table[[#This Row],[Hospital Admit Date ]]</f>
        <v>0.77916666666715173</v>
      </c>
    </row>
    <row r="1096" spans="1:24" x14ac:dyDescent="0.35">
      <c r="A1096">
        <v>1106</v>
      </c>
      <c r="B1096" s="9">
        <v>44131.780555555553</v>
      </c>
      <c r="C1096" s="10">
        <f>INT(Cardiac_Table[[#This Row],[Hospital Admit Date ]])</f>
        <v>44131</v>
      </c>
      <c r="D1096" s="11" t="str">
        <f t="shared" si="17"/>
        <v>18:44</v>
      </c>
      <c r="E1096" s="9">
        <v>44133.347222222219</v>
      </c>
      <c r="F1096" s="10">
        <f>INT(Cardiac_Table[[#This Row],[Procedure Start Date and Time]])</f>
        <v>44133</v>
      </c>
      <c r="G1096" s="12">
        <f>MOD(Cardiac_Table[[#This Row],[Procedure Start Date and Time]],1)</f>
        <v>0.34722222221898846</v>
      </c>
      <c r="H1096">
        <v>4</v>
      </c>
      <c r="I1096" t="s">
        <v>6</v>
      </c>
      <c r="J1096" t="s">
        <v>10</v>
      </c>
      <c r="K1096" t="s">
        <v>27</v>
      </c>
      <c r="L1096">
        <v>59</v>
      </c>
      <c r="M1096">
        <v>1.51</v>
      </c>
      <c r="N1096">
        <v>0.89</v>
      </c>
      <c r="O1096" t="s">
        <v>15</v>
      </c>
      <c r="P1096">
        <v>67</v>
      </c>
      <c r="Q1096">
        <v>158</v>
      </c>
      <c r="R1096">
        <v>77</v>
      </c>
      <c r="S1096">
        <v>60</v>
      </c>
      <c r="T1096" t="s">
        <v>48</v>
      </c>
      <c r="U1096">
        <f>IF(Cardiac_Table[[#This Row],[Patient Status at Discharge]]="Died", 1,0)</f>
        <v>0</v>
      </c>
      <c r="V1096">
        <f>Cardiac_Table[[#This Row],[Risk of Death % (Model 1)]]/100</f>
        <v>1.5100000000000001E-2</v>
      </c>
      <c r="W1096">
        <f>Cardiac_Table[[#This Row],[Risk of Death % (Model 2)]]/100</f>
        <v>8.8999999999999999E-3</v>
      </c>
      <c r="X1096" s="18">
        <f>Cardiac_Table[[#This Row],[Procedure Start Date and Time]]-Cardiac_Table[[#This Row],[Hospital Admit Date ]]</f>
        <v>1.5666666666656965</v>
      </c>
    </row>
    <row r="1097" spans="1:24" x14ac:dyDescent="0.35">
      <c r="A1097">
        <v>1107</v>
      </c>
      <c r="B1097" s="9">
        <v>44132.438888888886</v>
      </c>
      <c r="C1097" s="10">
        <f>INT(Cardiac_Table[[#This Row],[Hospital Admit Date ]])</f>
        <v>44132</v>
      </c>
      <c r="D1097" s="11" t="str">
        <f t="shared" si="17"/>
        <v>10:32</v>
      </c>
      <c r="E1097" s="9">
        <v>44133.4</v>
      </c>
      <c r="F1097" s="10">
        <f>INT(Cardiac_Table[[#This Row],[Procedure Start Date and Time]])</f>
        <v>44133</v>
      </c>
      <c r="G1097" s="12">
        <f>MOD(Cardiac_Table[[#This Row],[Procedure Start Date and Time]],1)</f>
        <v>0.40000000000145519</v>
      </c>
      <c r="H1097">
        <v>3</v>
      </c>
      <c r="I1097" t="s">
        <v>4</v>
      </c>
      <c r="J1097" t="s">
        <v>11</v>
      </c>
      <c r="K1097" t="s">
        <v>24</v>
      </c>
      <c r="L1097">
        <v>76</v>
      </c>
      <c r="M1097">
        <v>6.19</v>
      </c>
      <c r="N1097">
        <v>3.02</v>
      </c>
      <c r="O1097" t="s">
        <v>15</v>
      </c>
      <c r="P1097">
        <v>83</v>
      </c>
      <c r="Q1097">
        <v>169</v>
      </c>
      <c r="R1097">
        <v>75</v>
      </c>
      <c r="S1097">
        <v>61</v>
      </c>
      <c r="T1097" t="s">
        <v>48</v>
      </c>
      <c r="U1097">
        <f>IF(Cardiac_Table[[#This Row],[Patient Status at Discharge]]="Died", 1,0)</f>
        <v>0</v>
      </c>
      <c r="V1097">
        <f>Cardiac_Table[[#This Row],[Risk of Death % (Model 1)]]/100</f>
        <v>6.1900000000000004E-2</v>
      </c>
      <c r="W1097">
        <f>Cardiac_Table[[#This Row],[Risk of Death % (Model 2)]]/100</f>
        <v>3.0200000000000001E-2</v>
      </c>
      <c r="X1097" s="18">
        <f>Cardiac_Table[[#This Row],[Procedure Start Date and Time]]-Cardiac_Table[[#This Row],[Hospital Admit Date ]]</f>
        <v>0.961111111115315</v>
      </c>
    </row>
    <row r="1098" spans="1:24" x14ac:dyDescent="0.35">
      <c r="A1098">
        <v>1108</v>
      </c>
      <c r="B1098" s="9">
        <v>44133.299305555556</v>
      </c>
      <c r="C1098" s="10">
        <f>INT(Cardiac_Table[[#This Row],[Hospital Admit Date ]])</f>
        <v>44133</v>
      </c>
      <c r="D1098" s="11" t="str">
        <f t="shared" si="17"/>
        <v>07:11</v>
      </c>
      <c r="E1098" s="9">
        <v>44133.587500000001</v>
      </c>
      <c r="F1098" s="10">
        <f>INT(Cardiac_Table[[#This Row],[Procedure Start Date and Time]])</f>
        <v>44133</v>
      </c>
      <c r="G1098" s="12">
        <f>MOD(Cardiac_Table[[#This Row],[Procedure Start Date and Time]],1)</f>
        <v>0.58750000000145519</v>
      </c>
      <c r="H1098">
        <v>5</v>
      </c>
      <c r="I1098" t="s">
        <v>4</v>
      </c>
      <c r="J1098" t="s">
        <v>11</v>
      </c>
      <c r="K1098" t="s">
        <v>31</v>
      </c>
      <c r="L1098">
        <v>72</v>
      </c>
      <c r="M1098">
        <v>5.24</v>
      </c>
      <c r="N1098">
        <v>1.84</v>
      </c>
      <c r="O1098" t="s">
        <v>15</v>
      </c>
      <c r="P1098">
        <v>113</v>
      </c>
      <c r="Q1098">
        <v>172</v>
      </c>
      <c r="R1098">
        <v>75</v>
      </c>
      <c r="S1098">
        <v>55</v>
      </c>
      <c r="T1098" t="s">
        <v>48</v>
      </c>
      <c r="U1098">
        <f>IF(Cardiac_Table[[#This Row],[Patient Status at Discharge]]="Died", 1,0)</f>
        <v>0</v>
      </c>
      <c r="V1098">
        <f>Cardiac_Table[[#This Row],[Risk of Death % (Model 1)]]/100</f>
        <v>5.2400000000000002E-2</v>
      </c>
      <c r="W1098">
        <f>Cardiac_Table[[#This Row],[Risk of Death % (Model 2)]]/100</f>
        <v>1.84E-2</v>
      </c>
      <c r="X1098" s="18">
        <f>Cardiac_Table[[#This Row],[Procedure Start Date and Time]]-Cardiac_Table[[#This Row],[Hospital Admit Date ]]</f>
        <v>0.28819444444525288</v>
      </c>
    </row>
    <row r="1099" spans="1:24" x14ac:dyDescent="0.35">
      <c r="A1099">
        <v>1109</v>
      </c>
      <c r="B1099" s="9">
        <v>44129.375</v>
      </c>
      <c r="C1099" s="10">
        <f>INT(Cardiac_Table[[#This Row],[Hospital Admit Date ]])</f>
        <v>44129</v>
      </c>
      <c r="D1099" s="11" t="str">
        <f t="shared" si="17"/>
        <v>09:00</v>
      </c>
      <c r="E1099" s="9">
        <v>44134.333333333336</v>
      </c>
      <c r="F1099" s="10">
        <f>INT(Cardiac_Table[[#This Row],[Procedure Start Date and Time]])</f>
        <v>44134</v>
      </c>
      <c r="G1099" s="12">
        <f>MOD(Cardiac_Table[[#This Row],[Procedure Start Date and Time]],1)</f>
        <v>0.33333333333575865</v>
      </c>
      <c r="H1099">
        <v>5</v>
      </c>
      <c r="I1099" t="s">
        <v>6</v>
      </c>
      <c r="J1099" t="s">
        <v>10</v>
      </c>
      <c r="K1099" t="s">
        <v>27</v>
      </c>
      <c r="L1099">
        <v>80</v>
      </c>
      <c r="M1099">
        <v>5.57</v>
      </c>
      <c r="N1099">
        <v>2.1800000000000002</v>
      </c>
      <c r="O1099" t="s">
        <v>15</v>
      </c>
      <c r="P1099">
        <v>77</v>
      </c>
      <c r="Q1099">
        <v>179</v>
      </c>
      <c r="R1099">
        <v>85</v>
      </c>
      <c r="S1099">
        <v>55</v>
      </c>
      <c r="T1099" t="s">
        <v>48</v>
      </c>
      <c r="U1099">
        <f>IF(Cardiac_Table[[#This Row],[Patient Status at Discharge]]="Died", 1,0)</f>
        <v>0</v>
      </c>
      <c r="V1099">
        <f>Cardiac_Table[[#This Row],[Risk of Death % (Model 1)]]/100</f>
        <v>5.57E-2</v>
      </c>
      <c r="W1099">
        <f>Cardiac_Table[[#This Row],[Risk of Death % (Model 2)]]/100</f>
        <v>2.18E-2</v>
      </c>
      <c r="X1099" s="18">
        <f>Cardiac_Table[[#This Row],[Procedure Start Date and Time]]-Cardiac_Table[[#This Row],[Hospital Admit Date ]]</f>
        <v>4.9583333333357587</v>
      </c>
    </row>
    <row r="1100" spans="1:24" x14ac:dyDescent="0.35">
      <c r="A1100">
        <v>1110</v>
      </c>
      <c r="B1100" s="9">
        <v>44133.665972222225</v>
      </c>
      <c r="C1100" s="10">
        <f>INT(Cardiac_Table[[#This Row],[Hospital Admit Date ]])</f>
        <v>44133</v>
      </c>
      <c r="D1100" s="11" t="str">
        <f t="shared" si="17"/>
        <v>15:59</v>
      </c>
      <c r="E1100" s="9">
        <v>44134.34097222222</v>
      </c>
      <c r="F1100" s="10">
        <f>INT(Cardiac_Table[[#This Row],[Procedure Start Date and Time]])</f>
        <v>44134</v>
      </c>
      <c r="G1100" s="12">
        <f>MOD(Cardiac_Table[[#This Row],[Procedure Start Date and Time]],1)</f>
        <v>0.34097222222044365</v>
      </c>
      <c r="H1100">
        <v>4</v>
      </c>
      <c r="I1100" t="s">
        <v>4</v>
      </c>
      <c r="J1100" t="s">
        <v>3</v>
      </c>
      <c r="K1100" t="s">
        <v>24</v>
      </c>
      <c r="L1100">
        <v>78</v>
      </c>
      <c r="M1100">
        <v>7.01</v>
      </c>
      <c r="N1100">
        <v>1.56</v>
      </c>
      <c r="O1100" t="s">
        <v>15</v>
      </c>
      <c r="P1100">
        <v>105</v>
      </c>
      <c r="Q1100">
        <v>161</v>
      </c>
      <c r="R1100">
        <v>54</v>
      </c>
      <c r="S1100">
        <v>60</v>
      </c>
      <c r="T1100" t="s">
        <v>48</v>
      </c>
      <c r="U1100">
        <f>IF(Cardiac_Table[[#This Row],[Patient Status at Discharge]]="Died", 1,0)</f>
        <v>0</v>
      </c>
      <c r="V1100">
        <f>Cardiac_Table[[#This Row],[Risk of Death % (Model 1)]]/100</f>
        <v>7.0099999999999996E-2</v>
      </c>
      <c r="W1100">
        <f>Cardiac_Table[[#This Row],[Risk of Death % (Model 2)]]/100</f>
        <v>1.5600000000000001E-2</v>
      </c>
      <c r="X1100" s="18">
        <f>Cardiac_Table[[#This Row],[Procedure Start Date and Time]]-Cardiac_Table[[#This Row],[Hospital Admit Date ]]</f>
        <v>0.67499999999563443</v>
      </c>
    </row>
    <row r="1101" spans="1:24" x14ac:dyDescent="0.35">
      <c r="A1101">
        <v>1111</v>
      </c>
      <c r="B1101" s="9">
        <v>44132.772916666669</v>
      </c>
      <c r="C1101" s="10">
        <f>INT(Cardiac_Table[[#This Row],[Hospital Admit Date ]])</f>
        <v>44132</v>
      </c>
      <c r="D1101" s="11" t="str">
        <f t="shared" si="17"/>
        <v>18:33</v>
      </c>
      <c r="E1101" s="9">
        <v>44134.347222222219</v>
      </c>
      <c r="F1101" s="10">
        <f>INT(Cardiac_Table[[#This Row],[Procedure Start Date and Time]])</f>
        <v>44134</v>
      </c>
      <c r="G1101" s="12">
        <f>MOD(Cardiac_Table[[#This Row],[Procedure Start Date and Time]],1)</f>
        <v>0.34722222221898846</v>
      </c>
      <c r="H1101">
        <v>3</v>
      </c>
      <c r="I1101" t="s">
        <v>6</v>
      </c>
      <c r="J1101" t="s">
        <v>3</v>
      </c>
      <c r="K1101" t="s">
        <v>30</v>
      </c>
      <c r="L1101">
        <v>30</v>
      </c>
      <c r="M1101">
        <v>16</v>
      </c>
      <c r="N1101">
        <v>6.76</v>
      </c>
      <c r="O1101" t="s">
        <v>15</v>
      </c>
      <c r="P1101">
        <v>132</v>
      </c>
      <c r="Q1101">
        <v>175</v>
      </c>
      <c r="R1101">
        <v>86</v>
      </c>
      <c r="S1101">
        <v>48</v>
      </c>
      <c r="T1101" t="s">
        <v>50</v>
      </c>
      <c r="U1101">
        <f>IF(Cardiac_Table[[#This Row],[Patient Status at Discharge]]="Died", 1,0)</f>
        <v>0</v>
      </c>
      <c r="V1101">
        <f>Cardiac_Table[[#This Row],[Risk of Death % (Model 1)]]/100</f>
        <v>0.16</v>
      </c>
      <c r="W1101">
        <f>Cardiac_Table[[#This Row],[Risk of Death % (Model 2)]]/100</f>
        <v>6.7599999999999993E-2</v>
      </c>
      <c r="X1101" s="18">
        <f>Cardiac_Table[[#This Row],[Procedure Start Date and Time]]-Cardiac_Table[[#This Row],[Hospital Admit Date ]]</f>
        <v>1.5743055555503815</v>
      </c>
    </row>
    <row r="1102" spans="1:24" x14ac:dyDescent="0.35">
      <c r="A1102">
        <v>1112</v>
      </c>
      <c r="B1102" s="9">
        <v>44124.446527777778</v>
      </c>
      <c r="C1102" s="10">
        <f>INT(Cardiac_Table[[#This Row],[Hospital Admit Date ]])</f>
        <v>44124</v>
      </c>
      <c r="D1102" s="11" t="str">
        <f t="shared" si="17"/>
        <v>10:43</v>
      </c>
      <c r="E1102" s="9">
        <v>44134.347222222219</v>
      </c>
      <c r="F1102" s="10">
        <f>INT(Cardiac_Table[[#This Row],[Procedure Start Date and Time]])</f>
        <v>44134</v>
      </c>
      <c r="G1102" s="12">
        <f>MOD(Cardiac_Table[[#This Row],[Procedure Start Date and Time]],1)</f>
        <v>0.34722222221898846</v>
      </c>
      <c r="H1102">
        <v>2</v>
      </c>
      <c r="I1102" t="s">
        <v>6</v>
      </c>
      <c r="J1102" t="s">
        <v>10</v>
      </c>
      <c r="K1102" t="s">
        <v>31</v>
      </c>
      <c r="L1102">
        <v>64</v>
      </c>
      <c r="M1102">
        <v>13.66</v>
      </c>
      <c r="N1102">
        <v>7.06</v>
      </c>
      <c r="O1102" t="s">
        <v>15</v>
      </c>
      <c r="P1102">
        <v>118</v>
      </c>
      <c r="Q1102">
        <v>170</v>
      </c>
      <c r="R1102">
        <v>103</v>
      </c>
      <c r="S1102">
        <v>39</v>
      </c>
      <c r="T1102" t="s">
        <v>50</v>
      </c>
      <c r="U1102">
        <f>IF(Cardiac_Table[[#This Row],[Patient Status at Discharge]]="Died", 1,0)</f>
        <v>0</v>
      </c>
      <c r="V1102">
        <f>Cardiac_Table[[#This Row],[Risk of Death % (Model 1)]]/100</f>
        <v>0.1366</v>
      </c>
      <c r="W1102">
        <f>Cardiac_Table[[#This Row],[Risk of Death % (Model 2)]]/100</f>
        <v>7.0599999999999996E-2</v>
      </c>
      <c r="X1102" s="18">
        <f>Cardiac_Table[[#This Row],[Procedure Start Date and Time]]-Cardiac_Table[[#This Row],[Hospital Admit Date ]]</f>
        <v>9.9006944444408873</v>
      </c>
    </row>
    <row r="1103" spans="1:24" x14ac:dyDescent="0.35">
      <c r="A1103">
        <v>1113</v>
      </c>
      <c r="B1103" s="9">
        <v>44134.291666666664</v>
      </c>
      <c r="C1103" s="10">
        <f>INT(Cardiac_Table[[#This Row],[Hospital Admit Date ]])</f>
        <v>44134</v>
      </c>
      <c r="D1103" s="11" t="str">
        <f t="shared" si="17"/>
        <v>07:00</v>
      </c>
      <c r="E1103" s="9">
        <v>44134.559027777781</v>
      </c>
      <c r="F1103" s="10">
        <f>INT(Cardiac_Table[[#This Row],[Procedure Start Date and Time]])</f>
        <v>44134</v>
      </c>
      <c r="G1103" s="12">
        <f>MOD(Cardiac_Table[[#This Row],[Procedure Start Date and Time]],1)</f>
        <v>0.55902777778101154</v>
      </c>
      <c r="H1103">
        <v>5</v>
      </c>
      <c r="I1103" t="s">
        <v>4</v>
      </c>
      <c r="J1103" t="s">
        <v>10</v>
      </c>
      <c r="K1103" t="s">
        <v>21</v>
      </c>
      <c r="L1103">
        <v>79</v>
      </c>
      <c r="M1103">
        <v>4.87</v>
      </c>
      <c r="N1103">
        <v>1.76</v>
      </c>
      <c r="O1103" t="s">
        <v>15</v>
      </c>
      <c r="P1103">
        <v>138</v>
      </c>
      <c r="Q1103">
        <v>168</v>
      </c>
      <c r="R1103">
        <v>68</v>
      </c>
      <c r="S1103">
        <v>60</v>
      </c>
      <c r="T1103" t="s">
        <v>48</v>
      </c>
      <c r="U1103">
        <f>IF(Cardiac_Table[[#This Row],[Patient Status at Discharge]]="Died", 1,0)</f>
        <v>0</v>
      </c>
      <c r="V1103">
        <f>Cardiac_Table[[#This Row],[Risk of Death % (Model 1)]]/100</f>
        <v>4.87E-2</v>
      </c>
      <c r="W1103">
        <f>Cardiac_Table[[#This Row],[Risk of Death % (Model 2)]]/100</f>
        <v>1.7600000000000001E-2</v>
      </c>
      <c r="X1103" s="18">
        <f>Cardiac_Table[[#This Row],[Procedure Start Date and Time]]-Cardiac_Table[[#This Row],[Hospital Admit Date ]]</f>
        <v>0.26736111111677019</v>
      </c>
    </row>
    <row r="1104" spans="1:24" x14ac:dyDescent="0.35">
      <c r="A1104">
        <v>1114</v>
      </c>
      <c r="B1104" s="9">
        <v>44133.661805555559</v>
      </c>
      <c r="C1104" s="10">
        <f>INT(Cardiac_Table[[#This Row],[Hospital Admit Date ]])</f>
        <v>44133</v>
      </c>
      <c r="D1104" s="11" t="str">
        <f t="shared" si="17"/>
        <v>15:53</v>
      </c>
      <c r="E1104" s="9">
        <v>44134.578472222223</v>
      </c>
      <c r="F1104" s="10">
        <f>INT(Cardiac_Table[[#This Row],[Procedure Start Date and Time]])</f>
        <v>44134</v>
      </c>
      <c r="G1104" s="12">
        <f>MOD(Cardiac_Table[[#This Row],[Procedure Start Date and Time]],1)</f>
        <v>0.57847222222335404</v>
      </c>
      <c r="H1104">
        <v>2</v>
      </c>
      <c r="I1104" t="s">
        <v>4</v>
      </c>
      <c r="J1104" t="s">
        <v>10</v>
      </c>
      <c r="K1104" t="s">
        <v>31</v>
      </c>
      <c r="L1104">
        <v>61</v>
      </c>
      <c r="M1104">
        <v>1.01</v>
      </c>
      <c r="N1104">
        <v>0.52</v>
      </c>
      <c r="O1104" t="s">
        <v>15</v>
      </c>
      <c r="P1104">
        <v>83</v>
      </c>
      <c r="Q1104">
        <v>182</v>
      </c>
      <c r="R1104">
        <v>75</v>
      </c>
      <c r="S1104">
        <v>26</v>
      </c>
      <c r="T1104" t="s">
        <v>49</v>
      </c>
      <c r="U1104">
        <f>IF(Cardiac_Table[[#This Row],[Patient Status at Discharge]]="Died", 1,0)</f>
        <v>0</v>
      </c>
      <c r="V1104">
        <f>Cardiac_Table[[#This Row],[Risk of Death % (Model 1)]]/100</f>
        <v>1.01E-2</v>
      </c>
      <c r="W1104">
        <f>Cardiac_Table[[#This Row],[Risk of Death % (Model 2)]]/100</f>
        <v>5.1999999999999998E-3</v>
      </c>
      <c r="X1104" s="18">
        <f>Cardiac_Table[[#This Row],[Procedure Start Date and Time]]-Cardiac_Table[[#This Row],[Hospital Admit Date ]]</f>
        <v>0.91666666666424135</v>
      </c>
    </row>
    <row r="1105" spans="1:24" x14ac:dyDescent="0.35">
      <c r="A1105">
        <v>1115</v>
      </c>
      <c r="B1105" s="9">
        <v>44134.811111111114</v>
      </c>
      <c r="C1105" s="10">
        <f>INT(Cardiac_Table[[#This Row],[Hospital Admit Date ]])</f>
        <v>44134</v>
      </c>
      <c r="D1105" s="11" t="str">
        <f t="shared" si="17"/>
        <v>19:28</v>
      </c>
      <c r="E1105" s="9">
        <v>44134.861111111109</v>
      </c>
      <c r="F1105" s="10">
        <f>INT(Cardiac_Table[[#This Row],[Procedure Start Date and Time]])</f>
        <v>44134</v>
      </c>
      <c r="G1105" s="12">
        <f>MOD(Cardiac_Table[[#This Row],[Procedure Start Date and Time]],1)</f>
        <v>0.86111111110949423</v>
      </c>
      <c r="H1105">
        <v>4</v>
      </c>
      <c r="I1105" t="s">
        <v>2</v>
      </c>
      <c r="J1105" t="s">
        <v>1</v>
      </c>
      <c r="K1105" t="s">
        <v>31</v>
      </c>
      <c r="L1105">
        <v>44</v>
      </c>
      <c r="M1105">
        <v>9.0399999999999991</v>
      </c>
      <c r="N1105">
        <v>2.65</v>
      </c>
      <c r="O1105" t="s">
        <v>15</v>
      </c>
      <c r="P1105">
        <v>100</v>
      </c>
      <c r="Q1105">
        <v>175</v>
      </c>
      <c r="R1105">
        <v>87</v>
      </c>
      <c r="S1105">
        <v>55</v>
      </c>
      <c r="T1105" t="s">
        <v>48</v>
      </c>
      <c r="U1105">
        <f>IF(Cardiac_Table[[#This Row],[Patient Status at Discharge]]="Died", 1,0)</f>
        <v>0</v>
      </c>
      <c r="V1105">
        <f>Cardiac_Table[[#This Row],[Risk of Death % (Model 1)]]/100</f>
        <v>9.0399999999999994E-2</v>
      </c>
      <c r="W1105">
        <f>Cardiac_Table[[#This Row],[Risk of Death % (Model 2)]]/100</f>
        <v>2.6499999999999999E-2</v>
      </c>
      <c r="X1105" s="18">
        <f>Cardiac_Table[[#This Row],[Procedure Start Date and Time]]-Cardiac_Table[[#This Row],[Hospital Admit Date ]]</f>
        <v>4.9999999995634425E-2</v>
      </c>
    </row>
    <row r="1106" spans="1:24" x14ac:dyDescent="0.35">
      <c r="A1106">
        <v>1116</v>
      </c>
      <c r="B1106" s="9">
        <v>44134.619444444441</v>
      </c>
      <c r="C1106" s="10">
        <f>INT(Cardiac_Table[[#This Row],[Hospital Admit Date ]])</f>
        <v>44134</v>
      </c>
      <c r="D1106" s="11" t="str">
        <f t="shared" si="17"/>
        <v>14:52</v>
      </c>
      <c r="E1106" s="9">
        <v>44135.34097222222</v>
      </c>
      <c r="F1106" s="10">
        <f>INT(Cardiac_Table[[#This Row],[Procedure Start Date and Time]])</f>
        <v>44135</v>
      </c>
      <c r="G1106" s="12">
        <f>MOD(Cardiac_Table[[#This Row],[Procedure Start Date and Time]],1)</f>
        <v>0.34097222222044365</v>
      </c>
      <c r="H1106">
        <v>4</v>
      </c>
      <c r="I1106" t="s">
        <v>4</v>
      </c>
      <c r="J1106" t="s">
        <v>10</v>
      </c>
      <c r="K1106" t="s">
        <v>33</v>
      </c>
      <c r="L1106">
        <v>56</v>
      </c>
      <c r="M1106">
        <v>1.33</v>
      </c>
      <c r="N1106">
        <v>1.08</v>
      </c>
      <c r="O1106" t="s">
        <v>15</v>
      </c>
      <c r="P1106">
        <v>81</v>
      </c>
      <c r="Q1106">
        <v>175</v>
      </c>
      <c r="R1106">
        <v>57</v>
      </c>
      <c r="S1106">
        <v>55</v>
      </c>
      <c r="T1106" t="s">
        <v>48</v>
      </c>
      <c r="U1106">
        <f>IF(Cardiac_Table[[#This Row],[Patient Status at Discharge]]="Died", 1,0)</f>
        <v>0</v>
      </c>
      <c r="V1106">
        <f>Cardiac_Table[[#This Row],[Risk of Death % (Model 1)]]/100</f>
        <v>1.3300000000000001E-2</v>
      </c>
      <c r="W1106">
        <f>Cardiac_Table[[#This Row],[Risk of Death % (Model 2)]]/100</f>
        <v>1.0800000000000001E-2</v>
      </c>
      <c r="X1106" s="18">
        <f>Cardiac_Table[[#This Row],[Procedure Start Date and Time]]-Cardiac_Table[[#This Row],[Hospital Admit Date ]]</f>
        <v>0.72152777777955635</v>
      </c>
    </row>
    <row r="1107" spans="1:24" x14ac:dyDescent="0.35">
      <c r="A1107">
        <v>1117</v>
      </c>
      <c r="B1107" s="9">
        <v>44134.672222222223</v>
      </c>
      <c r="C1107" s="10">
        <f>INT(Cardiac_Table[[#This Row],[Hospital Admit Date ]])</f>
        <v>44134</v>
      </c>
      <c r="D1107" s="11" t="str">
        <f t="shared" si="17"/>
        <v>16:08</v>
      </c>
      <c r="E1107" s="9">
        <v>44135.347916666666</v>
      </c>
      <c r="F1107" s="10">
        <f>INT(Cardiac_Table[[#This Row],[Procedure Start Date and Time]])</f>
        <v>44135</v>
      </c>
      <c r="G1107" s="12">
        <f>MOD(Cardiac_Table[[#This Row],[Procedure Start Date and Time]],1)</f>
        <v>0.34791666666569654</v>
      </c>
      <c r="H1107">
        <v>5</v>
      </c>
      <c r="I1107" t="s">
        <v>4</v>
      </c>
      <c r="J1107" t="s">
        <v>3</v>
      </c>
      <c r="K1107" t="s">
        <v>35</v>
      </c>
      <c r="L1107">
        <v>49</v>
      </c>
      <c r="M1107">
        <v>1.51</v>
      </c>
      <c r="N1107">
        <v>0.5</v>
      </c>
      <c r="O1107" t="s">
        <v>15</v>
      </c>
      <c r="P1107">
        <v>98</v>
      </c>
      <c r="Q1107">
        <v>167</v>
      </c>
      <c r="R1107">
        <v>74</v>
      </c>
      <c r="S1107">
        <v>50</v>
      </c>
      <c r="T1107" t="s">
        <v>50</v>
      </c>
      <c r="U1107">
        <f>IF(Cardiac_Table[[#This Row],[Patient Status at Discharge]]="Died", 1,0)</f>
        <v>0</v>
      </c>
      <c r="V1107">
        <f>Cardiac_Table[[#This Row],[Risk of Death % (Model 1)]]/100</f>
        <v>1.5100000000000001E-2</v>
      </c>
      <c r="W1107">
        <f>Cardiac_Table[[#This Row],[Risk of Death % (Model 2)]]/100</f>
        <v>5.0000000000000001E-3</v>
      </c>
      <c r="X1107" s="18">
        <f>Cardiac_Table[[#This Row],[Procedure Start Date and Time]]-Cardiac_Table[[#This Row],[Hospital Admit Date ]]</f>
        <v>0.6756944444423425</v>
      </c>
    </row>
    <row r="1108" spans="1:24" x14ac:dyDescent="0.35">
      <c r="A1108">
        <v>1118</v>
      </c>
      <c r="B1108" s="9">
        <v>44134.60833333333</v>
      </c>
      <c r="C1108" s="10">
        <f>INT(Cardiac_Table[[#This Row],[Hospital Admit Date ]])</f>
        <v>44134</v>
      </c>
      <c r="D1108" s="11" t="str">
        <f t="shared" si="17"/>
        <v>14:36</v>
      </c>
      <c r="E1108" s="9">
        <v>44135.519444444442</v>
      </c>
      <c r="F1108" s="10">
        <f>INT(Cardiac_Table[[#This Row],[Procedure Start Date and Time]])</f>
        <v>44135</v>
      </c>
      <c r="G1108" s="12">
        <f>MOD(Cardiac_Table[[#This Row],[Procedure Start Date and Time]],1)</f>
        <v>0.5194444444423425</v>
      </c>
      <c r="H1108">
        <v>5</v>
      </c>
      <c r="I1108" t="s">
        <v>4</v>
      </c>
      <c r="J1108" t="s">
        <v>10</v>
      </c>
      <c r="K1108" t="s">
        <v>35</v>
      </c>
      <c r="L1108">
        <v>61</v>
      </c>
      <c r="M1108">
        <v>1.01</v>
      </c>
      <c r="N1108">
        <v>0.56999999999999995</v>
      </c>
      <c r="O1108" t="s">
        <v>15</v>
      </c>
      <c r="P1108">
        <v>96</v>
      </c>
      <c r="Q1108">
        <v>168</v>
      </c>
      <c r="R1108">
        <v>62</v>
      </c>
      <c r="S1108">
        <v>45</v>
      </c>
      <c r="T1108" t="s">
        <v>50</v>
      </c>
      <c r="U1108">
        <f>IF(Cardiac_Table[[#This Row],[Patient Status at Discharge]]="Died", 1,0)</f>
        <v>0</v>
      </c>
      <c r="V1108">
        <f>Cardiac_Table[[#This Row],[Risk of Death % (Model 1)]]/100</f>
        <v>1.01E-2</v>
      </c>
      <c r="W1108">
        <f>Cardiac_Table[[#This Row],[Risk of Death % (Model 2)]]/100</f>
        <v>5.6999999999999993E-3</v>
      </c>
      <c r="X1108" s="18">
        <f>Cardiac_Table[[#This Row],[Procedure Start Date and Time]]-Cardiac_Table[[#This Row],[Hospital Admit Date ]]</f>
        <v>0.91111111111240461</v>
      </c>
    </row>
    <row r="1109" spans="1:24" x14ac:dyDescent="0.35">
      <c r="A1109">
        <v>1119</v>
      </c>
      <c r="B1109" s="9">
        <v>44134.572222222225</v>
      </c>
      <c r="C1109" s="10">
        <f>INT(Cardiac_Table[[#This Row],[Hospital Admit Date ]])</f>
        <v>44134</v>
      </c>
      <c r="D1109" s="11" t="str">
        <f t="shared" si="17"/>
        <v>13:44</v>
      </c>
      <c r="E1109" s="9">
        <v>44135.572916666664</v>
      </c>
      <c r="F1109" s="10">
        <f>INT(Cardiac_Table[[#This Row],[Procedure Start Date and Time]])</f>
        <v>44135</v>
      </c>
      <c r="G1109" s="12">
        <f>MOD(Cardiac_Table[[#This Row],[Procedure Start Date and Time]],1)</f>
        <v>0.57291666666424135</v>
      </c>
      <c r="H1109">
        <v>4</v>
      </c>
      <c r="I1109" t="s">
        <v>4</v>
      </c>
      <c r="J1109" t="s">
        <v>10</v>
      </c>
      <c r="K1109" t="s">
        <v>33</v>
      </c>
      <c r="L1109">
        <v>76</v>
      </c>
      <c r="M1109">
        <v>2.69</v>
      </c>
      <c r="N1109">
        <v>1.19</v>
      </c>
      <c r="O1109" t="s">
        <v>15</v>
      </c>
      <c r="P1109">
        <v>84</v>
      </c>
      <c r="Q1109">
        <v>168</v>
      </c>
      <c r="R1109">
        <v>68</v>
      </c>
      <c r="S1109">
        <v>44</v>
      </c>
      <c r="T1109" t="s">
        <v>50</v>
      </c>
      <c r="U1109">
        <f>IF(Cardiac_Table[[#This Row],[Patient Status at Discharge]]="Died", 1,0)</f>
        <v>0</v>
      </c>
      <c r="V1109">
        <f>Cardiac_Table[[#This Row],[Risk of Death % (Model 1)]]/100</f>
        <v>2.69E-2</v>
      </c>
      <c r="W1109">
        <f>Cardiac_Table[[#This Row],[Risk of Death % (Model 2)]]/100</f>
        <v>1.1899999999999999E-2</v>
      </c>
      <c r="X1109" s="18">
        <f>Cardiac_Table[[#This Row],[Procedure Start Date and Time]]-Cardiac_Table[[#This Row],[Hospital Admit Date ]]</f>
        <v>1.0006944444394321</v>
      </c>
    </row>
    <row r="1110" spans="1:24" x14ac:dyDescent="0.35">
      <c r="A1110">
        <v>1120</v>
      </c>
      <c r="B1110" s="9">
        <v>44133.5</v>
      </c>
      <c r="C1110" s="10">
        <f>INT(Cardiac_Table[[#This Row],[Hospital Admit Date ]])</f>
        <v>44133</v>
      </c>
      <c r="D1110" s="11" t="str">
        <f t="shared" si="17"/>
        <v>12:00</v>
      </c>
      <c r="E1110" s="9">
        <v>44136.577777777777</v>
      </c>
      <c r="F1110" s="10">
        <f>INT(Cardiac_Table[[#This Row],[Procedure Start Date and Time]])</f>
        <v>44136</v>
      </c>
      <c r="G1110" s="12">
        <f>MOD(Cardiac_Table[[#This Row],[Procedure Start Date and Time]],1)</f>
        <v>0.57777777777664596</v>
      </c>
      <c r="H1110">
        <v>4</v>
      </c>
      <c r="I1110" t="s">
        <v>2</v>
      </c>
      <c r="J1110" t="s">
        <v>11</v>
      </c>
      <c r="K1110" t="s">
        <v>24</v>
      </c>
      <c r="L1110">
        <v>83</v>
      </c>
      <c r="M1110">
        <v>34.5</v>
      </c>
      <c r="N1110">
        <v>21.12</v>
      </c>
      <c r="O1110" t="s">
        <v>15</v>
      </c>
      <c r="P1110">
        <v>71</v>
      </c>
      <c r="Q1110">
        <v>168</v>
      </c>
      <c r="R1110">
        <v>77</v>
      </c>
      <c r="S1110">
        <v>50</v>
      </c>
      <c r="T1110" t="s">
        <v>50</v>
      </c>
      <c r="U1110">
        <f>IF(Cardiac_Table[[#This Row],[Patient Status at Discharge]]="Died", 1,0)</f>
        <v>0</v>
      </c>
      <c r="V1110">
        <f>Cardiac_Table[[#This Row],[Risk of Death % (Model 1)]]/100</f>
        <v>0.34499999999999997</v>
      </c>
      <c r="W1110">
        <f>Cardiac_Table[[#This Row],[Risk of Death % (Model 2)]]/100</f>
        <v>0.2112</v>
      </c>
      <c r="X1110" s="18">
        <f>Cardiac_Table[[#This Row],[Procedure Start Date and Time]]-Cardiac_Table[[#This Row],[Hospital Admit Date ]]</f>
        <v>3.077777777776646</v>
      </c>
    </row>
    <row r="1111" spans="1:24" x14ac:dyDescent="0.35">
      <c r="A1111">
        <v>1121</v>
      </c>
      <c r="B1111" s="9">
        <v>44137.066666666666</v>
      </c>
      <c r="C1111" s="10">
        <f>INT(Cardiac_Table[[#This Row],[Hospital Admit Date ]])</f>
        <v>44137</v>
      </c>
      <c r="D1111" s="11" t="str">
        <f t="shared" si="17"/>
        <v>01:36</v>
      </c>
      <c r="E1111" s="9">
        <v>44137.118055555555</v>
      </c>
      <c r="F1111" s="10">
        <f>INT(Cardiac_Table[[#This Row],[Procedure Start Date and Time]])</f>
        <v>44137</v>
      </c>
      <c r="G1111" s="12">
        <f>MOD(Cardiac_Table[[#This Row],[Procedure Start Date and Time]],1)</f>
        <v>0.11805555555474712</v>
      </c>
      <c r="H1111">
        <v>1</v>
      </c>
      <c r="I1111" t="s">
        <v>2</v>
      </c>
      <c r="J1111" t="s">
        <v>1</v>
      </c>
      <c r="K1111" t="s">
        <v>24</v>
      </c>
      <c r="L1111">
        <v>72</v>
      </c>
      <c r="M1111">
        <v>24.76</v>
      </c>
      <c r="N1111">
        <v>6.19</v>
      </c>
      <c r="O1111" t="s">
        <v>15</v>
      </c>
      <c r="P1111">
        <v>82</v>
      </c>
      <c r="Q1111">
        <v>172</v>
      </c>
      <c r="R1111">
        <v>96</v>
      </c>
      <c r="S1111">
        <v>53</v>
      </c>
      <c r="T1111" t="s">
        <v>48</v>
      </c>
      <c r="U1111">
        <f>IF(Cardiac_Table[[#This Row],[Patient Status at Discharge]]="Died", 1,0)</f>
        <v>0</v>
      </c>
      <c r="V1111">
        <f>Cardiac_Table[[#This Row],[Risk of Death % (Model 1)]]/100</f>
        <v>0.24760000000000001</v>
      </c>
      <c r="W1111">
        <f>Cardiac_Table[[#This Row],[Risk of Death % (Model 2)]]/100</f>
        <v>6.1900000000000004E-2</v>
      </c>
      <c r="X1111" s="18">
        <f>Cardiac_Table[[#This Row],[Procedure Start Date and Time]]-Cardiac_Table[[#This Row],[Hospital Admit Date ]]</f>
        <v>5.1388888889050577E-2</v>
      </c>
    </row>
    <row r="1112" spans="1:24" x14ac:dyDescent="0.35">
      <c r="A1112">
        <v>1122</v>
      </c>
      <c r="B1112" s="9">
        <v>44136.666666666664</v>
      </c>
      <c r="C1112" s="10">
        <f>INT(Cardiac_Table[[#This Row],[Hospital Admit Date ]])</f>
        <v>44136</v>
      </c>
      <c r="D1112" s="11" t="str">
        <f t="shared" si="17"/>
        <v>16:00</v>
      </c>
      <c r="E1112" s="9">
        <v>44137.36041666667</v>
      </c>
      <c r="F1112" s="10">
        <f>INT(Cardiac_Table[[#This Row],[Procedure Start Date and Time]])</f>
        <v>44137</v>
      </c>
      <c r="G1112" s="12">
        <f>MOD(Cardiac_Table[[#This Row],[Procedure Start Date and Time]],1)</f>
        <v>0.36041666667006211</v>
      </c>
      <c r="H1112">
        <v>5</v>
      </c>
      <c r="I1112" t="s">
        <v>4</v>
      </c>
      <c r="J1112" t="s">
        <v>11</v>
      </c>
      <c r="K1112" t="s">
        <v>31</v>
      </c>
      <c r="L1112">
        <v>65</v>
      </c>
      <c r="M1112">
        <v>3.6</v>
      </c>
      <c r="N1112">
        <v>1.33</v>
      </c>
      <c r="O1112" t="s">
        <v>15</v>
      </c>
      <c r="P1112">
        <v>86</v>
      </c>
      <c r="Q1112">
        <v>180</v>
      </c>
      <c r="R1112">
        <v>91</v>
      </c>
      <c r="S1112">
        <v>52</v>
      </c>
      <c r="T1112" t="s">
        <v>48</v>
      </c>
      <c r="U1112">
        <f>IF(Cardiac_Table[[#This Row],[Patient Status at Discharge]]="Died", 1,0)</f>
        <v>0</v>
      </c>
      <c r="V1112">
        <f>Cardiac_Table[[#This Row],[Risk of Death % (Model 1)]]/100</f>
        <v>3.6000000000000004E-2</v>
      </c>
      <c r="W1112">
        <f>Cardiac_Table[[#This Row],[Risk of Death % (Model 2)]]/100</f>
        <v>1.3300000000000001E-2</v>
      </c>
      <c r="X1112" s="18">
        <f>Cardiac_Table[[#This Row],[Procedure Start Date and Time]]-Cardiac_Table[[#This Row],[Hospital Admit Date ]]</f>
        <v>0.69375000000582077</v>
      </c>
    </row>
    <row r="1113" spans="1:24" x14ac:dyDescent="0.35">
      <c r="A1113">
        <v>1123</v>
      </c>
      <c r="B1113" s="9">
        <v>44136.666666666664</v>
      </c>
      <c r="C1113" s="10">
        <f>INT(Cardiac_Table[[#This Row],[Hospital Admit Date ]])</f>
        <v>44136</v>
      </c>
      <c r="D1113" s="11" t="str">
        <f t="shared" si="17"/>
        <v>16:00</v>
      </c>
      <c r="E1113" s="9">
        <v>44137.366666666669</v>
      </c>
      <c r="F1113" s="10">
        <f>INT(Cardiac_Table[[#This Row],[Procedure Start Date and Time]])</f>
        <v>44137</v>
      </c>
      <c r="G1113" s="12">
        <f>MOD(Cardiac_Table[[#This Row],[Procedure Start Date and Time]],1)</f>
        <v>0.36666666666860692</v>
      </c>
      <c r="H1113">
        <v>4</v>
      </c>
      <c r="I1113" t="s">
        <v>4</v>
      </c>
      <c r="J1113" t="s">
        <v>10</v>
      </c>
      <c r="K1113" t="s">
        <v>29</v>
      </c>
      <c r="L1113">
        <v>72</v>
      </c>
      <c r="M1113">
        <v>3.35</v>
      </c>
      <c r="N1113">
        <v>1.41</v>
      </c>
      <c r="O1113" t="s">
        <v>15</v>
      </c>
      <c r="P1113">
        <v>92</v>
      </c>
      <c r="Q1113">
        <v>176</v>
      </c>
      <c r="R1113">
        <v>86</v>
      </c>
      <c r="S1113">
        <v>58</v>
      </c>
      <c r="T1113" t="s">
        <v>48</v>
      </c>
      <c r="U1113">
        <f>IF(Cardiac_Table[[#This Row],[Patient Status at Discharge]]="Died", 1,0)</f>
        <v>0</v>
      </c>
      <c r="V1113">
        <f>Cardiac_Table[[#This Row],[Risk of Death % (Model 1)]]/100</f>
        <v>3.3500000000000002E-2</v>
      </c>
      <c r="W1113">
        <f>Cardiac_Table[[#This Row],[Risk of Death % (Model 2)]]/100</f>
        <v>1.41E-2</v>
      </c>
      <c r="X1113" s="18">
        <f>Cardiac_Table[[#This Row],[Procedure Start Date and Time]]-Cardiac_Table[[#This Row],[Hospital Admit Date ]]</f>
        <v>0.70000000000436557</v>
      </c>
    </row>
    <row r="1114" spans="1:24" x14ac:dyDescent="0.35">
      <c r="A1114">
        <v>1124</v>
      </c>
      <c r="B1114" s="9">
        <v>44137.509027777778</v>
      </c>
      <c r="C1114" s="10">
        <f>INT(Cardiac_Table[[#This Row],[Hospital Admit Date ]])</f>
        <v>44137</v>
      </c>
      <c r="D1114" s="11" t="str">
        <f t="shared" si="17"/>
        <v>12:13</v>
      </c>
      <c r="E1114" s="9">
        <v>44137.606944444444</v>
      </c>
      <c r="F1114" s="10">
        <f>INT(Cardiac_Table[[#This Row],[Procedure Start Date and Time]])</f>
        <v>44137</v>
      </c>
      <c r="G1114" s="12">
        <f>MOD(Cardiac_Table[[#This Row],[Procedure Start Date and Time]],1)</f>
        <v>0.60694444444379769</v>
      </c>
      <c r="H1114">
        <v>6</v>
      </c>
      <c r="I1114" t="s">
        <v>2</v>
      </c>
      <c r="J1114" t="s">
        <v>10</v>
      </c>
      <c r="K1114" t="s">
        <v>23</v>
      </c>
      <c r="L1114">
        <v>57</v>
      </c>
      <c r="M1114">
        <v>5.23</v>
      </c>
      <c r="N1114">
        <v>1.3</v>
      </c>
      <c r="O1114" t="s">
        <v>15</v>
      </c>
      <c r="P1114">
        <v>82</v>
      </c>
      <c r="Q1114">
        <v>187</v>
      </c>
      <c r="R1114">
        <v>116</v>
      </c>
      <c r="S1114">
        <v>65</v>
      </c>
      <c r="T1114" t="s">
        <v>48</v>
      </c>
      <c r="U1114">
        <f>IF(Cardiac_Table[[#This Row],[Patient Status at Discharge]]="Died", 1,0)</f>
        <v>0</v>
      </c>
      <c r="V1114">
        <f>Cardiac_Table[[#This Row],[Risk of Death % (Model 1)]]/100</f>
        <v>5.2300000000000006E-2</v>
      </c>
      <c r="W1114">
        <f>Cardiac_Table[[#This Row],[Risk of Death % (Model 2)]]/100</f>
        <v>1.3000000000000001E-2</v>
      </c>
      <c r="X1114" s="18">
        <f>Cardiac_Table[[#This Row],[Procedure Start Date and Time]]-Cardiac_Table[[#This Row],[Hospital Admit Date ]]</f>
        <v>9.7916666665696539E-2</v>
      </c>
    </row>
    <row r="1115" spans="1:24" x14ac:dyDescent="0.35">
      <c r="A1115">
        <v>1125</v>
      </c>
      <c r="B1115" s="9">
        <v>44135.848611111112</v>
      </c>
      <c r="C1115" s="10">
        <f>INT(Cardiac_Table[[#This Row],[Hospital Admit Date ]])</f>
        <v>44135</v>
      </c>
      <c r="D1115" s="11" t="str">
        <f t="shared" si="17"/>
        <v>20:22</v>
      </c>
      <c r="E1115" s="9">
        <v>44138.36041666667</v>
      </c>
      <c r="F1115" s="10">
        <f>INT(Cardiac_Table[[#This Row],[Procedure Start Date and Time]])</f>
        <v>44138</v>
      </c>
      <c r="G1115" s="12">
        <f>MOD(Cardiac_Table[[#This Row],[Procedure Start Date and Time]],1)</f>
        <v>0.36041666667006211</v>
      </c>
      <c r="H1115">
        <v>4</v>
      </c>
      <c r="I1115" t="s">
        <v>6</v>
      </c>
      <c r="J1115" t="s">
        <v>11</v>
      </c>
      <c r="K1115" t="s">
        <v>26</v>
      </c>
      <c r="L1115">
        <v>79</v>
      </c>
      <c r="M1115">
        <v>13.2</v>
      </c>
      <c r="N1115">
        <v>5.94</v>
      </c>
      <c r="O1115" t="s">
        <v>15</v>
      </c>
      <c r="P1115">
        <v>116</v>
      </c>
      <c r="Q1115">
        <v>182</v>
      </c>
      <c r="R1115">
        <v>100</v>
      </c>
      <c r="S1115">
        <v>40</v>
      </c>
      <c r="T1115" t="s">
        <v>50</v>
      </c>
      <c r="U1115">
        <f>IF(Cardiac_Table[[#This Row],[Patient Status at Discharge]]="Died", 1,0)</f>
        <v>0</v>
      </c>
      <c r="V1115">
        <f>Cardiac_Table[[#This Row],[Risk of Death % (Model 1)]]/100</f>
        <v>0.13200000000000001</v>
      </c>
      <c r="W1115">
        <f>Cardiac_Table[[#This Row],[Risk of Death % (Model 2)]]/100</f>
        <v>5.9400000000000001E-2</v>
      </c>
      <c r="X1115" s="18">
        <f>Cardiac_Table[[#This Row],[Procedure Start Date and Time]]-Cardiac_Table[[#This Row],[Hospital Admit Date ]]</f>
        <v>2.5118055555576575</v>
      </c>
    </row>
    <row r="1116" spans="1:24" x14ac:dyDescent="0.35">
      <c r="A1116">
        <v>1126</v>
      </c>
      <c r="B1116" s="9">
        <v>44136.583333333336</v>
      </c>
      <c r="C1116" s="10">
        <f>INT(Cardiac_Table[[#This Row],[Hospital Admit Date ]])</f>
        <v>44136</v>
      </c>
      <c r="D1116" s="11" t="str">
        <f t="shared" si="17"/>
        <v>14:00</v>
      </c>
      <c r="E1116" s="9">
        <v>44138.375</v>
      </c>
      <c r="F1116" s="10">
        <f>INT(Cardiac_Table[[#This Row],[Procedure Start Date and Time]])</f>
        <v>44138</v>
      </c>
      <c r="G1116" s="12">
        <f>MOD(Cardiac_Table[[#This Row],[Procedure Start Date and Time]],1)</f>
        <v>0.375</v>
      </c>
      <c r="H1116">
        <v>1</v>
      </c>
      <c r="I1116" t="s">
        <v>6</v>
      </c>
      <c r="J1116" t="s">
        <v>11</v>
      </c>
      <c r="K1116" t="s">
        <v>35</v>
      </c>
      <c r="L1116">
        <v>66</v>
      </c>
      <c r="M1116">
        <v>12.38</v>
      </c>
      <c r="N1116">
        <v>9.89</v>
      </c>
      <c r="O1116" t="s">
        <v>15</v>
      </c>
      <c r="P1116">
        <v>108</v>
      </c>
      <c r="Q1116">
        <v>176</v>
      </c>
      <c r="R1116">
        <v>82</v>
      </c>
      <c r="S1116">
        <v>58</v>
      </c>
      <c r="T1116" t="s">
        <v>48</v>
      </c>
      <c r="U1116">
        <f>IF(Cardiac_Table[[#This Row],[Patient Status at Discharge]]="Died", 1,0)</f>
        <v>0</v>
      </c>
      <c r="V1116">
        <f>Cardiac_Table[[#This Row],[Risk of Death % (Model 1)]]/100</f>
        <v>0.12380000000000001</v>
      </c>
      <c r="W1116">
        <f>Cardiac_Table[[#This Row],[Risk of Death % (Model 2)]]/100</f>
        <v>9.8900000000000002E-2</v>
      </c>
      <c r="X1116" s="18">
        <f>Cardiac_Table[[#This Row],[Procedure Start Date and Time]]-Cardiac_Table[[#This Row],[Hospital Admit Date ]]</f>
        <v>1.7916666666642413</v>
      </c>
    </row>
    <row r="1117" spans="1:24" x14ac:dyDescent="0.35">
      <c r="A1117">
        <v>1127</v>
      </c>
      <c r="B1117" s="9">
        <v>44137.666666666664</v>
      </c>
      <c r="C1117" s="10">
        <f>INT(Cardiac_Table[[#This Row],[Hospital Admit Date ]])</f>
        <v>44137</v>
      </c>
      <c r="D1117" s="11" t="str">
        <f t="shared" si="17"/>
        <v>16:00</v>
      </c>
      <c r="E1117" s="9">
        <v>44138.376388888886</v>
      </c>
      <c r="F1117" s="10">
        <f>INT(Cardiac_Table[[#This Row],[Procedure Start Date and Time]])</f>
        <v>44138</v>
      </c>
      <c r="G1117" s="12">
        <f>MOD(Cardiac_Table[[#This Row],[Procedure Start Date and Time]],1)</f>
        <v>0.37638888888614019</v>
      </c>
      <c r="H1117">
        <v>6</v>
      </c>
      <c r="I1117" t="s">
        <v>4</v>
      </c>
      <c r="J1117" t="s">
        <v>1</v>
      </c>
      <c r="K1117" t="s">
        <v>29</v>
      </c>
      <c r="L1117">
        <v>32</v>
      </c>
      <c r="M1117">
        <v>4.6500000000000004</v>
      </c>
      <c r="N1117">
        <v>1.64</v>
      </c>
      <c r="O1117" t="s">
        <v>15</v>
      </c>
      <c r="P1117">
        <v>124</v>
      </c>
      <c r="Q1117">
        <v>172</v>
      </c>
      <c r="R1117">
        <v>84</v>
      </c>
      <c r="S1117">
        <v>60</v>
      </c>
      <c r="T1117" t="s">
        <v>48</v>
      </c>
      <c r="U1117">
        <f>IF(Cardiac_Table[[#This Row],[Patient Status at Discharge]]="Died", 1,0)</f>
        <v>0</v>
      </c>
      <c r="V1117">
        <f>Cardiac_Table[[#This Row],[Risk of Death % (Model 1)]]/100</f>
        <v>4.6500000000000007E-2</v>
      </c>
      <c r="W1117">
        <f>Cardiac_Table[[#This Row],[Risk of Death % (Model 2)]]/100</f>
        <v>1.6399999999999998E-2</v>
      </c>
      <c r="X1117" s="18">
        <f>Cardiac_Table[[#This Row],[Procedure Start Date and Time]]-Cardiac_Table[[#This Row],[Hospital Admit Date ]]</f>
        <v>0.70972222222189885</v>
      </c>
    </row>
    <row r="1118" spans="1:24" x14ac:dyDescent="0.35">
      <c r="A1118">
        <v>1128</v>
      </c>
      <c r="B1118" s="9">
        <v>44138.530555555553</v>
      </c>
      <c r="C1118" s="10">
        <f>INT(Cardiac_Table[[#This Row],[Hospital Admit Date ]])</f>
        <v>44138</v>
      </c>
      <c r="D1118" s="11" t="str">
        <f t="shared" si="17"/>
        <v>12:44</v>
      </c>
      <c r="E1118" s="9">
        <v>44138.666666666664</v>
      </c>
      <c r="F1118" s="10">
        <f>INT(Cardiac_Table[[#This Row],[Procedure Start Date and Time]])</f>
        <v>44138</v>
      </c>
      <c r="G1118" s="12">
        <f>MOD(Cardiac_Table[[#This Row],[Procedure Start Date and Time]],1)</f>
        <v>0.66666666666424135</v>
      </c>
      <c r="H1118">
        <v>5</v>
      </c>
      <c r="I1118" t="s">
        <v>2</v>
      </c>
      <c r="J1118" t="s">
        <v>1</v>
      </c>
      <c r="K1118" t="s">
        <v>30</v>
      </c>
      <c r="L1118">
        <v>79</v>
      </c>
      <c r="M1118">
        <v>42.07</v>
      </c>
      <c r="N1118">
        <v>9.9499999999999993</v>
      </c>
      <c r="O1118" t="s">
        <v>15</v>
      </c>
      <c r="P1118">
        <v>74</v>
      </c>
      <c r="Q1118">
        <v>168</v>
      </c>
      <c r="R1118">
        <v>63</v>
      </c>
      <c r="S1118">
        <v>60</v>
      </c>
      <c r="T1118" t="s">
        <v>48</v>
      </c>
      <c r="U1118">
        <f>IF(Cardiac_Table[[#This Row],[Patient Status at Discharge]]="Died", 1,0)</f>
        <v>0</v>
      </c>
      <c r="V1118">
        <f>Cardiac_Table[[#This Row],[Risk of Death % (Model 1)]]/100</f>
        <v>0.42070000000000002</v>
      </c>
      <c r="W1118">
        <f>Cardiac_Table[[#This Row],[Risk of Death % (Model 2)]]/100</f>
        <v>9.9499999999999991E-2</v>
      </c>
      <c r="X1118" s="18">
        <f>Cardiac_Table[[#This Row],[Procedure Start Date and Time]]-Cardiac_Table[[#This Row],[Hospital Admit Date ]]</f>
        <v>0.13611111111094942</v>
      </c>
    </row>
    <row r="1119" spans="1:24" x14ac:dyDescent="0.35">
      <c r="A1119">
        <v>1129</v>
      </c>
      <c r="B1119" s="9">
        <v>44131.874305555553</v>
      </c>
      <c r="C1119" s="10">
        <f>INT(Cardiac_Table[[#This Row],[Hospital Admit Date ]])</f>
        <v>44131</v>
      </c>
      <c r="D1119" s="11" t="str">
        <f t="shared" si="17"/>
        <v>20:59</v>
      </c>
      <c r="E1119" s="9">
        <v>44139.375</v>
      </c>
      <c r="F1119" s="10">
        <f>INT(Cardiac_Table[[#This Row],[Procedure Start Date and Time]])</f>
        <v>44139</v>
      </c>
      <c r="G1119" s="12">
        <f>MOD(Cardiac_Table[[#This Row],[Procedure Start Date and Time]],1)</f>
        <v>0.375</v>
      </c>
      <c r="H1119">
        <v>6</v>
      </c>
      <c r="I1119" t="s">
        <v>6</v>
      </c>
      <c r="J1119" t="s">
        <v>10</v>
      </c>
      <c r="K1119" t="s">
        <v>24</v>
      </c>
      <c r="L1119">
        <v>55</v>
      </c>
      <c r="M1119">
        <v>5.46</v>
      </c>
      <c r="N1119">
        <v>3.93</v>
      </c>
      <c r="O1119" t="s">
        <v>15</v>
      </c>
      <c r="P1119">
        <v>87</v>
      </c>
      <c r="Q1119">
        <v>178</v>
      </c>
      <c r="R1119">
        <v>63</v>
      </c>
      <c r="S1119">
        <v>28</v>
      </c>
      <c r="T1119" t="s">
        <v>49</v>
      </c>
      <c r="U1119">
        <f>IF(Cardiac_Table[[#This Row],[Patient Status at Discharge]]="Died", 1,0)</f>
        <v>0</v>
      </c>
      <c r="V1119">
        <f>Cardiac_Table[[#This Row],[Risk of Death % (Model 1)]]/100</f>
        <v>5.4600000000000003E-2</v>
      </c>
      <c r="W1119">
        <f>Cardiac_Table[[#This Row],[Risk of Death % (Model 2)]]/100</f>
        <v>3.9300000000000002E-2</v>
      </c>
      <c r="X1119" s="18">
        <f>Cardiac_Table[[#This Row],[Procedure Start Date and Time]]-Cardiac_Table[[#This Row],[Hospital Admit Date ]]</f>
        <v>7.5006944444467081</v>
      </c>
    </row>
    <row r="1120" spans="1:24" x14ac:dyDescent="0.35">
      <c r="A1120">
        <v>1130</v>
      </c>
      <c r="B1120" s="9">
        <v>44137.569444444445</v>
      </c>
      <c r="C1120" s="10">
        <f>INT(Cardiac_Table[[#This Row],[Hospital Admit Date ]])</f>
        <v>44137</v>
      </c>
      <c r="D1120" s="11" t="str">
        <f t="shared" si="17"/>
        <v>13:40</v>
      </c>
      <c r="E1120" s="9">
        <v>44139.541666666664</v>
      </c>
      <c r="F1120" s="10">
        <f>INT(Cardiac_Table[[#This Row],[Procedure Start Date and Time]])</f>
        <v>44139</v>
      </c>
      <c r="G1120" s="12">
        <f>MOD(Cardiac_Table[[#This Row],[Procedure Start Date and Time]],1)</f>
        <v>0.54166666666424135</v>
      </c>
      <c r="H1120">
        <v>1</v>
      </c>
      <c r="I1120" t="s">
        <v>6</v>
      </c>
      <c r="J1120" t="s">
        <v>10</v>
      </c>
      <c r="K1120" t="s">
        <v>30</v>
      </c>
      <c r="L1120">
        <v>77</v>
      </c>
      <c r="M1120">
        <v>4.8499999999999996</v>
      </c>
      <c r="N1120">
        <v>1.44</v>
      </c>
      <c r="O1120" t="s">
        <v>15</v>
      </c>
      <c r="P1120">
        <v>96</v>
      </c>
      <c r="Q1120">
        <v>154</v>
      </c>
      <c r="R1120">
        <v>66</v>
      </c>
      <c r="S1120">
        <v>59</v>
      </c>
      <c r="T1120" t="s">
        <v>48</v>
      </c>
      <c r="U1120">
        <f>IF(Cardiac_Table[[#This Row],[Patient Status at Discharge]]="Died", 1,0)</f>
        <v>0</v>
      </c>
      <c r="V1120">
        <f>Cardiac_Table[[#This Row],[Risk of Death % (Model 1)]]/100</f>
        <v>4.8499999999999995E-2</v>
      </c>
      <c r="W1120">
        <f>Cardiac_Table[[#This Row],[Risk of Death % (Model 2)]]/100</f>
        <v>1.44E-2</v>
      </c>
      <c r="X1120" s="18">
        <f>Cardiac_Table[[#This Row],[Procedure Start Date and Time]]-Cardiac_Table[[#This Row],[Hospital Admit Date ]]</f>
        <v>1.9722222222189885</v>
      </c>
    </row>
    <row r="1121" spans="1:24" x14ac:dyDescent="0.35">
      <c r="A1121">
        <v>1131</v>
      </c>
      <c r="B1121" s="9">
        <v>44138.686111111114</v>
      </c>
      <c r="C1121" s="10">
        <f>INT(Cardiac_Table[[#This Row],[Hospital Admit Date ]])</f>
        <v>44138</v>
      </c>
      <c r="D1121" s="11" t="str">
        <f t="shared" si="17"/>
        <v>16:28</v>
      </c>
      <c r="E1121" s="9">
        <v>44139.706250000003</v>
      </c>
      <c r="F1121" s="10">
        <f>INT(Cardiac_Table[[#This Row],[Procedure Start Date and Time]])</f>
        <v>44139</v>
      </c>
      <c r="G1121" s="12">
        <f>MOD(Cardiac_Table[[#This Row],[Procedure Start Date and Time]],1)</f>
        <v>0.70625000000291038</v>
      </c>
      <c r="H1121">
        <v>5</v>
      </c>
      <c r="I1121" t="s">
        <v>2</v>
      </c>
      <c r="J1121" t="s">
        <v>10</v>
      </c>
      <c r="K1121" t="s">
        <v>28</v>
      </c>
      <c r="L1121">
        <v>43</v>
      </c>
      <c r="M1121">
        <v>10.74</v>
      </c>
      <c r="N1121">
        <v>4.41</v>
      </c>
      <c r="O1121" t="s">
        <v>15</v>
      </c>
      <c r="P1121">
        <v>107</v>
      </c>
      <c r="Q1121">
        <v>180</v>
      </c>
      <c r="R1121">
        <v>83</v>
      </c>
      <c r="S1121">
        <v>51</v>
      </c>
      <c r="T1121" t="s">
        <v>48</v>
      </c>
      <c r="U1121">
        <f>IF(Cardiac_Table[[#This Row],[Patient Status at Discharge]]="Died", 1,0)</f>
        <v>0</v>
      </c>
      <c r="V1121">
        <f>Cardiac_Table[[#This Row],[Risk of Death % (Model 1)]]/100</f>
        <v>0.1074</v>
      </c>
      <c r="W1121">
        <f>Cardiac_Table[[#This Row],[Risk of Death % (Model 2)]]/100</f>
        <v>4.41E-2</v>
      </c>
      <c r="X1121" s="18">
        <f>Cardiac_Table[[#This Row],[Procedure Start Date and Time]]-Cardiac_Table[[#This Row],[Hospital Admit Date ]]</f>
        <v>1.0201388888890506</v>
      </c>
    </row>
    <row r="1122" spans="1:24" x14ac:dyDescent="0.35">
      <c r="A1122">
        <v>1132</v>
      </c>
      <c r="B1122" s="9">
        <v>44134.708333333336</v>
      </c>
      <c r="C1122" s="10">
        <f>INT(Cardiac_Table[[#This Row],[Hospital Admit Date ]])</f>
        <v>44134</v>
      </c>
      <c r="D1122" s="11" t="str">
        <f t="shared" si="17"/>
        <v>17:00</v>
      </c>
      <c r="E1122" s="9">
        <v>44140.324305555558</v>
      </c>
      <c r="F1122" s="10">
        <f>INT(Cardiac_Table[[#This Row],[Procedure Start Date and Time]])</f>
        <v>44140</v>
      </c>
      <c r="G1122" s="12">
        <f>MOD(Cardiac_Table[[#This Row],[Procedure Start Date and Time]],1)</f>
        <v>0.3243055555576575</v>
      </c>
      <c r="H1122">
        <v>3</v>
      </c>
      <c r="I1122" t="s">
        <v>6</v>
      </c>
      <c r="J1122" t="s">
        <v>3</v>
      </c>
      <c r="K1122" t="s">
        <v>35</v>
      </c>
      <c r="L1122">
        <v>76</v>
      </c>
      <c r="M1122">
        <v>16.12</v>
      </c>
      <c r="N1122">
        <v>14.72</v>
      </c>
      <c r="O1122" t="s">
        <v>13</v>
      </c>
      <c r="P1122">
        <v>92</v>
      </c>
      <c r="Q1122">
        <v>180</v>
      </c>
      <c r="R1122">
        <v>90</v>
      </c>
      <c r="S1122">
        <v>15</v>
      </c>
      <c r="T1122" t="s">
        <v>51</v>
      </c>
      <c r="U1122">
        <f>IF(Cardiac_Table[[#This Row],[Patient Status at Discharge]]="Died", 1,0)</f>
        <v>1</v>
      </c>
      <c r="V1122">
        <f>Cardiac_Table[[#This Row],[Risk of Death % (Model 1)]]/100</f>
        <v>0.16120000000000001</v>
      </c>
      <c r="W1122">
        <f>Cardiac_Table[[#This Row],[Risk of Death % (Model 2)]]/100</f>
        <v>0.1472</v>
      </c>
      <c r="X1122" s="18">
        <f>Cardiac_Table[[#This Row],[Procedure Start Date and Time]]-Cardiac_Table[[#This Row],[Hospital Admit Date ]]</f>
        <v>5.6159722222218988</v>
      </c>
    </row>
    <row r="1123" spans="1:24" x14ac:dyDescent="0.35">
      <c r="A1123">
        <v>1133</v>
      </c>
      <c r="B1123" s="9">
        <v>44139.666666666664</v>
      </c>
      <c r="C1123" s="10">
        <f>INT(Cardiac_Table[[#This Row],[Hospital Admit Date ]])</f>
        <v>44139</v>
      </c>
      <c r="D1123" s="11" t="str">
        <f t="shared" si="17"/>
        <v>16:00</v>
      </c>
      <c r="E1123" s="9">
        <v>44140.329861111109</v>
      </c>
      <c r="F1123" s="10">
        <f>INT(Cardiac_Table[[#This Row],[Procedure Start Date and Time]])</f>
        <v>44140</v>
      </c>
      <c r="G1123" s="12">
        <f>MOD(Cardiac_Table[[#This Row],[Procedure Start Date and Time]],1)</f>
        <v>0.32986111110949423</v>
      </c>
      <c r="H1123">
        <v>6</v>
      </c>
      <c r="I1123" t="s">
        <v>4</v>
      </c>
      <c r="J1123" t="s">
        <v>11</v>
      </c>
      <c r="K1123" t="s">
        <v>23</v>
      </c>
      <c r="L1123">
        <v>77</v>
      </c>
      <c r="M1123">
        <v>4.83</v>
      </c>
      <c r="N1123">
        <v>2.5099999999999998</v>
      </c>
      <c r="O1123" t="s">
        <v>15</v>
      </c>
      <c r="P1123">
        <v>106</v>
      </c>
      <c r="Q1123">
        <v>185</v>
      </c>
      <c r="R1123">
        <v>89</v>
      </c>
      <c r="S1123">
        <v>40</v>
      </c>
      <c r="T1123" t="s">
        <v>50</v>
      </c>
      <c r="U1123">
        <f>IF(Cardiac_Table[[#This Row],[Patient Status at Discharge]]="Died", 1,0)</f>
        <v>0</v>
      </c>
      <c r="V1123">
        <f>Cardiac_Table[[#This Row],[Risk of Death % (Model 1)]]/100</f>
        <v>4.8300000000000003E-2</v>
      </c>
      <c r="W1123">
        <f>Cardiac_Table[[#This Row],[Risk of Death % (Model 2)]]/100</f>
        <v>2.5099999999999997E-2</v>
      </c>
      <c r="X1123" s="18">
        <f>Cardiac_Table[[#This Row],[Procedure Start Date and Time]]-Cardiac_Table[[#This Row],[Hospital Admit Date ]]</f>
        <v>0.66319444444525288</v>
      </c>
    </row>
    <row r="1124" spans="1:24" x14ac:dyDescent="0.35">
      <c r="A1124">
        <v>1134</v>
      </c>
      <c r="B1124" s="9">
        <v>44139.666666666664</v>
      </c>
      <c r="C1124" s="10">
        <f>INT(Cardiac_Table[[#This Row],[Hospital Admit Date ]])</f>
        <v>44139</v>
      </c>
      <c r="D1124" s="11" t="str">
        <f t="shared" si="17"/>
        <v>16:00</v>
      </c>
      <c r="E1124" s="9">
        <v>44140.333333333336</v>
      </c>
      <c r="F1124" s="10">
        <f>INT(Cardiac_Table[[#This Row],[Procedure Start Date and Time]])</f>
        <v>44140</v>
      </c>
      <c r="G1124" s="12">
        <f>MOD(Cardiac_Table[[#This Row],[Procedure Start Date and Time]],1)</f>
        <v>0.33333333333575865</v>
      </c>
      <c r="H1124">
        <v>1</v>
      </c>
      <c r="I1124" t="s">
        <v>4</v>
      </c>
      <c r="J1124" t="s">
        <v>10</v>
      </c>
      <c r="K1124" t="s">
        <v>34</v>
      </c>
      <c r="L1124">
        <v>72</v>
      </c>
      <c r="M1124">
        <v>2.86</v>
      </c>
      <c r="N1124">
        <v>1.18</v>
      </c>
      <c r="O1124" t="s">
        <v>15</v>
      </c>
      <c r="P1124">
        <v>68</v>
      </c>
      <c r="Q1124">
        <v>182</v>
      </c>
      <c r="R1124">
        <v>106</v>
      </c>
      <c r="S1124">
        <v>50</v>
      </c>
      <c r="T1124" t="s">
        <v>50</v>
      </c>
      <c r="U1124">
        <f>IF(Cardiac_Table[[#This Row],[Patient Status at Discharge]]="Died", 1,0)</f>
        <v>0</v>
      </c>
      <c r="V1124">
        <f>Cardiac_Table[[#This Row],[Risk of Death % (Model 1)]]/100</f>
        <v>2.86E-2</v>
      </c>
      <c r="W1124">
        <f>Cardiac_Table[[#This Row],[Risk of Death % (Model 2)]]/100</f>
        <v>1.18E-2</v>
      </c>
      <c r="X1124" s="18">
        <f>Cardiac_Table[[#This Row],[Procedure Start Date and Time]]-Cardiac_Table[[#This Row],[Hospital Admit Date ]]</f>
        <v>0.66666666667151731</v>
      </c>
    </row>
    <row r="1125" spans="1:24" x14ac:dyDescent="0.35">
      <c r="A1125">
        <v>1135</v>
      </c>
      <c r="B1125" s="9">
        <v>44137.412499999999</v>
      </c>
      <c r="C1125" s="10">
        <f>INT(Cardiac_Table[[#This Row],[Hospital Admit Date ]])</f>
        <v>44137</v>
      </c>
      <c r="D1125" s="11" t="str">
        <f t="shared" si="17"/>
        <v>09:54</v>
      </c>
      <c r="E1125" s="9">
        <v>44140.340277777781</v>
      </c>
      <c r="F1125" s="10">
        <f>INT(Cardiac_Table[[#This Row],[Procedure Start Date and Time]])</f>
        <v>44140</v>
      </c>
      <c r="G1125" s="12">
        <f>MOD(Cardiac_Table[[#This Row],[Procedure Start Date and Time]],1)</f>
        <v>0.34027777778101154</v>
      </c>
      <c r="H1125">
        <v>5</v>
      </c>
      <c r="I1125" t="s">
        <v>6</v>
      </c>
      <c r="J1125" t="s">
        <v>10</v>
      </c>
      <c r="K1125" t="s">
        <v>31</v>
      </c>
      <c r="L1125">
        <v>78</v>
      </c>
      <c r="M1125">
        <v>8.18</v>
      </c>
      <c r="N1125">
        <v>2.4</v>
      </c>
      <c r="O1125" t="s">
        <v>15</v>
      </c>
      <c r="P1125">
        <v>120</v>
      </c>
      <c r="Q1125">
        <v>174</v>
      </c>
      <c r="R1125">
        <v>93</v>
      </c>
      <c r="S1125">
        <v>55</v>
      </c>
      <c r="T1125" t="s">
        <v>48</v>
      </c>
      <c r="U1125">
        <f>IF(Cardiac_Table[[#This Row],[Patient Status at Discharge]]="Died", 1,0)</f>
        <v>0</v>
      </c>
      <c r="V1125">
        <f>Cardiac_Table[[#This Row],[Risk of Death % (Model 1)]]/100</f>
        <v>8.1799999999999998E-2</v>
      </c>
      <c r="W1125">
        <f>Cardiac_Table[[#This Row],[Risk of Death % (Model 2)]]/100</f>
        <v>2.4E-2</v>
      </c>
      <c r="X1125" s="18">
        <f>Cardiac_Table[[#This Row],[Procedure Start Date and Time]]-Cardiac_Table[[#This Row],[Hospital Admit Date ]]</f>
        <v>2.9277777777824667</v>
      </c>
    </row>
    <row r="1126" spans="1:24" x14ac:dyDescent="0.35">
      <c r="A1126">
        <v>1136</v>
      </c>
      <c r="B1126" s="9">
        <v>44138.583333333336</v>
      </c>
      <c r="C1126" s="10">
        <f>INT(Cardiac_Table[[#This Row],[Hospital Admit Date ]])</f>
        <v>44138</v>
      </c>
      <c r="D1126" s="11" t="str">
        <f t="shared" si="17"/>
        <v>14:00</v>
      </c>
      <c r="E1126" s="9">
        <v>44140.345138888886</v>
      </c>
      <c r="F1126" s="10">
        <f>INT(Cardiac_Table[[#This Row],[Procedure Start Date and Time]])</f>
        <v>44140</v>
      </c>
      <c r="G1126" s="12">
        <f>MOD(Cardiac_Table[[#This Row],[Procedure Start Date and Time]],1)</f>
        <v>0.34513888888614019</v>
      </c>
      <c r="H1126">
        <v>4</v>
      </c>
      <c r="I1126" t="s">
        <v>6</v>
      </c>
      <c r="J1126" t="s">
        <v>10</v>
      </c>
      <c r="K1126" t="s">
        <v>21</v>
      </c>
      <c r="L1126">
        <v>76</v>
      </c>
      <c r="M1126">
        <v>4.55</v>
      </c>
      <c r="N1126">
        <v>2.27</v>
      </c>
      <c r="O1126" t="s">
        <v>15</v>
      </c>
      <c r="P1126">
        <v>76</v>
      </c>
      <c r="Q1126">
        <v>173</v>
      </c>
      <c r="R1126">
        <v>90</v>
      </c>
      <c r="S1126">
        <v>64</v>
      </c>
      <c r="T1126" t="s">
        <v>48</v>
      </c>
      <c r="U1126">
        <f>IF(Cardiac_Table[[#This Row],[Patient Status at Discharge]]="Died", 1,0)</f>
        <v>0</v>
      </c>
      <c r="V1126">
        <f>Cardiac_Table[[#This Row],[Risk of Death % (Model 1)]]/100</f>
        <v>4.5499999999999999E-2</v>
      </c>
      <c r="W1126">
        <f>Cardiac_Table[[#This Row],[Risk of Death % (Model 2)]]/100</f>
        <v>2.2700000000000001E-2</v>
      </c>
      <c r="X1126" s="18">
        <f>Cardiac_Table[[#This Row],[Procedure Start Date and Time]]-Cardiac_Table[[#This Row],[Hospital Admit Date ]]</f>
        <v>1.7618055555503815</v>
      </c>
    </row>
    <row r="1127" spans="1:24" x14ac:dyDescent="0.35">
      <c r="A1127">
        <v>1137</v>
      </c>
      <c r="B1127" s="9">
        <v>44138.583333333336</v>
      </c>
      <c r="C1127" s="10">
        <f>INT(Cardiac_Table[[#This Row],[Hospital Admit Date ]])</f>
        <v>44138</v>
      </c>
      <c r="D1127" s="11" t="str">
        <f t="shared" si="17"/>
        <v>14:00</v>
      </c>
      <c r="E1127" s="9">
        <v>44140.635416666664</v>
      </c>
      <c r="F1127" s="10">
        <f>INT(Cardiac_Table[[#This Row],[Procedure Start Date and Time]])</f>
        <v>44140</v>
      </c>
      <c r="G1127" s="12">
        <f>MOD(Cardiac_Table[[#This Row],[Procedure Start Date and Time]],1)</f>
        <v>0.63541666666424135</v>
      </c>
      <c r="H1127">
        <v>6</v>
      </c>
      <c r="I1127" t="s">
        <v>2</v>
      </c>
      <c r="J1127" t="s">
        <v>10</v>
      </c>
      <c r="K1127" t="s">
        <v>23</v>
      </c>
      <c r="L1127">
        <v>74</v>
      </c>
      <c r="M1127">
        <v>7.84</v>
      </c>
      <c r="N1127">
        <v>1.74</v>
      </c>
      <c r="O1127" t="s">
        <v>15</v>
      </c>
      <c r="P1127">
        <v>105</v>
      </c>
      <c r="Q1127">
        <v>177</v>
      </c>
      <c r="R1127">
        <v>77</v>
      </c>
      <c r="S1127">
        <v>59</v>
      </c>
      <c r="T1127" t="s">
        <v>48</v>
      </c>
      <c r="U1127">
        <f>IF(Cardiac_Table[[#This Row],[Patient Status at Discharge]]="Died", 1,0)</f>
        <v>0</v>
      </c>
      <c r="V1127">
        <f>Cardiac_Table[[#This Row],[Risk of Death % (Model 1)]]/100</f>
        <v>7.8399999999999997E-2</v>
      </c>
      <c r="W1127">
        <f>Cardiac_Table[[#This Row],[Risk of Death % (Model 2)]]/100</f>
        <v>1.7399999999999999E-2</v>
      </c>
      <c r="X1127" s="18">
        <f>Cardiac_Table[[#This Row],[Procedure Start Date and Time]]-Cardiac_Table[[#This Row],[Hospital Admit Date ]]</f>
        <v>2.0520833333284827</v>
      </c>
    </row>
    <row r="1128" spans="1:24" x14ac:dyDescent="0.35">
      <c r="A1128">
        <v>1138</v>
      </c>
      <c r="B1128" s="9">
        <v>44140.666666666664</v>
      </c>
      <c r="C1128" s="10">
        <f>INT(Cardiac_Table[[#This Row],[Hospital Admit Date ]])</f>
        <v>44140</v>
      </c>
      <c r="D1128" s="11" t="str">
        <f t="shared" si="17"/>
        <v>16:00</v>
      </c>
      <c r="E1128" s="9">
        <v>44141.331944444442</v>
      </c>
      <c r="F1128" s="10">
        <f>INT(Cardiac_Table[[#This Row],[Procedure Start Date and Time]])</f>
        <v>44141</v>
      </c>
      <c r="G1128" s="12">
        <f>MOD(Cardiac_Table[[#This Row],[Procedure Start Date and Time]],1)</f>
        <v>0.3319444444423425</v>
      </c>
      <c r="H1128">
        <v>1</v>
      </c>
      <c r="I1128" t="s">
        <v>4</v>
      </c>
      <c r="J1128" t="s">
        <v>3</v>
      </c>
      <c r="K1128" t="s">
        <v>26</v>
      </c>
      <c r="L1128">
        <v>51</v>
      </c>
      <c r="M1128">
        <v>1.51</v>
      </c>
      <c r="N1128">
        <v>1.45</v>
      </c>
      <c r="O1128" t="s">
        <v>15</v>
      </c>
      <c r="P1128">
        <v>62</v>
      </c>
      <c r="Q1128">
        <v>154</v>
      </c>
      <c r="R1128">
        <v>75</v>
      </c>
      <c r="S1128">
        <v>45</v>
      </c>
      <c r="T1128" t="s">
        <v>50</v>
      </c>
      <c r="U1128">
        <f>IF(Cardiac_Table[[#This Row],[Patient Status at Discharge]]="Died", 1,0)</f>
        <v>0</v>
      </c>
      <c r="V1128">
        <f>Cardiac_Table[[#This Row],[Risk of Death % (Model 1)]]/100</f>
        <v>1.5100000000000001E-2</v>
      </c>
      <c r="W1128">
        <f>Cardiac_Table[[#This Row],[Risk of Death % (Model 2)]]/100</f>
        <v>1.4499999999999999E-2</v>
      </c>
      <c r="X1128" s="18">
        <f>Cardiac_Table[[#This Row],[Procedure Start Date and Time]]-Cardiac_Table[[#This Row],[Hospital Admit Date ]]</f>
        <v>0.66527777777810115</v>
      </c>
    </row>
    <row r="1129" spans="1:24" x14ac:dyDescent="0.35">
      <c r="A1129">
        <v>1139</v>
      </c>
      <c r="B1129" s="9">
        <v>44135.550694444442</v>
      </c>
      <c r="C1129" s="10">
        <f>INT(Cardiac_Table[[#This Row],[Hospital Admit Date ]])</f>
        <v>44135</v>
      </c>
      <c r="D1129" s="11" t="str">
        <f t="shared" si="17"/>
        <v>13:13</v>
      </c>
      <c r="E1129" s="9">
        <v>44141.337500000001</v>
      </c>
      <c r="F1129" s="10">
        <f>INT(Cardiac_Table[[#This Row],[Procedure Start Date and Time]])</f>
        <v>44141</v>
      </c>
      <c r="G1129" s="12">
        <f>MOD(Cardiac_Table[[#This Row],[Procedure Start Date and Time]],1)</f>
        <v>0.33750000000145519</v>
      </c>
      <c r="H1129">
        <v>5</v>
      </c>
      <c r="I1129" t="s">
        <v>6</v>
      </c>
      <c r="J1129" t="s">
        <v>10</v>
      </c>
      <c r="K1129" t="s">
        <v>30</v>
      </c>
      <c r="L1129">
        <v>57</v>
      </c>
      <c r="M1129">
        <v>6.28</v>
      </c>
      <c r="N1129">
        <v>4.0199999999999996</v>
      </c>
      <c r="O1129" t="s">
        <v>15</v>
      </c>
      <c r="P1129">
        <v>79</v>
      </c>
      <c r="Q1129">
        <v>159</v>
      </c>
      <c r="R1129">
        <v>58</v>
      </c>
      <c r="S1129">
        <v>76</v>
      </c>
      <c r="T1129" t="s">
        <v>48</v>
      </c>
      <c r="U1129">
        <f>IF(Cardiac_Table[[#This Row],[Patient Status at Discharge]]="Died", 1,0)</f>
        <v>0</v>
      </c>
      <c r="V1129">
        <f>Cardiac_Table[[#This Row],[Risk of Death % (Model 1)]]/100</f>
        <v>6.2800000000000009E-2</v>
      </c>
      <c r="W1129">
        <f>Cardiac_Table[[#This Row],[Risk of Death % (Model 2)]]/100</f>
        <v>4.0199999999999993E-2</v>
      </c>
      <c r="X1129" s="18">
        <f>Cardiac_Table[[#This Row],[Procedure Start Date and Time]]-Cardiac_Table[[#This Row],[Hospital Admit Date ]]</f>
        <v>5.7868055555591127</v>
      </c>
    </row>
    <row r="1130" spans="1:24" x14ac:dyDescent="0.35">
      <c r="A1130">
        <v>1140</v>
      </c>
      <c r="B1130" s="9">
        <v>44137.576388888891</v>
      </c>
      <c r="C1130" s="10">
        <f>INT(Cardiac_Table[[#This Row],[Hospital Admit Date ]])</f>
        <v>44137</v>
      </c>
      <c r="D1130" s="11" t="str">
        <f t="shared" si="17"/>
        <v>13:50</v>
      </c>
      <c r="E1130" s="9">
        <v>44141.340277777781</v>
      </c>
      <c r="F1130" s="10">
        <f>INT(Cardiac_Table[[#This Row],[Procedure Start Date and Time]])</f>
        <v>44141</v>
      </c>
      <c r="G1130" s="12">
        <f>MOD(Cardiac_Table[[#This Row],[Procedure Start Date and Time]],1)</f>
        <v>0.34027777778101154</v>
      </c>
      <c r="H1130">
        <v>6</v>
      </c>
      <c r="I1130" t="s">
        <v>6</v>
      </c>
      <c r="J1130" t="s">
        <v>10</v>
      </c>
      <c r="K1130" t="s">
        <v>24</v>
      </c>
      <c r="L1130">
        <v>77</v>
      </c>
      <c r="M1130">
        <v>7.33</v>
      </c>
      <c r="N1130">
        <v>5.87</v>
      </c>
      <c r="O1130" t="s">
        <v>13</v>
      </c>
      <c r="P1130">
        <v>66</v>
      </c>
      <c r="Q1130">
        <v>151</v>
      </c>
      <c r="R1130">
        <v>86</v>
      </c>
      <c r="S1130">
        <v>55</v>
      </c>
      <c r="T1130" t="s">
        <v>48</v>
      </c>
      <c r="U1130">
        <f>IF(Cardiac_Table[[#This Row],[Patient Status at Discharge]]="Died", 1,0)</f>
        <v>1</v>
      </c>
      <c r="V1130">
        <f>Cardiac_Table[[#This Row],[Risk of Death % (Model 1)]]/100</f>
        <v>7.3300000000000004E-2</v>
      </c>
      <c r="W1130">
        <f>Cardiac_Table[[#This Row],[Risk of Death % (Model 2)]]/100</f>
        <v>5.8700000000000002E-2</v>
      </c>
      <c r="X1130" s="18">
        <f>Cardiac_Table[[#This Row],[Procedure Start Date and Time]]-Cardiac_Table[[#This Row],[Hospital Admit Date ]]</f>
        <v>3.7638888888905058</v>
      </c>
    </row>
    <row r="1131" spans="1:24" x14ac:dyDescent="0.35">
      <c r="A1131">
        <v>1141</v>
      </c>
      <c r="B1131" s="9">
        <v>44140.708333333336</v>
      </c>
      <c r="C1131" s="10">
        <f>INT(Cardiac_Table[[#This Row],[Hospital Admit Date ]])</f>
        <v>44140</v>
      </c>
      <c r="D1131" s="11" t="str">
        <f t="shared" si="17"/>
        <v>17:00</v>
      </c>
      <c r="E1131" s="9">
        <v>44141.397916666669</v>
      </c>
      <c r="F1131" s="10">
        <f>INT(Cardiac_Table[[#This Row],[Procedure Start Date and Time]])</f>
        <v>44141</v>
      </c>
      <c r="G1131" s="12">
        <f>MOD(Cardiac_Table[[#This Row],[Procedure Start Date and Time]],1)</f>
        <v>0.39791666666860692</v>
      </c>
      <c r="H1131">
        <v>4</v>
      </c>
      <c r="I1131" t="s">
        <v>4</v>
      </c>
      <c r="J1131" t="s">
        <v>10</v>
      </c>
      <c r="K1131" t="s">
        <v>21</v>
      </c>
      <c r="L1131">
        <v>63</v>
      </c>
      <c r="M1131">
        <v>1.1499999999999999</v>
      </c>
      <c r="N1131">
        <v>0.82</v>
      </c>
      <c r="O1131" t="s">
        <v>15</v>
      </c>
      <c r="P1131">
        <v>136</v>
      </c>
      <c r="Q1131">
        <v>158</v>
      </c>
      <c r="R1131">
        <v>57</v>
      </c>
      <c r="S1131">
        <v>55</v>
      </c>
      <c r="T1131" t="s">
        <v>48</v>
      </c>
      <c r="U1131">
        <f>IF(Cardiac_Table[[#This Row],[Patient Status at Discharge]]="Died", 1,0)</f>
        <v>0</v>
      </c>
      <c r="V1131">
        <f>Cardiac_Table[[#This Row],[Risk of Death % (Model 1)]]/100</f>
        <v>1.15E-2</v>
      </c>
      <c r="W1131">
        <f>Cardiac_Table[[#This Row],[Risk of Death % (Model 2)]]/100</f>
        <v>8.199999999999999E-3</v>
      </c>
      <c r="X1131" s="18">
        <f>Cardiac_Table[[#This Row],[Procedure Start Date and Time]]-Cardiac_Table[[#This Row],[Hospital Admit Date ]]</f>
        <v>0.68958333333284827</v>
      </c>
    </row>
    <row r="1132" spans="1:24" x14ac:dyDescent="0.35">
      <c r="A1132">
        <v>1142</v>
      </c>
      <c r="B1132" s="9">
        <v>44140.291666666664</v>
      </c>
      <c r="C1132" s="10">
        <f>INT(Cardiac_Table[[#This Row],[Hospital Admit Date ]])</f>
        <v>44140</v>
      </c>
      <c r="D1132" s="11" t="str">
        <f t="shared" si="17"/>
        <v>07:00</v>
      </c>
      <c r="E1132" s="9">
        <v>44141.524305555555</v>
      </c>
      <c r="F1132" s="10">
        <f>INT(Cardiac_Table[[#This Row],[Procedure Start Date and Time]])</f>
        <v>44141</v>
      </c>
      <c r="G1132" s="12">
        <f>MOD(Cardiac_Table[[#This Row],[Procedure Start Date and Time]],1)</f>
        <v>0.52430555555474712</v>
      </c>
      <c r="H1132">
        <v>5</v>
      </c>
      <c r="I1132" t="s">
        <v>4</v>
      </c>
      <c r="J1132" t="s">
        <v>10</v>
      </c>
      <c r="K1132" t="s">
        <v>31</v>
      </c>
      <c r="L1132">
        <v>73</v>
      </c>
      <c r="M1132">
        <v>2.21</v>
      </c>
      <c r="N1132">
        <v>0.81</v>
      </c>
      <c r="O1132" t="s">
        <v>15</v>
      </c>
      <c r="P1132">
        <v>65</v>
      </c>
      <c r="Q1132">
        <v>164</v>
      </c>
      <c r="R1132">
        <v>61</v>
      </c>
      <c r="S1132">
        <v>45</v>
      </c>
      <c r="T1132" t="s">
        <v>50</v>
      </c>
      <c r="U1132">
        <f>IF(Cardiac_Table[[#This Row],[Patient Status at Discharge]]="Died", 1,0)</f>
        <v>0</v>
      </c>
      <c r="V1132">
        <f>Cardiac_Table[[#This Row],[Risk of Death % (Model 1)]]/100</f>
        <v>2.2099999999999998E-2</v>
      </c>
      <c r="W1132">
        <f>Cardiac_Table[[#This Row],[Risk of Death % (Model 2)]]/100</f>
        <v>8.1000000000000013E-3</v>
      </c>
      <c r="X1132" s="18">
        <f>Cardiac_Table[[#This Row],[Procedure Start Date and Time]]-Cardiac_Table[[#This Row],[Hospital Admit Date ]]</f>
        <v>1.2326388888905058</v>
      </c>
    </row>
    <row r="1133" spans="1:24" x14ac:dyDescent="0.35">
      <c r="A1133">
        <v>1143</v>
      </c>
      <c r="B1133" s="9">
        <v>44141.583333333336</v>
      </c>
      <c r="C1133" s="10">
        <f>INT(Cardiac_Table[[#This Row],[Hospital Admit Date ]])</f>
        <v>44141</v>
      </c>
      <c r="D1133" s="11" t="str">
        <f t="shared" si="17"/>
        <v>14:00</v>
      </c>
      <c r="E1133" s="9">
        <v>44142.335416666669</v>
      </c>
      <c r="F1133" s="10">
        <f>INT(Cardiac_Table[[#This Row],[Procedure Start Date and Time]])</f>
        <v>44142</v>
      </c>
      <c r="G1133" s="12">
        <f>MOD(Cardiac_Table[[#This Row],[Procedure Start Date and Time]],1)</f>
        <v>0.33541666666860692</v>
      </c>
      <c r="H1133">
        <v>5</v>
      </c>
      <c r="I1133" t="s">
        <v>4</v>
      </c>
      <c r="J1133" t="s">
        <v>3</v>
      </c>
      <c r="K1133" t="s">
        <v>23</v>
      </c>
      <c r="L1133">
        <v>62</v>
      </c>
      <c r="M1133">
        <v>2.5299999999999998</v>
      </c>
      <c r="N1133">
        <v>0.66</v>
      </c>
      <c r="O1133" t="s">
        <v>15</v>
      </c>
      <c r="P1133">
        <v>83</v>
      </c>
      <c r="Q1133">
        <v>161</v>
      </c>
      <c r="R1133">
        <v>92</v>
      </c>
      <c r="S1133">
        <v>55</v>
      </c>
      <c r="T1133" t="s">
        <v>48</v>
      </c>
      <c r="U1133">
        <f>IF(Cardiac_Table[[#This Row],[Patient Status at Discharge]]="Died", 1,0)</f>
        <v>0</v>
      </c>
      <c r="V1133">
        <f>Cardiac_Table[[#This Row],[Risk of Death % (Model 1)]]/100</f>
        <v>2.53E-2</v>
      </c>
      <c r="W1133">
        <f>Cardiac_Table[[#This Row],[Risk of Death % (Model 2)]]/100</f>
        <v>6.6E-3</v>
      </c>
      <c r="X1133" s="18">
        <f>Cardiac_Table[[#This Row],[Procedure Start Date and Time]]-Cardiac_Table[[#This Row],[Hospital Admit Date ]]</f>
        <v>0.75208333333284827</v>
      </c>
    </row>
    <row r="1134" spans="1:24" x14ac:dyDescent="0.35">
      <c r="A1134">
        <v>1144</v>
      </c>
      <c r="B1134" s="9">
        <v>44142.291666666664</v>
      </c>
      <c r="C1134" s="10">
        <f>INT(Cardiac_Table[[#This Row],[Hospital Admit Date ]])</f>
        <v>44142</v>
      </c>
      <c r="D1134" s="11" t="str">
        <f t="shared" si="17"/>
        <v>07:00</v>
      </c>
      <c r="E1134" s="9">
        <v>44142.465277777781</v>
      </c>
      <c r="F1134" s="10">
        <f>INT(Cardiac_Table[[#This Row],[Procedure Start Date and Time]])</f>
        <v>44142</v>
      </c>
      <c r="G1134" s="12">
        <f>MOD(Cardiac_Table[[#This Row],[Procedure Start Date and Time]],1)</f>
        <v>0.46527777778101154</v>
      </c>
      <c r="H1134">
        <v>4</v>
      </c>
      <c r="I1134" t="s">
        <v>4</v>
      </c>
      <c r="J1134" t="s">
        <v>3</v>
      </c>
      <c r="K1134" t="s">
        <v>23</v>
      </c>
      <c r="L1134">
        <v>70</v>
      </c>
      <c r="M1134">
        <v>6.31</v>
      </c>
      <c r="N1134">
        <v>1.7</v>
      </c>
      <c r="O1134" t="s">
        <v>15</v>
      </c>
      <c r="P1134">
        <v>74</v>
      </c>
      <c r="Q1134">
        <v>151</v>
      </c>
      <c r="R1134">
        <v>54</v>
      </c>
      <c r="S1134">
        <v>35</v>
      </c>
      <c r="T1134" t="s">
        <v>50</v>
      </c>
      <c r="U1134">
        <f>IF(Cardiac_Table[[#This Row],[Patient Status at Discharge]]="Died", 1,0)</f>
        <v>0</v>
      </c>
      <c r="V1134">
        <f>Cardiac_Table[[#This Row],[Risk of Death % (Model 1)]]/100</f>
        <v>6.3099999999999989E-2</v>
      </c>
      <c r="W1134">
        <f>Cardiac_Table[[#This Row],[Risk of Death % (Model 2)]]/100</f>
        <v>1.7000000000000001E-2</v>
      </c>
      <c r="X1134" s="18">
        <f>Cardiac_Table[[#This Row],[Procedure Start Date and Time]]-Cardiac_Table[[#This Row],[Hospital Admit Date ]]</f>
        <v>0.17361111111677019</v>
      </c>
    </row>
    <row r="1135" spans="1:24" x14ac:dyDescent="0.35">
      <c r="A1135">
        <v>1145</v>
      </c>
      <c r="B1135" s="9">
        <v>44143.666666666664</v>
      </c>
      <c r="C1135" s="10">
        <f>INT(Cardiac_Table[[#This Row],[Hospital Admit Date ]])</f>
        <v>44143</v>
      </c>
      <c r="D1135" s="11" t="str">
        <f t="shared" si="17"/>
        <v>16:00</v>
      </c>
      <c r="E1135" s="9">
        <v>44144.336805555555</v>
      </c>
      <c r="F1135" s="10">
        <f>INT(Cardiac_Table[[#This Row],[Procedure Start Date and Time]])</f>
        <v>44144</v>
      </c>
      <c r="G1135" s="12">
        <f>MOD(Cardiac_Table[[#This Row],[Procedure Start Date and Time]],1)</f>
        <v>0.33680555555474712</v>
      </c>
      <c r="H1135">
        <v>6</v>
      </c>
      <c r="I1135" t="s">
        <v>4</v>
      </c>
      <c r="J1135" t="s">
        <v>1</v>
      </c>
      <c r="K1135" t="s">
        <v>23</v>
      </c>
      <c r="L1135">
        <v>56</v>
      </c>
      <c r="M1135">
        <v>11.73</v>
      </c>
      <c r="N1135">
        <v>4.87</v>
      </c>
      <c r="O1135" t="s">
        <v>15</v>
      </c>
      <c r="P1135">
        <v>95</v>
      </c>
      <c r="Q1135">
        <v>178</v>
      </c>
      <c r="R1135">
        <v>103</v>
      </c>
      <c r="S1135">
        <v>66</v>
      </c>
      <c r="T1135" t="s">
        <v>48</v>
      </c>
      <c r="U1135">
        <f>IF(Cardiac_Table[[#This Row],[Patient Status at Discharge]]="Died", 1,0)</f>
        <v>0</v>
      </c>
      <c r="V1135">
        <f>Cardiac_Table[[#This Row],[Risk of Death % (Model 1)]]/100</f>
        <v>0.1173</v>
      </c>
      <c r="W1135">
        <f>Cardiac_Table[[#This Row],[Risk of Death % (Model 2)]]/100</f>
        <v>4.87E-2</v>
      </c>
      <c r="X1135" s="18">
        <f>Cardiac_Table[[#This Row],[Procedure Start Date and Time]]-Cardiac_Table[[#This Row],[Hospital Admit Date ]]</f>
        <v>0.67013888889050577</v>
      </c>
    </row>
    <row r="1136" spans="1:24" x14ac:dyDescent="0.35">
      <c r="A1136">
        <v>1146</v>
      </c>
      <c r="B1136" s="9">
        <v>44143.583333333336</v>
      </c>
      <c r="C1136" s="10">
        <f>INT(Cardiac_Table[[#This Row],[Hospital Admit Date ]])</f>
        <v>44143</v>
      </c>
      <c r="D1136" s="11" t="str">
        <f t="shared" si="17"/>
        <v>14:00</v>
      </c>
      <c r="E1136" s="9">
        <v>44144.347222222219</v>
      </c>
      <c r="F1136" s="10">
        <f>INT(Cardiac_Table[[#This Row],[Procedure Start Date and Time]])</f>
        <v>44144</v>
      </c>
      <c r="G1136" s="12">
        <f>MOD(Cardiac_Table[[#This Row],[Procedure Start Date and Time]],1)</f>
        <v>0.34722222221898846</v>
      </c>
      <c r="H1136">
        <v>3</v>
      </c>
      <c r="I1136" t="s">
        <v>4</v>
      </c>
      <c r="J1136" t="s">
        <v>3</v>
      </c>
      <c r="K1136" t="s">
        <v>30</v>
      </c>
      <c r="L1136">
        <v>39</v>
      </c>
      <c r="M1136">
        <v>2.27</v>
      </c>
      <c r="N1136">
        <v>0.76</v>
      </c>
      <c r="O1136" t="s">
        <v>15</v>
      </c>
      <c r="P1136">
        <v>159</v>
      </c>
      <c r="Q1136">
        <v>176</v>
      </c>
      <c r="R1136">
        <v>96</v>
      </c>
      <c r="S1136">
        <v>35</v>
      </c>
      <c r="T1136" t="s">
        <v>50</v>
      </c>
      <c r="U1136">
        <f>IF(Cardiac_Table[[#This Row],[Patient Status at Discharge]]="Died", 1,0)</f>
        <v>0</v>
      </c>
      <c r="V1136">
        <f>Cardiac_Table[[#This Row],[Risk of Death % (Model 1)]]/100</f>
        <v>2.2700000000000001E-2</v>
      </c>
      <c r="W1136">
        <f>Cardiac_Table[[#This Row],[Risk of Death % (Model 2)]]/100</f>
        <v>7.6E-3</v>
      </c>
      <c r="X1136" s="18">
        <f>Cardiac_Table[[#This Row],[Procedure Start Date and Time]]-Cardiac_Table[[#This Row],[Hospital Admit Date ]]</f>
        <v>0.76388888888322981</v>
      </c>
    </row>
    <row r="1137" spans="1:24" x14ac:dyDescent="0.35">
      <c r="A1137">
        <v>1147</v>
      </c>
      <c r="B1137" s="9">
        <v>44143.666666666664</v>
      </c>
      <c r="C1137" s="10">
        <f>INT(Cardiac_Table[[#This Row],[Hospital Admit Date ]])</f>
        <v>44143</v>
      </c>
      <c r="D1137" s="11" t="str">
        <f t="shared" si="17"/>
        <v>16:00</v>
      </c>
      <c r="E1137" s="9">
        <v>44144.347222222219</v>
      </c>
      <c r="F1137" s="10">
        <f>INT(Cardiac_Table[[#This Row],[Procedure Start Date and Time]])</f>
        <v>44144</v>
      </c>
      <c r="G1137" s="12">
        <f>MOD(Cardiac_Table[[#This Row],[Procedure Start Date and Time]],1)</f>
        <v>0.34722222221898846</v>
      </c>
      <c r="H1137">
        <v>1</v>
      </c>
      <c r="I1137" t="s">
        <v>4</v>
      </c>
      <c r="J1137" t="s">
        <v>3</v>
      </c>
      <c r="K1137" t="s">
        <v>33</v>
      </c>
      <c r="L1137">
        <v>30</v>
      </c>
      <c r="M1137">
        <v>1.51</v>
      </c>
      <c r="N1137">
        <v>1.75</v>
      </c>
      <c r="O1137" t="s">
        <v>15</v>
      </c>
      <c r="P1137">
        <v>83</v>
      </c>
      <c r="Q1137">
        <v>168</v>
      </c>
      <c r="R1137">
        <v>82</v>
      </c>
      <c r="S1137">
        <v>60</v>
      </c>
      <c r="T1137" t="s">
        <v>48</v>
      </c>
      <c r="U1137">
        <f>IF(Cardiac_Table[[#This Row],[Patient Status at Discharge]]="Died", 1,0)</f>
        <v>0</v>
      </c>
      <c r="V1137">
        <f>Cardiac_Table[[#This Row],[Risk of Death % (Model 1)]]/100</f>
        <v>1.5100000000000001E-2</v>
      </c>
      <c r="W1137">
        <f>Cardiac_Table[[#This Row],[Risk of Death % (Model 2)]]/100</f>
        <v>1.7500000000000002E-2</v>
      </c>
      <c r="X1137" s="18">
        <f>Cardiac_Table[[#This Row],[Procedure Start Date and Time]]-Cardiac_Table[[#This Row],[Hospital Admit Date ]]</f>
        <v>0.68055555555474712</v>
      </c>
    </row>
    <row r="1138" spans="1:24" x14ac:dyDescent="0.35">
      <c r="A1138">
        <v>1148</v>
      </c>
      <c r="B1138" s="9">
        <v>44136.423611111109</v>
      </c>
      <c r="C1138" s="10">
        <f>INT(Cardiac_Table[[#This Row],[Hospital Admit Date ]])</f>
        <v>44136</v>
      </c>
      <c r="D1138" s="11" t="str">
        <f t="shared" si="17"/>
        <v>10:10</v>
      </c>
      <c r="E1138" s="9">
        <v>44144.369444444441</v>
      </c>
      <c r="F1138" s="10">
        <f>INT(Cardiac_Table[[#This Row],[Procedure Start Date and Time]])</f>
        <v>44144</v>
      </c>
      <c r="G1138" s="12">
        <f>MOD(Cardiac_Table[[#This Row],[Procedure Start Date and Time]],1)</f>
        <v>0.36944444444088731</v>
      </c>
      <c r="H1138">
        <v>4</v>
      </c>
      <c r="I1138" t="s">
        <v>6</v>
      </c>
      <c r="J1138" t="s">
        <v>10</v>
      </c>
      <c r="K1138" t="s">
        <v>35</v>
      </c>
      <c r="L1138">
        <v>67</v>
      </c>
      <c r="M1138">
        <v>5.24</v>
      </c>
      <c r="N1138">
        <v>4.16</v>
      </c>
      <c r="O1138" t="s">
        <v>15</v>
      </c>
      <c r="P1138">
        <v>83</v>
      </c>
      <c r="Q1138">
        <v>164</v>
      </c>
      <c r="R1138">
        <v>72</v>
      </c>
      <c r="S1138">
        <v>29</v>
      </c>
      <c r="T1138" t="s">
        <v>49</v>
      </c>
      <c r="U1138">
        <f>IF(Cardiac_Table[[#This Row],[Patient Status at Discharge]]="Died", 1,0)</f>
        <v>0</v>
      </c>
      <c r="V1138">
        <f>Cardiac_Table[[#This Row],[Risk of Death % (Model 1)]]/100</f>
        <v>5.2400000000000002E-2</v>
      </c>
      <c r="W1138">
        <f>Cardiac_Table[[#This Row],[Risk of Death % (Model 2)]]/100</f>
        <v>4.1599999999999998E-2</v>
      </c>
      <c r="X1138" s="18">
        <f>Cardiac_Table[[#This Row],[Procedure Start Date and Time]]-Cardiac_Table[[#This Row],[Hospital Admit Date ]]</f>
        <v>7.9458333333313931</v>
      </c>
    </row>
    <row r="1139" spans="1:24" x14ac:dyDescent="0.35">
      <c r="A1139">
        <v>1149</v>
      </c>
      <c r="B1139" s="9">
        <v>44136.5</v>
      </c>
      <c r="C1139" s="10">
        <f>INT(Cardiac_Table[[#This Row],[Hospital Admit Date ]])</f>
        <v>44136</v>
      </c>
      <c r="D1139" s="11" t="str">
        <f t="shared" si="17"/>
        <v>12:00</v>
      </c>
      <c r="E1139" s="9">
        <v>44144.645833333336</v>
      </c>
      <c r="F1139" s="10">
        <f>INT(Cardiac_Table[[#This Row],[Procedure Start Date and Time]])</f>
        <v>44144</v>
      </c>
      <c r="G1139" s="12">
        <f>MOD(Cardiac_Table[[#This Row],[Procedure Start Date and Time]],1)</f>
        <v>0.64583333333575865</v>
      </c>
      <c r="H1139">
        <v>5</v>
      </c>
      <c r="I1139" t="s">
        <v>6</v>
      </c>
      <c r="J1139" t="s">
        <v>10</v>
      </c>
      <c r="K1139" t="s">
        <v>31</v>
      </c>
      <c r="L1139">
        <v>76</v>
      </c>
      <c r="M1139">
        <v>25.86</v>
      </c>
      <c r="N1139">
        <v>4.8</v>
      </c>
      <c r="O1139" t="s">
        <v>15</v>
      </c>
      <c r="P1139">
        <v>99</v>
      </c>
      <c r="Q1139">
        <v>155</v>
      </c>
      <c r="R1139">
        <v>81</v>
      </c>
      <c r="S1139">
        <v>45</v>
      </c>
      <c r="T1139" t="s">
        <v>50</v>
      </c>
      <c r="U1139">
        <f>IF(Cardiac_Table[[#This Row],[Patient Status at Discharge]]="Died", 1,0)</f>
        <v>0</v>
      </c>
      <c r="V1139">
        <f>Cardiac_Table[[#This Row],[Risk of Death % (Model 1)]]/100</f>
        <v>0.2586</v>
      </c>
      <c r="W1139">
        <f>Cardiac_Table[[#This Row],[Risk of Death % (Model 2)]]/100</f>
        <v>4.8000000000000001E-2</v>
      </c>
      <c r="X1139" s="18">
        <f>Cardiac_Table[[#This Row],[Procedure Start Date and Time]]-Cardiac_Table[[#This Row],[Hospital Admit Date ]]</f>
        <v>8.1458333333357587</v>
      </c>
    </row>
    <row r="1140" spans="1:24" x14ac:dyDescent="0.35">
      <c r="A1140">
        <v>1150</v>
      </c>
      <c r="B1140" s="9">
        <v>44142.4375</v>
      </c>
      <c r="C1140" s="10">
        <f>INT(Cardiac_Table[[#This Row],[Hospital Admit Date ]])</f>
        <v>44142</v>
      </c>
      <c r="D1140" s="11" t="str">
        <f t="shared" si="17"/>
        <v>10:30</v>
      </c>
      <c r="E1140" s="9">
        <v>44144.680555555555</v>
      </c>
      <c r="F1140" s="10">
        <f>INT(Cardiac_Table[[#This Row],[Procedure Start Date and Time]])</f>
        <v>44144</v>
      </c>
      <c r="G1140" s="12">
        <f>MOD(Cardiac_Table[[#This Row],[Procedure Start Date and Time]],1)</f>
        <v>0.68055555555474712</v>
      </c>
      <c r="H1140">
        <v>3</v>
      </c>
      <c r="I1140" t="s">
        <v>2</v>
      </c>
      <c r="J1140" t="s">
        <v>8</v>
      </c>
      <c r="K1140" t="s">
        <v>23</v>
      </c>
      <c r="L1140">
        <v>37</v>
      </c>
      <c r="M1140">
        <v>1.78</v>
      </c>
      <c r="N1140">
        <v>1.01</v>
      </c>
      <c r="O1140" t="s">
        <v>15</v>
      </c>
      <c r="P1140">
        <v>68</v>
      </c>
      <c r="Q1140">
        <v>171</v>
      </c>
      <c r="R1140">
        <v>87</v>
      </c>
      <c r="S1140">
        <v>26</v>
      </c>
      <c r="T1140" t="s">
        <v>49</v>
      </c>
      <c r="U1140">
        <f>IF(Cardiac_Table[[#This Row],[Patient Status at Discharge]]="Died", 1,0)</f>
        <v>0</v>
      </c>
      <c r="V1140">
        <f>Cardiac_Table[[#This Row],[Risk of Death % (Model 1)]]/100</f>
        <v>1.78E-2</v>
      </c>
      <c r="W1140">
        <f>Cardiac_Table[[#This Row],[Risk of Death % (Model 2)]]/100</f>
        <v>1.01E-2</v>
      </c>
      <c r="X1140" s="18">
        <f>Cardiac_Table[[#This Row],[Procedure Start Date and Time]]-Cardiac_Table[[#This Row],[Hospital Admit Date ]]</f>
        <v>2.2430555555547471</v>
      </c>
    </row>
    <row r="1141" spans="1:24" x14ac:dyDescent="0.35">
      <c r="A1141">
        <v>1151</v>
      </c>
      <c r="B1141" s="9">
        <v>44144.677083333336</v>
      </c>
      <c r="C1141" s="10">
        <f>INT(Cardiac_Table[[#This Row],[Hospital Admit Date ]])</f>
        <v>44144</v>
      </c>
      <c r="D1141" s="11" t="str">
        <f t="shared" si="17"/>
        <v>16:15</v>
      </c>
      <c r="E1141" s="9">
        <v>44145.357638888891</v>
      </c>
      <c r="F1141" s="10">
        <f>INT(Cardiac_Table[[#This Row],[Procedure Start Date and Time]])</f>
        <v>44145</v>
      </c>
      <c r="G1141" s="12">
        <f>MOD(Cardiac_Table[[#This Row],[Procedure Start Date and Time]],1)</f>
        <v>0.35763888889050577</v>
      </c>
      <c r="H1141">
        <v>6</v>
      </c>
      <c r="I1141" t="s">
        <v>4</v>
      </c>
      <c r="J1141" t="s">
        <v>3</v>
      </c>
      <c r="K1141" t="s">
        <v>29</v>
      </c>
      <c r="L1141">
        <v>75</v>
      </c>
      <c r="M1141">
        <v>19.239999999999998</v>
      </c>
      <c r="N1141">
        <v>7.54</v>
      </c>
      <c r="O1141" t="s">
        <v>15</v>
      </c>
      <c r="P1141">
        <v>80</v>
      </c>
      <c r="Q1141">
        <v>151</v>
      </c>
      <c r="R1141">
        <v>87</v>
      </c>
      <c r="S1141">
        <v>45</v>
      </c>
      <c r="T1141" t="s">
        <v>50</v>
      </c>
      <c r="U1141">
        <f>IF(Cardiac_Table[[#This Row],[Patient Status at Discharge]]="Died", 1,0)</f>
        <v>0</v>
      </c>
      <c r="V1141">
        <f>Cardiac_Table[[#This Row],[Risk of Death % (Model 1)]]/100</f>
        <v>0.19239999999999999</v>
      </c>
      <c r="W1141">
        <f>Cardiac_Table[[#This Row],[Risk of Death % (Model 2)]]/100</f>
        <v>7.5399999999999995E-2</v>
      </c>
      <c r="X1141" s="18">
        <f>Cardiac_Table[[#This Row],[Procedure Start Date and Time]]-Cardiac_Table[[#This Row],[Hospital Admit Date ]]</f>
        <v>0.68055555555474712</v>
      </c>
    </row>
    <row r="1142" spans="1:24" x14ac:dyDescent="0.35">
      <c r="A1142">
        <v>1152</v>
      </c>
      <c r="B1142" s="9">
        <v>44130.458333333336</v>
      </c>
      <c r="C1142" s="10">
        <f>INT(Cardiac_Table[[#This Row],[Hospital Admit Date ]])</f>
        <v>44130</v>
      </c>
      <c r="D1142" s="11" t="str">
        <f t="shared" si="17"/>
        <v>11:00</v>
      </c>
      <c r="E1142" s="9">
        <v>44146.347222222219</v>
      </c>
      <c r="F1142" s="10">
        <f>INT(Cardiac_Table[[#This Row],[Procedure Start Date and Time]])</f>
        <v>44146</v>
      </c>
      <c r="G1142" s="12">
        <f>MOD(Cardiac_Table[[#This Row],[Procedure Start Date and Time]],1)</f>
        <v>0.34722222221898846</v>
      </c>
      <c r="H1142">
        <v>6</v>
      </c>
      <c r="I1142" t="s">
        <v>6</v>
      </c>
      <c r="J1142" t="s">
        <v>10</v>
      </c>
      <c r="K1142" t="s">
        <v>24</v>
      </c>
      <c r="L1142">
        <v>66</v>
      </c>
      <c r="M1142">
        <v>3.85</v>
      </c>
      <c r="N1142">
        <v>2.4700000000000002</v>
      </c>
      <c r="O1142" t="s">
        <v>15</v>
      </c>
      <c r="P1142">
        <v>68</v>
      </c>
      <c r="Q1142">
        <v>166</v>
      </c>
      <c r="R1142">
        <v>81</v>
      </c>
      <c r="S1142">
        <v>36</v>
      </c>
      <c r="T1142" t="s">
        <v>50</v>
      </c>
      <c r="U1142">
        <f>IF(Cardiac_Table[[#This Row],[Patient Status at Discharge]]="Died", 1,0)</f>
        <v>0</v>
      </c>
      <c r="V1142">
        <f>Cardiac_Table[[#This Row],[Risk of Death % (Model 1)]]/100</f>
        <v>3.85E-2</v>
      </c>
      <c r="W1142">
        <f>Cardiac_Table[[#This Row],[Risk of Death % (Model 2)]]/100</f>
        <v>2.4700000000000003E-2</v>
      </c>
      <c r="X1142" s="18">
        <f>Cardiac_Table[[#This Row],[Procedure Start Date and Time]]-Cardiac_Table[[#This Row],[Hospital Admit Date ]]</f>
        <v>15.88888888888323</v>
      </c>
    </row>
    <row r="1143" spans="1:24" x14ac:dyDescent="0.35">
      <c r="A1143">
        <v>1153</v>
      </c>
      <c r="B1143" s="9">
        <v>44129.661805555559</v>
      </c>
      <c r="C1143" s="10">
        <f>INT(Cardiac_Table[[#This Row],[Hospital Admit Date ]])</f>
        <v>44129</v>
      </c>
      <c r="D1143" s="11" t="str">
        <f t="shared" si="17"/>
        <v>15:53</v>
      </c>
      <c r="E1143" s="9">
        <v>44146.347222222219</v>
      </c>
      <c r="F1143" s="10">
        <f>INT(Cardiac_Table[[#This Row],[Procedure Start Date and Time]])</f>
        <v>44146</v>
      </c>
      <c r="G1143" s="12">
        <f>MOD(Cardiac_Table[[#This Row],[Procedure Start Date and Time]],1)</f>
        <v>0.34722222221898846</v>
      </c>
      <c r="H1143">
        <v>1</v>
      </c>
      <c r="I1143" t="s">
        <v>6</v>
      </c>
      <c r="J1143" t="s">
        <v>3</v>
      </c>
      <c r="K1143" t="s">
        <v>27</v>
      </c>
      <c r="L1143">
        <v>63</v>
      </c>
      <c r="M1143">
        <v>11.38</v>
      </c>
      <c r="N1143">
        <v>6.12</v>
      </c>
      <c r="O1143" t="s">
        <v>15</v>
      </c>
      <c r="P1143">
        <v>96</v>
      </c>
      <c r="Q1143">
        <v>164</v>
      </c>
      <c r="R1143">
        <v>72</v>
      </c>
      <c r="S1143">
        <v>60</v>
      </c>
      <c r="T1143" t="s">
        <v>48</v>
      </c>
      <c r="U1143">
        <f>IF(Cardiac_Table[[#This Row],[Patient Status at Discharge]]="Died", 1,0)</f>
        <v>0</v>
      </c>
      <c r="V1143">
        <f>Cardiac_Table[[#This Row],[Risk of Death % (Model 1)]]/100</f>
        <v>0.11380000000000001</v>
      </c>
      <c r="W1143">
        <f>Cardiac_Table[[#This Row],[Risk of Death % (Model 2)]]/100</f>
        <v>6.1200000000000004E-2</v>
      </c>
      <c r="X1143" s="18">
        <f>Cardiac_Table[[#This Row],[Procedure Start Date and Time]]-Cardiac_Table[[#This Row],[Hospital Admit Date ]]</f>
        <v>16.685416666659876</v>
      </c>
    </row>
    <row r="1144" spans="1:24" x14ac:dyDescent="0.35">
      <c r="A1144">
        <v>1154</v>
      </c>
      <c r="B1144" s="9">
        <v>44146.654861111114</v>
      </c>
      <c r="C1144" s="10">
        <f>INT(Cardiac_Table[[#This Row],[Hospital Admit Date ]])</f>
        <v>44146</v>
      </c>
      <c r="D1144" s="11" t="str">
        <f t="shared" si="17"/>
        <v>15:43</v>
      </c>
      <c r="E1144" s="9">
        <v>44147.332638888889</v>
      </c>
      <c r="F1144" s="10">
        <f>INT(Cardiac_Table[[#This Row],[Procedure Start Date and Time]])</f>
        <v>44147</v>
      </c>
      <c r="G1144" s="12">
        <f>MOD(Cardiac_Table[[#This Row],[Procedure Start Date and Time]],1)</f>
        <v>0.33263888888905058</v>
      </c>
      <c r="H1144">
        <v>5</v>
      </c>
      <c r="I1144" t="s">
        <v>4</v>
      </c>
      <c r="J1144" t="s">
        <v>10</v>
      </c>
      <c r="K1144" t="s">
        <v>31</v>
      </c>
      <c r="L1144">
        <v>66</v>
      </c>
      <c r="M1144">
        <v>2.11</v>
      </c>
      <c r="N1144">
        <v>3.58</v>
      </c>
      <c r="O1144" t="s">
        <v>15</v>
      </c>
      <c r="P1144">
        <v>104</v>
      </c>
      <c r="Q1144">
        <v>170</v>
      </c>
      <c r="R1144">
        <v>67</v>
      </c>
      <c r="S1144">
        <v>55</v>
      </c>
      <c r="T1144" t="s">
        <v>48</v>
      </c>
      <c r="U1144">
        <f>IF(Cardiac_Table[[#This Row],[Patient Status at Discharge]]="Died", 1,0)</f>
        <v>0</v>
      </c>
      <c r="V1144">
        <f>Cardiac_Table[[#This Row],[Risk of Death % (Model 1)]]/100</f>
        <v>2.1099999999999997E-2</v>
      </c>
      <c r="W1144">
        <f>Cardiac_Table[[#This Row],[Risk of Death % (Model 2)]]/100</f>
        <v>3.5799999999999998E-2</v>
      </c>
      <c r="X1144" s="18">
        <f>Cardiac_Table[[#This Row],[Procedure Start Date and Time]]-Cardiac_Table[[#This Row],[Hospital Admit Date ]]</f>
        <v>0.67777777777519077</v>
      </c>
    </row>
    <row r="1145" spans="1:24" x14ac:dyDescent="0.35">
      <c r="A1145">
        <v>1155</v>
      </c>
      <c r="B1145" s="9">
        <v>44146.67291666667</v>
      </c>
      <c r="C1145" s="10">
        <f>INT(Cardiac_Table[[#This Row],[Hospital Admit Date ]])</f>
        <v>44146</v>
      </c>
      <c r="D1145" s="11" t="str">
        <f t="shared" si="17"/>
        <v>16:09</v>
      </c>
      <c r="E1145" s="9">
        <v>44147.333333333336</v>
      </c>
      <c r="F1145" s="10">
        <f>INT(Cardiac_Table[[#This Row],[Procedure Start Date and Time]])</f>
        <v>44147</v>
      </c>
      <c r="G1145" s="12">
        <f>MOD(Cardiac_Table[[#This Row],[Procedure Start Date and Time]],1)</f>
        <v>0.33333333333575865</v>
      </c>
      <c r="H1145">
        <v>6</v>
      </c>
      <c r="I1145" t="s">
        <v>4</v>
      </c>
      <c r="J1145" t="s">
        <v>1</v>
      </c>
      <c r="K1145" t="s">
        <v>23</v>
      </c>
      <c r="L1145">
        <v>78</v>
      </c>
      <c r="M1145">
        <v>19.39</v>
      </c>
      <c r="N1145">
        <v>1.98</v>
      </c>
      <c r="O1145" t="s">
        <v>15</v>
      </c>
      <c r="P1145">
        <v>79</v>
      </c>
      <c r="Q1145">
        <v>170</v>
      </c>
      <c r="R1145">
        <v>102</v>
      </c>
      <c r="S1145">
        <v>38</v>
      </c>
      <c r="T1145" t="s">
        <v>50</v>
      </c>
      <c r="U1145">
        <f>IF(Cardiac_Table[[#This Row],[Patient Status at Discharge]]="Died", 1,0)</f>
        <v>0</v>
      </c>
      <c r="V1145">
        <f>Cardiac_Table[[#This Row],[Risk of Death % (Model 1)]]/100</f>
        <v>0.19390000000000002</v>
      </c>
      <c r="W1145">
        <f>Cardiac_Table[[#This Row],[Risk of Death % (Model 2)]]/100</f>
        <v>1.9799999999999998E-2</v>
      </c>
      <c r="X1145" s="18">
        <f>Cardiac_Table[[#This Row],[Procedure Start Date and Time]]-Cardiac_Table[[#This Row],[Hospital Admit Date ]]</f>
        <v>0.66041666666569654</v>
      </c>
    </row>
    <row r="1146" spans="1:24" x14ac:dyDescent="0.35">
      <c r="A1146">
        <v>1156</v>
      </c>
      <c r="B1146" s="9">
        <v>44144.463888888888</v>
      </c>
      <c r="C1146" s="10">
        <f>INT(Cardiac_Table[[#This Row],[Hospital Admit Date ]])</f>
        <v>44144</v>
      </c>
      <c r="D1146" s="11" t="str">
        <f t="shared" si="17"/>
        <v>11:08</v>
      </c>
      <c r="E1146" s="9">
        <v>44147.339583333334</v>
      </c>
      <c r="F1146" s="10">
        <f>INT(Cardiac_Table[[#This Row],[Procedure Start Date and Time]])</f>
        <v>44147</v>
      </c>
      <c r="G1146" s="12">
        <f>MOD(Cardiac_Table[[#This Row],[Procedure Start Date and Time]],1)</f>
        <v>0.33958333333430346</v>
      </c>
      <c r="H1146">
        <v>4</v>
      </c>
      <c r="I1146" t="s">
        <v>6</v>
      </c>
      <c r="J1146" t="s">
        <v>10</v>
      </c>
      <c r="K1146" t="s">
        <v>21</v>
      </c>
      <c r="L1146">
        <v>67</v>
      </c>
      <c r="M1146">
        <v>1.49</v>
      </c>
      <c r="N1146">
        <v>0.84</v>
      </c>
      <c r="O1146" t="s">
        <v>15</v>
      </c>
      <c r="P1146">
        <v>97</v>
      </c>
      <c r="Q1146">
        <v>185</v>
      </c>
      <c r="R1146">
        <v>101</v>
      </c>
      <c r="S1146">
        <v>55</v>
      </c>
      <c r="T1146" t="s">
        <v>48</v>
      </c>
      <c r="U1146">
        <f>IF(Cardiac_Table[[#This Row],[Patient Status at Discharge]]="Died", 1,0)</f>
        <v>0</v>
      </c>
      <c r="V1146">
        <f>Cardiac_Table[[#This Row],[Risk of Death % (Model 1)]]/100</f>
        <v>1.49E-2</v>
      </c>
      <c r="W1146">
        <f>Cardiac_Table[[#This Row],[Risk of Death % (Model 2)]]/100</f>
        <v>8.3999999999999995E-3</v>
      </c>
      <c r="X1146" s="18">
        <f>Cardiac_Table[[#This Row],[Procedure Start Date and Time]]-Cardiac_Table[[#This Row],[Hospital Admit Date ]]</f>
        <v>2.8756944444467081</v>
      </c>
    </row>
    <row r="1147" spans="1:24" x14ac:dyDescent="0.35">
      <c r="A1147">
        <v>1157</v>
      </c>
      <c r="B1147" s="9">
        <v>44146.636805555558</v>
      </c>
      <c r="C1147" s="10">
        <f>INT(Cardiac_Table[[#This Row],[Hospital Admit Date ]])</f>
        <v>44146</v>
      </c>
      <c r="D1147" s="11" t="str">
        <f t="shared" si="17"/>
        <v>15:17</v>
      </c>
      <c r="E1147" s="9">
        <v>44147.34375</v>
      </c>
      <c r="F1147" s="10">
        <f>INT(Cardiac_Table[[#This Row],[Procedure Start Date and Time]])</f>
        <v>44147</v>
      </c>
      <c r="G1147" s="12">
        <f>MOD(Cardiac_Table[[#This Row],[Procedure Start Date and Time]],1)</f>
        <v>0.34375</v>
      </c>
      <c r="H1147">
        <v>1</v>
      </c>
      <c r="I1147" t="s">
        <v>4</v>
      </c>
      <c r="J1147" t="s">
        <v>3</v>
      </c>
      <c r="K1147" t="s">
        <v>34</v>
      </c>
      <c r="L1147">
        <v>77</v>
      </c>
      <c r="M1147">
        <v>4.83</v>
      </c>
      <c r="N1147">
        <v>1.22</v>
      </c>
      <c r="O1147" t="s">
        <v>15</v>
      </c>
      <c r="P1147">
        <v>69</v>
      </c>
      <c r="Q1147">
        <v>160</v>
      </c>
      <c r="R1147">
        <v>72</v>
      </c>
      <c r="S1147">
        <v>58</v>
      </c>
      <c r="T1147" t="s">
        <v>48</v>
      </c>
      <c r="U1147">
        <f>IF(Cardiac_Table[[#This Row],[Patient Status at Discharge]]="Died", 1,0)</f>
        <v>0</v>
      </c>
      <c r="V1147">
        <f>Cardiac_Table[[#This Row],[Risk of Death % (Model 1)]]/100</f>
        <v>4.8300000000000003E-2</v>
      </c>
      <c r="W1147">
        <f>Cardiac_Table[[#This Row],[Risk of Death % (Model 2)]]/100</f>
        <v>1.2199999999999999E-2</v>
      </c>
      <c r="X1147" s="18">
        <f>Cardiac_Table[[#This Row],[Procedure Start Date and Time]]-Cardiac_Table[[#This Row],[Hospital Admit Date ]]</f>
        <v>0.7069444444423425</v>
      </c>
    </row>
    <row r="1148" spans="1:24" x14ac:dyDescent="0.35">
      <c r="A1148">
        <v>1158</v>
      </c>
      <c r="B1148" s="9">
        <v>44122.011805555558</v>
      </c>
      <c r="C1148" s="10">
        <f>INT(Cardiac_Table[[#This Row],[Hospital Admit Date ]])</f>
        <v>44122</v>
      </c>
      <c r="D1148" s="11" t="str">
        <f t="shared" si="17"/>
        <v>00:17</v>
      </c>
      <c r="E1148" s="9">
        <v>44147.34375</v>
      </c>
      <c r="F1148" s="10">
        <f>INT(Cardiac_Table[[#This Row],[Procedure Start Date and Time]])</f>
        <v>44147</v>
      </c>
      <c r="G1148" s="12">
        <f>MOD(Cardiac_Table[[#This Row],[Procedure Start Date and Time]],1)</f>
        <v>0.34375</v>
      </c>
      <c r="H1148">
        <v>3</v>
      </c>
      <c r="I1148" t="s">
        <v>6</v>
      </c>
      <c r="J1148" t="s">
        <v>11</v>
      </c>
      <c r="K1148" t="s">
        <v>30</v>
      </c>
      <c r="L1148">
        <v>70</v>
      </c>
      <c r="M1148">
        <v>1.82</v>
      </c>
      <c r="N1148">
        <v>0.91</v>
      </c>
      <c r="O1148" t="s">
        <v>15</v>
      </c>
      <c r="P1148">
        <v>64</v>
      </c>
      <c r="Q1148">
        <v>180</v>
      </c>
      <c r="R1148">
        <v>95</v>
      </c>
      <c r="S1148">
        <v>50</v>
      </c>
      <c r="T1148" t="s">
        <v>50</v>
      </c>
      <c r="U1148">
        <f>IF(Cardiac_Table[[#This Row],[Patient Status at Discharge]]="Died", 1,0)</f>
        <v>0</v>
      </c>
      <c r="V1148">
        <f>Cardiac_Table[[#This Row],[Risk of Death % (Model 1)]]/100</f>
        <v>1.8200000000000001E-2</v>
      </c>
      <c r="W1148">
        <f>Cardiac_Table[[#This Row],[Risk of Death % (Model 2)]]/100</f>
        <v>9.1000000000000004E-3</v>
      </c>
      <c r="X1148" s="18">
        <f>Cardiac_Table[[#This Row],[Procedure Start Date and Time]]-Cardiac_Table[[#This Row],[Hospital Admit Date ]]</f>
        <v>25.331944444442343</v>
      </c>
    </row>
    <row r="1149" spans="1:24" x14ac:dyDescent="0.35">
      <c r="A1149">
        <v>1159</v>
      </c>
      <c r="B1149" s="9">
        <v>44147.28125</v>
      </c>
      <c r="C1149" s="10">
        <f>INT(Cardiac_Table[[#This Row],[Hospital Admit Date ]])</f>
        <v>44147</v>
      </c>
      <c r="D1149" s="11" t="str">
        <f t="shared" si="17"/>
        <v>06:45</v>
      </c>
      <c r="E1149" s="9">
        <v>44147.59375</v>
      </c>
      <c r="F1149" s="10">
        <f>INT(Cardiac_Table[[#This Row],[Procedure Start Date and Time]])</f>
        <v>44147</v>
      </c>
      <c r="G1149" s="12">
        <f>MOD(Cardiac_Table[[#This Row],[Procedure Start Date and Time]],1)</f>
        <v>0.59375</v>
      </c>
      <c r="H1149">
        <v>4</v>
      </c>
      <c r="I1149" t="s">
        <v>4</v>
      </c>
      <c r="J1149" t="s">
        <v>10</v>
      </c>
      <c r="K1149" t="s">
        <v>21</v>
      </c>
      <c r="L1149">
        <v>73</v>
      </c>
      <c r="M1149">
        <v>2.21</v>
      </c>
      <c r="N1149">
        <v>0.72</v>
      </c>
      <c r="O1149" t="s">
        <v>15</v>
      </c>
      <c r="P1149">
        <v>62</v>
      </c>
      <c r="Q1149">
        <v>188</v>
      </c>
      <c r="R1149">
        <v>102</v>
      </c>
      <c r="S1149">
        <v>45</v>
      </c>
      <c r="T1149" t="s">
        <v>50</v>
      </c>
      <c r="U1149">
        <f>IF(Cardiac_Table[[#This Row],[Patient Status at Discharge]]="Died", 1,0)</f>
        <v>0</v>
      </c>
      <c r="V1149">
        <f>Cardiac_Table[[#This Row],[Risk of Death % (Model 1)]]/100</f>
        <v>2.2099999999999998E-2</v>
      </c>
      <c r="W1149">
        <f>Cardiac_Table[[#This Row],[Risk of Death % (Model 2)]]/100</f>
        <v>7.1999999999999998E-3</v>
      </c>
      <c r="X1149" s="18">
        <f>Cardiac_Table[[#This Row],[Procedure Start Date and Time]]-Cardiac_Table[[#This Row],[Hospital Admit Date ]]</f>
        <v>0.3125</v>
      </c>
    </row>
    <row r="1150" spans="1:24" x14ac:dyDescent="0.35">
      <c r="A1150">
        <v>1160</v>
      </c>
      <c r="B1150" s="9">
        <v>44147.686805555553</v>
      </c>
      <c r="C1150" s="10">
        <f>INT(Cardiac_Table[[#This Row],[Hospital Admit Date ]])</f>
        <v>44147</v>
      </c>
      <c r="D1150" s="11" t="str">
        <f t="shared" si="17"/>
        <v>16:29</v>
      </c>
      <c r="E1150" s="9">
        <v>44147.704861111109</v>
      </c>
      <c r="F1150" s="10">
        <f>INT(Cardiac_Table[[#This Row],[Procedure Start Date and Time]])</f>
        <v>44147</v>
      </c>
      <c r="G1150" s="12">
        <f>MOD(Cardiac_Table[[#This Row],[Procedure Start Date and Time]],1)</f>
        <v>0.70486111110949423</v>
      </c>
      <c r="H1150">
        <v>1</v>
      </c>
      <c r="I1150" t="s">
        <v>2</v>
      </c>
      <c r="J1150" t="s">
        <v>1</v>
      </c>
      <c r="K1150" t="s">
        <v>24</v>
      </c>
      <c r="L1150">
        <v>53</v>
      </c>
      <c r="M1150">
        <v>9.0399999999999991</v>
      </c>
      <c r="N1150">
        <v>1.92</v>
      </c>
      <c r="O1150" t="s">
        <v>15</v>
      </c>
      <c r="P1150">
        <v>84</v>
      </c>
      <c r="Q1150">
        <v>172</v>
      </c>
      <c r="R1150">
        <v>92</v>
      </c>
      <c r="S1150">
        <v>50</v>
      </c>
      <c r="T1150" t="s">
        <v>50</v>
      </c>
      <c r="U1150">
        <f>IF(Cardiac_Table[[#This Row],[Patient Status at Discharge]]="Died", 1,0)</f>
        <v>0</v>
      </c>
      <c r="V1150">
        <f>Cardiac_Table[[#This Row],[Risk of Death % (Model 1)]]/100</f>
        <v>9.0399999999999994E-2</v>
      </c>
      <c r="W1150">
        <f>Cardiac_Table[[#This Row],[Risk of Death % (Model 2)]]/100</f>
        <v>1.9199999999999998E-2</v>
      </c>
      <c r="X1150" s="18">
        <f>Cardiac_Table[[#This Row],[Procedure Start Date and Time]]-Cardiac_Table[[#This Row],[Hospital Admit Date ]]</f>
        <v>1.8055555556202307E-2</v>
      </c>
    </row>
    <row r="1151" spans="1:24" x14ac:dyDescent="0.35">
      <c r="A1151">
        <v>1161</v>
      </c>
      <c r="B1151" s="9">
        <v>44147.666666666664</v>
      </c>
      <c r="C1151" s="10">
        <f>INT(Cardiac_Table[[#This Row],[Hospital Admit Date ]])</f>
        <v>44147</v>
      </c>
      <c r="D1151" s="11" t="str">
        <f t="shared" si="17"/>
        <v>16:00</v>
      </c>
      <c r="E1151" s="9">
        <v>44148.338194444441</v>
      </c>
      <c r="F1151" s="10">
        <f>INT(Cardiac_Table[[#This Row],[Procedure Start Date and Time]])</f>
        <v>44148</v>
      </c>
      <c r="G1151" s="12">
        <f>MOD(Cardiac_Table[[#This Row],[Procedure Start Date and Time]],1)</f>
        <v>0.33819444444088731</v>
      </c>
      <c r="H1151">
        <v>4</v>
      </c>
      <c r="I1151" t="s">
        <v>4</v>
      </c>
      <c r="J1151" t="s">
        <v>3</v>
      </c>
      <c r="K1151" t="s">
        <v>21</v>
      </c>
      <c r="L1151">
        <v>81</v>
      </c>
      <c r="M1151">
        <v>6.21</v>
      </c>
      <c r="N1151">
        <v>2.36</v>
      </c>
      <c r="O1151" t="s">
        <v>15</v>
      </c>
      <c r="P1151">
        <v>144</v>
      </c>
      <c r="Q1151">
        <v>166</v>
      </c>
      <c r="R1151">
        <v>57</v>
      </c>
      <c r="S1151">
        <v>55</v>
      </c>
      <c r="T1151" t="s">
        <v>48</v>
      </c>
      <c r="U1151">
        <f>IF(Cardiac_Table[[#This Row],[Patient Status at Discharge]]="Died", 1,0)</f>
        <v>0</v>
      </c>
      <c r="V1151">
        <f>Cardiac_Table[[#This Row],[Risk of Death % (Model 1)]]/100</f>
        <v>6.2100000000000002E-2</v>
      </c>
      <c r="W1151">
        <f>Cardiac_Table[[#This Row],[Risk of Death % (Model 2)]]/100</f>
        <v>2.3599999999999999E-2</v>
      </c>
      <c r="X1151" s="18">
        <f>Cardiac_Table[[#This Row],[Procedure Start Date and Time]]-Cardiac_Table[[#This Row],[Hospital Admit Date ]]</f>
        <v>0.67152777777664596</v>
      </c>
    </row>
    <row r="1152" spans="1:24" x14ac:dyDescent="0.35">
      <c r="A1152">
        <v>1162</v>
      </c>
      <c r="B1152" s="9">
        <v>44144.474305555559</v>
      </c>
      <c r="C1152" s="10">
        <f>INT(Cardiac_Table[[#This Row],[Hospital Admit Date ]])</f>
        <v>44144</v>
      </c>
      <c r="D1152" s="11" t="str">
        <f t="shared" si="17"/>
        <v>11:23</v>
      </c>
      <c r="E1152" s="9">
        <v>44148.34375</v>
      </c>
      <c r="F1152" s="10">
        <f>INT(Cardiac_Table[[#This Row],[Procedure Start Date and Time]])</f>
        <v>44148</v>
      </c>
      <c r="G1152" s="12">
        <f>MOD(Cardiac_Table[[#This Row],[Procedure Start Date and Time]],1)</f>
        <v>0.34375</v>
      </c>
      <c r="H1152">
        <v>5</v>
      </c>
      <c r="I1152" t="s">
        <v>6</v>
      </c>
      <c r="J1152" t="s">
        <v>11</v>
      </c>
      <c r="K1152" t="s">
        <v>25</v>
      </c>
      <c r="L1152">
        <v>68</v>
      </c>
      <c r="M1152">
        <v>10.69</v>
      </c>
      <c r="N1152">
        <v>5.01</v>
      </c>
      <c r="O1152" t="s">
        <v>15</v>
      </c>
      <c r="P1152">
        <v>80</v>
      </c>
      <c r="Q1152">
        <v>166</v>
      </c>
      <c r="R1152">
        <v>85</v>
      </c>
      <c r="S1152">
        <v>28</v>
      </c>
      <c r="T1152" t="s">
        <v>49</v>
      </c>
      <c r="U1152">
        <f>IF(Cardiac_Table[[#This Row],[Patient Status at Discharge]]="Died", 1,0)</f>
        <v>0</v>
      </c>
      <c r="V1152">
        <f>Cardiac_Table[[#This Row],[Risk of Death % (Model 1)]]/100</f>
        <v>0.1069</v>
      </c>
      <c r="W1152">
        <f>Cardiac_Table[[#This Row],[Risk of Death % (Model 2)]]/100</f>
        <v>5.0099999999999999E-2</v>
      </c>
      <c r="X1152" s="18">
        <f>Cardiac_Table[[#This Row],[Procedure Start Date and Time]]-Cardiac_Table[[#This Row],[Hospital Admit Date ]]</f>
        <v>3.8694444444408873</v>
      </c>
    </row>
    <row r="1153" spans="1:24" x14ac:dyDescent="0.35">
      <c r="A1153">
        <v>1163</v>
      </c>
      <c r="B1153" s="9">
        <v>44142.430555555555</v>
      </c>
      <c r="C1153" s="10">
        <f>INT(Cardiac_Table[[#This Row],[Hospital Admit Date ]])</f>
        <v>44142</v>
      </c>
      <c r="D1153" s="11" t="str">
        <f t="shared" si="17"/>
        <v>10:20</v>
      </c>
      <c r="E1153" s="9">
        <v>44148.34375</v>
      </c>
      <c r="F1153" s="10">
        <f>INT(Cardiac_Table[[#This Row],[Procedure Start Date and Time]])</f>
        <v>44148</v>
      </c>
      <c r="G1153" s="12">
        <f>MOD(Cardiac_Table[[#This Row],[Procedure Start Date and Time]],1)</f>
        <v>0.34375</v>
      </c>
      <c r="H1153">
        <v>1</v>
      </c>
      <c r="I1153" t="s">
        <v>6</v>
      </c>
      <c r="J1153" t="s">
        <v>3</v>
      </c>
      <c r="K1153" t="s">
        <v>35</v>
      </c>
      <c r="L1153">
        <v>54</v>
      </c>
      <c r="M1153">
        <v>10.91</v>
      </c>
      <c r="N1153">
        <v>5.48</v>
      </c>
      <c r="O1153" t="s">
        <v>15</v>
      </c>
      <c r="P1153">
        <v>97</v>
      </c>
      <c r="Q1153">
        <v>162</v>
      </c>
      <c r="R1153">
        <v>78</v>
      </c>
      <c r="S1153">
        <v>55</v>
      </c>
      <c r="T1153" t="s">
        <v>48</v>
      </c>
      <c r="U1153">
        <f>IF(Cardiac_Table[[#This Row],[Patient Status at Discharge]]="Died", 1,0)</f>
        <v>0</v>
      </c>
      <c r="V1153">
        <f>Cardiac_Table[[#This Row],[Risk of Death % (Model 1)]]/100</f>
        <v>0.1091</v>
      </c>
      <c r="W1153">
        <f>Cardiac_Table[[#This Row],[Risk of Death % (Model 2)]]/100</f>
        <v>5.4800000000000001E-2</v>
      </c>
      <c r="X1153" s="18">
        <f>Cardiac_Table[[#This Row],[Procedure Start Date and Time]]-Cardiac_Table[[#This Row],[Hospital Admit Date ]]</f>
        <v>5.9131944444452529</v>
      </c>
    </row>
    <row r="1154" spans="1:24" x14ac:dyDescent="0.35">
      <c r="A1154">
        <v>1164</v>
      </c>
      <c r="B1154" s="9">
        <v>44146.563194444447</v>
      </c>
      <c r="C1154" s="10">
        <f>INT(Cardiac_Table[[#This Row],[Hospital Admit Date ]])</f>
        <v>44146</v>
      </c>
      <c r="D1154" s="11" t="str">
        <f t="shared" ref="D1154:D1217" si="18">TEXT(B1154,"HH:MM")</f>
        <v>13:31</v>
      </c>
      <c r="E1154" s="9">
        <v>44148.441666666666</v>
      </c>
      <c r="F1154" s="10">
        <f>INT(Cardiac_Table[[#This Row],[Procedure Start Date and Time]])</f>
        <v>44148</v>
      </c>
      <c r="G1154" s="12">
        <f>MOD(Cardiac_Table[[#This Row],[Procedure Start Date and Time]],1)</f>
        <v>0.44166666666569654</v>
      </c>
      <c r="H1154">
        <v>6</v>
      </c>
      <c r="I1154" t="s">
        <v>6</v>
      </c>
      <c r="J1154" t="s">
        <v>10</v>
      </c>
      <c r="K1154" t="s">
        <v>24</v>
      </c>
      <c r="L1154">
        <v>82</v>
      </c>
      <c r="M1154">
        <v>9.75</v>
      </c>
      <c r="N1154">
        <v>3.03</v>
      </c>
      <c r="O1154" t="s">
        <v>15</v>
      </c>
      <c r="P1154">
        <v>129</v>
      </c>
      <c r="Q1154">
        <v>171</v>
      </c>
      <c r="R1154">
        <v>79</v>
      </c>
      <c r="S1154">
        <v>55</v>
      </c>
      <c r="T1154" t="s">
        <v>48</v>
      </c>
      <c r="U1154">
        <f>IF(Cardiac_Table[[#This Row],[Patient Status at Discharge]]="Died", 1,0)</f>
        <v>0</v>
      </c>
      <c r="V1154">
        <f>Cardiac_Table[[#This Row],[Risk of Death % (Model 1)]]/100</f>
        <v>9.7500000000000003E-2</v>
      </c>
      <c r="W1154">
        <f>Cardiac_Table[[#This Row],[Risk of Death % (Model 2)]]/100</f>
        <v>3.0299999999999997E-2</v>
      </c>
      <c r="X1154" s="18">
        <f>Cardiac_Table[[#This Row],[Procedure Start Date and Time]]-Cardiac_Table[[#This Row],[Hospital Admit Date ]]</f>
        <v>1.8784722222189885</v>
      </c>
    </row>
    <row r="1155" spans="1:24" x14ac:dyDescent="0.35">
      <c r="A1155">
        <v>1165</v>
      </c>
      <c r="B1155" s="9">
        <v>44148.277777777781</v>
      </c>
      <c r="C1155" s="10">
        <f>INT(Cardiac_Table[[#This Row],[Hospital Admit Date ]])</f>
        <v>44148</v>
      </c>
      <c r="D1155" s="11" t="str">
        <f t="shared" si="18"/>
        <v>06:40</v>
      </c>
      <c r="E1155" s="9">
        <v>44148.56527777778</v>
      </c>
      <c r="F1155" s="10">
        <f>INT(Cardiac_Table[[#This Row],[Procedure Start Date and Time]])</f>
        <v>44148</v>
      </c>
      <c r="G1155" s="12">
        <f>MOD(Cardiac_Table[[#This Row],[Procedure Start Date and Time]],1)</f>
        <v>0.56527777777955635</v>
      </c>
      <c r="H1155">
        <v>5</v>
      </c>
      <c r="I1155" t="s">
        <v>4</v>
      </c>
      <c r="J1155" t="s">
        <v>10</v>
      </c>
      <c r="K1155" t="s">
        <v>25</v>
      </c>
      <c r="L1155">
        <v>63</v>
      </c>
      <c r="M1155">
        <v>1.1499999999999999</v>
      </c>
      <c r="N1155">
        <v>0.61</v>
      </c>
      <c r="O1155" t="s">
        <v>15</v>
      </c>
      <c r="P1155">
        <v>181</v>
      </c>
      <c r="Q1155">
        <v>168</v>
      </c>
      <c r="R1155">
        <v>91</v>
      </c>
      <c r="S1155">
        <v>70</v>
      </c>
      <c r="T1155" t="s">
        <v>48</v>
      </c>
      <c r="U1155">
        <f>IF(Cardiac_Table[[#This Row],[Patient Status at Discharge]]="Died", 1,0)</f>
        <v>0</v>
      </c>
      <c r="V1155">
        <f>Cardiac_Table[[#This Row],[Risk of Death % (Model 1)]]/100</f>
        <v>1.15E-2</v>
      </c>
      <c r="W1155">
        <f>Cardiac_Table[[#This Row],[Risk of Death % (Model 2)]]/100</f>
        <v>6.0999999999999995E-3</v>
      </c>
      <c r="X1155" s="18">
        <f>Cardiac_Table[[#This Row],[Procedure Start Date and Time]]-Cardiac_Table[[#This Row],[Hospital Admit Date ]]</f>
        <v>0.28749999999854481</v>
      </c>
    </row>
    <row r="1156" spans="1:24" x14ac:dyDescent="0.35">
      <c r="A1156">
        <v>1166</v>
      </c>
      <c r="B1156" s="9">
        <v>44148.667361111111</v>
      </c>
      <c r="C1156" s="10">
        <f>INT(Cardiac_Table[[#This Row],[Hospital Admit Date ]])</f>
        <v>44148</v>
      </c>
      <c r="D1156" s="11" t="str">
        <f t="shared" si="18"/>
        <v>16:01</v>
      </c>
      <c r="E1156" s="9">
        <v>44149.333333333336</v>
      </c>
      <c r="F1156" s="10">
        <f>INT(Cardiac_Table[[#This Row],[Procedure Start Date and Time]])</f>
        <v>44149</v>
      </c>
      <c r="G1156" s="12">
        <f>MOD(Cardiac_Table[[#This Row],[Procedure Start Date and Time]],1)</f>
        <v>0.33333333333575865</v>
      </c>
      <c r="H1156">
        <v>5</v>
      </c>
      <c r="I1156" t="s">
        <v>4</v>
      </c>
      <c r="J1156" t="s">
        <v>10</v>
      </c>
      <c r="K1156" t="s">
        <v>30</v>
      </c>
      <c r="L1156">
        <v>58</v>
      </c>
      <c r="M1156">
        <v>1.33</v>
      </c>
      <c r="N1156">
        <v>0.92</v>
      </c>
      <c r="O1156" t="s">
        <v>15</v>
      </c>
      <c r="P1156">
        <v>73</v>
      </c>
      <c r="Q1156">
        <v>156</v>
      </c>
      <c r="R1156">
        <v>67</v>
      </c>
      <c r="S1156">
        <v>55</v>
      </c>
      <c r="T1156" t="s">
        <v>48</v>
      </c>
      <c r="U1156">
        <f>IF(Cardiac_Table[[#This Row],[Patient Status at Discharge]]="Died", 1,0)</f>
        <v>0</v>
      </c>
      <c r="V1156">
        <f>Cardiac_Table[[#This Row],[Risk of Death % (Model 1)]]/100</f>
        <v>1.3300000000000001E-2</v>
      </c>
      <c r="W1156">
        <f>Cardiac_Table[[#This Row],[Risk of Death % (Model 2)]]/100</f>
        <v>9.1999999999999998E-3</v>
      </c>
      <c r="X1156" s="18">
        <f>Cardiac_Table[[#This Row],[Procedure Start Date and Time]]-Cardiac_Table[[#This Row],[Hospital Admit Date ]]</f>
        <v>0.66597222222480923</v>
      </c>
    </row>
    <row r="1157" spans="1:24" x14ac:dyDescent="0.35">
      <c r="A1157">
        <v>1167</v>
      </c>
      <c r="B1157" s="9">
        <v>44149.291666666664</v>
      </c>
      <c r="C1157" s="10">
        <f>INT(Cardiac_Table[[#This Row],[Hospital Admit Date ]])</f>
        <v>44149</v>
      </c>
      <c r="D1157" s="11" t="str">
        <f t="shared" si="18"/>
        <v>07:00</v>
      </c>
      <c r="E1157" s="9">
        <v>44149.489583333336</v>
      </c>
      <c r="F1157" s="10">
        <f>INT(Cardiac_Table[[#This Row],[Procedure Start Date and Time]])</f>
        <v>44149</v>
      </c>
      <c r="G1157" s="12">
        <f>MOD(Cardiac_Table[[#This Row],[Procedure Start Date and Time]],1)</f>
        <v>0.48958333333575865</v>
      </c>
      <c r="H1157">
        <v>4</v>
      </c>
      <c r="I1157" t="s">
        <v>4</v>
      </c>
      <c r="J1157" t="s">
        <v>10</v>
      </c>
      <c r="K1157" t="s">
        <v>30</v>
      </c>
      <c r="L1157">
        <v>60</v>
      </c>
      <c r="M1157">
        <v>1.53</v>
      </c>
      <c r="N1157">
        <v>0.67</v>
      </c>
      <c r="O1157" t="s">
        <v>15</v>
      </c>
      <c r="P1157">
        <v>91</v>
      </c>
      <c r="Q1157">
        <v>170</v>
      </c>
      <c r="R1157">
        <v>75</v>
      </c>
      <c r="S1157">
        <v>55</v>
      </c>
      <c r="T1157" t="s">
        <v>48</v>
      </c>
      <c r="U1157">
        <f>IF(Cardiac_Table[[#This Row],[Patient Status at Discharge]]="Died", 1,0)</f>
        <v>0</v>
      </c>
      <c r="V1157">
        <f>Cardiac_Table[[#This Row],[Risk of Death % (Model 1)]]/100</f>
        <v>1.5300000000000001E-2</v>
      </c>
      <c r="W1157">
        <f>Cardiac_Table[[#This Row],[Risk of Death % (Model 2)]]/100</f>
        <v>6.7000000000000002E-3</v>
      </c>
      <c r="X1157" s="18">
        <f>Cardiac_Table[[#This Row],[Procedure Start Date and Time]]-Cardiac_Table[[#This Row],[Hospital Admit Date ]]</f>
        <v>0.19791666667151731</v>
      </c>
    </row>
    <row r="1158" spans="1:24" x14ac:dyDescent="0.35">
      <c r="A1158">
        <v>1168</v>
      </c>
      <c r="B1158" s="9">
        <v>44150.666666666664</v>
      </c>
      <c r="C1158" s="10">
        <f>INT(Cardiac_Table[[#This Row],[Hospital Admit Date ]])</f>
        <v>44150</v>
      </c>
      <c r="D1158" s="11" t="str">
        <f t="shared" si="18"/>
        <v>16:00</v>
      </c>
      <c r="E1158" s="9">
        <v>44151.333333333336</v>
      </c>
      <c r="F1158" s="10">
        <f>INT(Cardiac_Table[[#This Row],[Procedure Start Date and Time]])</f>
        <v>44151</v>
      </c>
      <c r="G1158" s="12">
        <f>MOD(Cardiac_Table[[#This Row],[Procedure Start Date and Time]],1)</f>
        <v>0.33333333333575865</v>
      </c>
      <c r="H1158">
        <v>6</v>
      </c>
      <c r="I1158" t="s">
        <v>4</v>
      </c>
      <c r="J1158" t="s">
        <v>11</v>
      </c>
      <c r="K1158" t="s">
        <v>23</v>
      </c>
      <c r="L1158">
        <v>74</v>
      </c>
      <c r="M1158">
        <v>3.99</v>
      </c>
      <c r="N1158">
        <v>1.71</v>
      </c>
      <c r="O1158" t="s">
        <v>15</v>
      </c>
      <c r="P1158">
        <v>166</v>
      </c>
      <c r="Q1158">
        <v>162</v>
      </c>
      <c r="R1158">
        <v>72</v>
      </c>
      <c r="S1158">
        <v>55</v>
      </c>
      <c r="T1158" t="s">
        <v>48</v>
      </c>
      <c r="U1158">
        <f>IF(Cardiac_Table[[#This Row],[Patient Status at Discharge]]="Died", 1,0)</f>
        <v>0</v>
      </c>
      <c r="V1158">
        <f>Cardiac_Table[[#This Row],[Risk of Death % (Model 1)]]/100</f>
        <v>3.9900000000000005E-2</v>
      </c>
      <c r="W1158">
        <f>Cardiac_Table[[#This Row],[Risk of Death % (Model 2)]]/100</f>
        <v>1.7100000000000001E-2</v>
      </c>
      <c r="X1158" s="18">
        <f>Cardiac_Table[[#This Row],[Procedure Start Date and Time]]-Cardiac_Table[[#This Row],[Hospital Admit Date ]]</f>
        <v>0.66666666667151731</v>
      </c>
    </row>
    <row r="1159" spans="1:24" x14ac:dyDescent="0.35">
      <c r="A1159">
        <v>1169</v>
      </c>
      <c r="B1159" s="9">
        <v>44150.666666666664</v>
      </c>
      <c r="C1159" s="10">
        <f>INT(Cardiac_Table[[#This Row],[Hospital Admit Date ]])</f>
        <v>44150</v>
      </c>
      <c r="D1159" s="11" t="str">
        <f t="shared" si="18"/>
        <v>16:00</v>
      </c>
      <c r="E1159" s="9">
        <v>44151.339583333334</v>
      </c>
      <c r="F1159" s="10">
        <f>INT(Cardiac_Table[[#This Row],[Procedure Start Date and Time]])</f>
        <v>44151</v>
      </c>
      <c r="G1159" s="12">
        <f>MOD(Cardiac_Table[[#This Row],[Procedure Start Date and Time]],1)</f>
        <v>0.33958333333430346</v>
      </c>
      <c r="H1159">
        <v>1</v>
      </c>
      <c r="I1159" t="s">
        <v>4</v>
      </c>
      <c r="J1159" t="s">
        <v>10</v>
      </c>
      <c r="K1159" t="s">
        <v>33</v>
      </c>
      <c r="L1159">
        <v>76</v>
      </c>
      <c r="M1159">
        <v>2.69</v>
      </c>
      <c r="N1159">
        <v>1.84</v>
      </c>
      <c r="O1159" t="s">
        <v>15</v>
      </c>
      <c r="P1159">
        <v>81</v>
      </c>
      <c r="Q1159">
        <v>172</v>
      </c>
      <c r="R1159">
        <v>78</v>
      </c>
      <c r="S1159">
        <v>56</v>
      </c>
      <c r="T1159" t="s">
        <v>48</v>
      </c>
      <c r="U1159">
        <f>IF(Cardiac_Table[[#This Row],[Patient Status at Discharge]]="Died", 1,0)</f>
        <v>0</v>
      </c>
      <c r="V1159">
        <f>Cardiac_Table[[#This Row],[Risk of Death % (Model 1)]]/100</f>
        <v>2.69E-2</v>
      </c>
      <c r="W1159">
        <f>Cardiac_Table[[#This Row],[Risk of Death % (Model 2)]]/100</f>
        <v>1.84E-2</v>
      </c>
      <c r="X1159" s="18">
        <f>Cardiac_Table[[#This Row],[Procedure Start Date and Time]]-Cardiac_Table[[#This Row],[Hospital Admit Date ]]</f>
        <v>0.67291666667006211</v>
      </c>
    </row>
    <row r="1160" spans="1:24" x14ac:dyDescent="0.35">
      <c r="A1160">
        <v>1170</v>
      </c>
      <c r="B1160" s="9">
        <v>44147.666666666664</v>
      </c>
      <c r="C1160" s="10">
        <f>INT(Cardiac_Table[[#This Row],[Hospital Admit Date ]])</f>
        <v>44147</v>
      </c>
      <c r="D1160" s="11" t="str">
        <f t="shared" si="18"/>
        <v>16:00</v>
      </c>
      <c r="E1160" s="9">
        <v>44151.347222222219</v>
      </c>
      <c r="F1160" s="10">
        <f>INT(Cardiac_Table[[#This Row],[Procedure Start Date and Time]])</f>
        <v>44151</v>
      </c>
      <c r="G1160" s="12">
        <f>MOD(Cardiac_Table[[#This Row],[Procedure Start Date and Time]],1)</f>
        <v>0.34722222221898846</v>
      </c>
      <c r="H1160">
        <v>5</v>
      </c>
      <c r="I1160" t="s">
        <v>6</v>
      </c>
      <c r="J1160" t="s">
        <v>3</v>
      </c>
      <c r="K1160" t="s">
        <v>31</v>
      </c>
      <c r="L1160">
        <v>76</v>
      </c>
      <c r="M1160">
        <v>12.49</v>
      </c>
      <c r="N1160">
        <v>2.66</v>
      </c>
      <c r="O1160" t="s">
        <v>15</v>
      </c>
      <c r="P1160">
        <v>84</v>
      </c>
      <c r="Q1160">
        <v>173</v>
      </c>
      <c r="R1160">
        <v>80</v>
      </c>
      <c r="S1160">
        <v>60</v>
      </c>
      <c r="T1160" t="s">
        <v>48</v>
      </c>
      <c r="U1160">
        <f>IF(Cardiac_Table[[#This Row],[Patient Status at Discharge]]="Died", 1,0)</f>
        <v>0</v>
      </c>
      <c r="V1160">
        <f>Cardiac_Table[[#This Row],[Risk of Death % (Model 1)]]/100</f>
        <v>0.1249</v>
      </c>
      <c r="W1160">
        <f>Cardiac_Table[[#This Row],[Risk of Death % (Model 2)]]/100</f>
        <v>2.6600000000000002E-2</v>
      </c>
      <c r="X1160" s="18">
        <f>Cardiac_Table[[#This Row],[Procedure Start Date and Time]]-Cardiac_Table[[#This Row],[Hospital Admit Date ]]</f>
        <v>3.6805555555547471</v>
      </c>
    </row>
    <row r="1161" spans="1:24" x14ac:dyDescent="0.35">
      <c r="A1161">
        <v>1171</v>
      </c>
      <c r="B1161" s="9">
        <v>44150.666666666664</v>
      </c>
      <c r="C1161" s="10">
        <f>INT(Cardiac_Table[[#This Row],[Hospital Admit Date ]])</f>
        <v>44150</v>
      </c>
      <c r="D1161" s="11" t="str">
        <f t="shared" si="18"/>
        <v>16:00</v>
      </c>
      <c r="E1161" s="9">
        <v>44151.350694444445</v>
      </c>
      <c r="F1161" s="10">
        <f>INT(Cardiac_Table[[#This Row],[Procedure Start Date and Time]])</f>
        <v>44151</v>
      </c>
      <c r="G1161" s="12">
        <f>MOD(Cardiac_Table[[#This Row],[Procedure Start Date and Time]],1)</f>
        <v>0.35069444444525288</v>
      </c>
      <c r="H1161">
        <v>4</v>
      </c>
      <c r="I1161" t="s">
        <v>4</v>
      </c>
      <c r="J1161" t="s">
        <v>11</v>
      </c>
      <c r="K1161" t="s">
        <v>35</v>
      </c>
      <c r="L1161">
        <v>69</v>
      </c>
      <c r="M1161">
        <v>2.89</v>
      </c>
      <c r="N1161">
        <v>1.67</v>
      </c>
      <c r="O1161" t="s">
        <v>15</v>
      </c>
      <c r="P1161">
        <v>74</v>
      </c>
      <c r="Q1161">
        <v>181</v>
      </c>
      <c r="R1161">
        <v>75</v>
      </c>
      <c r="S1161">
        <v>88</v>
      </c>
      <c r="T1161" t="s">
        <v>48</v>
      </c>
      <c r="U1161">
        <f>IF(Cardiac_Table[[#This Row],[Patient Status at Discharge]]="Died", 1,0)</f>
        <v>0</v>
      </c>
      <c r="V1161">
        <f>Cardiac_Table[[#This Row],[Risk of Death % (Model 1)]]/100</f>
        <v>2.8900000000000002E-2</v>
      </c>
      <c r="W1161">
        <f>Cardiac_Table[[#This Row],[Risk of Death % (Model 2)]]/100</f>
        <v>1.67E-2</v>
      </c>
      <c r="X1161" s="18">
        <f>Cardiac_Table[[#This Row],[Procedure Start Date and Time]]-Cardiac_Table[[#This Row],[Hospital Admit Date ]]</f>
        <v>0.68402777778101154</v>
      </c>
    </row>
    <row r="1162" spans="1:24" x14ac:dyDescent="0.35">
      <c r="A1162">
        <v>1172</v>
      </c>
      <c r="B1162" s="9">
        <v>44151.349305555559</v>
      </c>
      <c r="C1162" s="10">
        <f>INT(Cardiac_Table[[#This Row],[Hospital Admit Date ]])</f>
        <v>44151</v>
      </c>
      <c r="D1162" s="11" t="str">
        <f t="shared" si="18"/>
        <v>08:23</v>
      </c>
      <c r="E1162" s="9">
        <v>44151.545138888891</v>
      </c>
      <c r="F1162" s="10">
        <f>INT(Cardiac_Table[[#This Row],[Procedure Start Date and Time]])</f>
        <v>44151</v>
      </c>
      <c r="G1162" s="12">
        <f>MOD(Cardiac_Table[[#This Row],[Procedure Start Date and Time]],1)</f>
        <v>0.54513888889050577</v>
      </c>
      <c r="H1162">
        <v>1</v>
      </c>
      <c r="I1162" t="s">
        <v>4</v>
      </c>
      <c r="J1162" t="s">
        <v>11</v>
      </c>
      <c r="K1162" t="s">
        <v>33</v>
      </c>
      <c r="L1162">
        <v>80</v>
      </c>
      <c r="M1162">
        <v>5.83</v>
      </c>
      <c r="N1162">
        <v>3.89</v>
      </c>
      <c r="O1162" t="s">
        <v>15</v>
      </c>
      <c r="P1162">
        <v>75</v>
      </c>
      <c r="Q1162">
        <v>176</v>
      </c>
      <c r="R1162">
        <v>73</v>
      </c>
      <c r="S1162">
        <v>45</v>
      </c>
      <c r="T1162" t="s">
        <v>50</v>
      </c>
      <c r="U1162">
        <f>IF(Cardiac_Table[[#This Row],[Patient Status at Discharge]]="Died", 1,0)</f>
        <v>0</v>
      </c>
      <c r="V1162">
        <f>Cardiac_Table[[#This Row],[Risk of Death % (Model 1)]]/100</f>
        <v>5.8299999999999998E-2</v>
      </c>
      <c r="W1162">
        <f>Cardiac_Table[[#This Row],[Risk of Death % (Model 2)]]/100</f>
        <v>3.8900000000000004E-2</v>
      </c>
      <c r="X1162" s="18">
        <f>Cardiac_Table[[#This Row],[Procedure Start Date and Time]]-Cardiac_Table[[#This Row],[Hospital Admit Date ]]</f>
        <v>0.19583333333139308</v>
      </c>
    </row>
    <row r="1163" spans="1:24" x14ac:dyDescent="0.35">
      <c r="A1163">
        <v>1173</v>
      </c>
      <c r="B1163" s="9">
        <v>44132.416666666664</v>
      </c>
      <c r="C1163" s="10">
        <f>INT(Cardiac_Table[[#This Row],[Hospital Admit Date ]])</f>
        <v>44132</v>
      </c>
      <c r="D1163" s="11" t="str">
        <f t="shared" si="18"/>
        <v>10:00</v>
      </c>
      <c r="E1163" s="9">
        <v>44151.5625</v>
      </c>
      <c r="F1163" s="10">
        <f>INT(Cardiac_Table[[#This Row],[Procedure Start Date and Time]])</f>
        <v>44151</v>
      </c>
      <c r="G1163" s="12">
        <f>MOD(Cardiac_Table[[#This Row],[Procedure Start Date and Time]],1)</f>
        <v>0.5625</v>
      </c>
      <c r="H1163">
        <v>5</v>
      </c>
      <c r="I1163" t="s">
        <v>6</v>
      </c>
      <c r="J1163" t="s">
        <v>10</v>
      </c>
      <c r="K1163" t="s">
        <v>24</v>
      </c>
      <c r="L1163">
        <v>59</v>
      </c>
      <c r="M1163">
        <v>2.09</v>
      </c>
      <c r="N1163">
        <v>2.72</v>
      </c>
      <c r="O1163" t="s">
        <v>15</v>
      </c>
      <c r="P1163">
        <v>65</v>
      </c>
      <c r="Q1163">
        <v>175</v>
      </c>
      <c r="R1163">
        <v>74</v>
      </c>
      <c r="S1163">
        <v>45</v>
      </c>
      <c r="T1163" t="s">
        <v>50</v>
      </c>
      <c r="U1163">
        <f>IF(Cardiac_Table[[#This Row],[Patient Status at Discharge]]="Died", 1,0)</f>
        <v>0</v>
      </c>
      <c r="V1163">
        <f>Cardiac_Table[[#This Row],[Risk of Death % (Model 1)]]/100</f>
        <v>2.0899999999999998E-2</v>
      </c>
      <c r="W1163">
        <f>Cardiac_Table[[#This Row],[Risk of Death % (Model 2)]]/100</f>
        <v>2.7200000000000002E-2</v>
      </c>
      <c r="X1163" s="18">
        <f>Cardiac_Table[[#This Row],[Procedure Start Date and Time]]-Cardiac_Table[[#This Row],[Hospital Admit Date ]]</f>
        <v>19.145833333335759</v>
      </c>
    </row>
    <row r="1164" spans="1:24" x14ac:dyDescent="0.35">
      <c r="A1164">
        <v>1174</v>
      </c>
      <c r="B1164" s="9">
        <v>44150.583333333336</v>
      </c>
      <c r="C1164" s="10">
        <f>INT(Cardiac_Table[[#This Row],[Hospital Admit Date ]])</f>
        <v>44150</v>
      </c>
      <c r="D1164" s="11" t="str">
        <f t="shared" si="18"/>
        <v>14:00</v>
      </c>
      <c r="E1164" s="9">
        <v>44151.652777777781</v>
      </c>
      <c r="F1164" s="10">
        <f>INT(Cardiac_Table[[#This Row],[Procedure Start Date and Time]])</f>
        <v>44151</v>
      </c>
      <c r="G1164" s="12">
        <f>MOD(Cardiac_Table[[#This Row],[Procedure Start Date and Time]],1)</f>
        <v>0.65277777778101154</v>
      </c>
      <c r="H1164">
        <v>4</v>
      </c>
      <c r="I1164" t="s">
        <v>4</v>
      </c>
      <c r="J1164" t="s">
        <v>10</v>
      </c>
      <c r="K1164" t="s">
        <v>27</v>
      </c>
      <c r="L1164">
        <v>68</v>
      </c>
      <c r="M1164">
        <v>1.59</v>
      </c>
      <c r="N1164">
        <v>0.63</v>
      </c>
      <c r="O1164" t="s">
        <v>15</v>
      </c>
      <c r="P1164">
        <v>74</v>
      </c>
      <c r="Q1164">
        <v>150</v>
      </c>
      <c r="R1164">
        <v>108</v>
      </c>
      <c r="S1164">
        <v>55</v>
      </c>
      <c r="T1164" t="s">
        <v>48</v>
      </c>
      <c r="U1164">
        <f>IF(Cardiac_Table[[#This Row],[Patient Status at Discharge]]="Died", 1,0)</f>
        <v>0</v>
      </c>
      <c r="V1164">
        <f>Cardiac_Table[[#This Row],[Risk of Death % (Model 1)]]/100</f>
        <v>1.5900000000000001E-2</v>
      </c>
      <c r="W1164">
        <f>Cardiac_Table[[#This Row],[Risk of Death % (Model 2)]]/100</f>
        <v>6.3E-3</v>
      </c>
      <c r="X1164" s="18">
        <f>Cardiac_Table[[#This Row],[Procedure Start Date and Time]]-Cardiac_Table[[#This Row],[Hospital Admit Date ]]</f>
        <v>1.0694444444452529</v>
      </c>
    </row>
    <row r="1165" spans="1:24" x14ac:dyDescent="0.35">
      <c r="A1165">
        <v>1175</v>
      </c>
      <c r="B1165" s="9">
        <v>44151.589583333334</v>
      </c>
      <c r="C1165" s="10">
        <f>INT(Cardiac_Table[[#This Row],[Hospital Admit Date ]])</f>
        <v>44151</v>
      </c>
      <c r="D1165" s="11" t="str">
        <f t="shared" si="18"/>
        <v>14:09</v>
      </c>
      <c r="E1165" s="9">
        <v>44152.324999999997</v>
      </c>
      <c r="F1165" s="10">
        <f>INT(Cardiac_Table[[#This Row],[Procedure Start Date and Time]])</f>
        <v>44152</v>
      </c>
      <c r="G1165" s="12">
        <f>MOD(Cardiac_Table[[#This Row],[Procedure Start Date and Time]],1)</f>
        <v>0.32499999999708962</v>
      </c>
      <c r="H1165">
        <v>3</v>
      </c>
      <c r="I1165" t="s">
        <v>4</v>
      </c>
      <c r="J1165" t="s">
        <v>1</v>
      </c>
      <c r="K1165" t="s">
        <v>34</v>
      </c>
      <c r="L1165">
        <v>54</v>
      </c>
      <c r="M1165">
        <v>11.73</v>
      </c>
      <c r="N1165">
        <v>4.87</v>
      </c>
      <c r="O1165" t="s">
        <v>15</v>
      </c>
      <c r="P1165">
        <v>99</v>
      </c>
      <c r="Q1165">
        <v>160</v>
      </c>
      <c r="R1165">
        <v>82</v>
      </c>
      <c r="S1165">
        <v>50</v>
      </c>
      <c r="T1165" t="s">
        <v>50</v>
      </c>
      <c r="U1165">
        <f>IF(Cardiac_Table[[#This Row],[Patient Status at Discharge]]="Died", 1,0)</f>
        <v>0</v>
      </c>
      <c r="V1165">
        <f>Cardiac_Table[[#This Row],[Risk of Death % (Model 1)]]/100</f>
        <v>0.1173</v>
      </c>
      <c r="W1165">
        <f>Cardiac_Table[[#This Row],[Risk of Death % (Model 2)]]/100</f>
        <v>4.87E-2</v>
      </c>
      <c r="X1165" s="18">
        <f>Cardiac_Table[[#This Row],[Procedure Start Date and Time]]-Cardiac_Table[[#This Row],[Hospital Admit Date ]]</f>
        <v>0.73541666666278616</v>
      </c>
    </row>
    <row r="1166" spans="1:24" x14ac:dyDescent="0.35">
      <c r="A1166">
        <v>1176</v>
      </c>
      <c r="B1166" s="9">
        <v>44151.666666666664</v>
      </c>
      <c r="C1166" s="10">
        <f>INT(Cardiac_Table[[#This Row],[Hospital Admit Date ]])</f>
        <v>44151</v>
      </c>
      <c r="D1166" s="11" t="str">
        <f t="shared" si="18"/>
        <v>16:00</v>
      </c>
      <c r="E1166" s="9">
        <v>44152.340277777781</v>
      </c>
      <c r="F1166" s="10">
        <f>INT(Cardiac_Table[[#This Row],[Procedure Start Date and Time]])</f>
        <v>44152</v>
      </c>
      <c r="G1166" s="12">
        <f>MOD(Cardiac_Table[[#This Row],[Procedure Start Date and Time]],1)</f>
        <v>0.34027777778101154</v>
      </c>
      <c r="H1166">
        <v>1</v>
      </c>
      <c r="I1166" t="s">
        <v>4</v>
      </c>
      <c r="J1166" t="s">
        <v>3</v>
      </c>
      <c r="K1166" t="s">
        <v>35</v>
      </c>
      <c r="L1166">
        <v>73</v>
      </c>
      <c r="M1166">
        <v>14.78</v>
      </c>
      <c r="N1166">
        <v>4.12</v>
      </c>
      <c r="O1166" t="s">
        <v>15</v>
      </c>
      <c r="P1166">
        <v>132</v>
      </c>
      <c r="Q1166">
        <v>176</v>
      </c>
      <c r="R1166">
        <v>65</v>
      </c>
      <c r="S1166">
        <v>60</v>
      </c>
      <c r="T1166" t="s">
        <v>48</v>
      </c>
      <c r="U1166">
        <f>IF(Cardiac_Table[[#This Row],[Patient Status at Discharge]]="Died", 1,0)</f>
        <v>0</v>
      </c>
      <c r="V1166">
        <f>Cardiac_Table[[#This Row],[Risk of Death % (Model 1)]]/100</f>
        <v>0.14779999999999999</v>
      </c>
      <c r="W1166">
        <f>Cardiac_Table[[#This Row],[Risk of Death % (Model 2)]]/100</f>
        <v>4.1200000000000001E-2</v>
      </c>
      <c r="X1166" s="18">
        <f>Cardiac_Table[[#This Row],[Procedure Start Date and Time]]-Cardiac_Table[[#This Row],[Hospital Admit Date ]]</f>
        <v>0.67361111111677019</v>
      </c>
    </row>
    <row r="1167" spans="1:24" x14ac:dyDescent="0.35">
      <c r="A1167">
        <v>1177</v>
      </c>
      <c r="B1167" s="9">
        <v>44151.666666666664</v>
      </c>
      <c r="C1167" s="10">
        <f>INT(Cardiac_Table[[#This Row],[Hospital Admit Date ]])</f>
        <v>44151</v>
      </c>
      <c r="D1167" s="11" t="str">
        <f t="shared" si="18"/>
        <v>16:00</v>
      </c>
      <c r="E1167" s="9">
        <v>44152.34375</v>
      </c>
      <c r="F1167" s="10">
        <f>INT(Cardiac_Table[[#This Row],[Procedure Start Date and Time]])</f>
        <v>44152</v>
      </c>
      <c r="G1167" s="12">
        <f>MOD(Cardiac_Table[[#This Row],[Procedure Start Date and Time]],1)</f>
        <v>0.34375</v>
      </c>
      <c r="H1167">
        <v>5</v>
      </c>
      <c r="I1167" t="s">
        <v>4</v>
      </c>
      <c r="J1167" t="s">
        <v>3</v>
      </c>
      <c r="K1167" t="s">
        <v>28</v>
      </c>
      <c r="L1167">
        <v>79</v>
      </c>
      <c r="M1167">
        <v>8.1</v>
      </c>
      <c r="N1167">
        <v>3</v>
      </c>
      <c r="O1167" t="s">
        <v>15</v>
      </c>
      <c r="P1167">
        <v>72</v>
      </c>
      <c r="Q1167">
        <v>161</v>
      </c>
      <c r="R1167">
        <v>65</v>
      </c>
      <c r="S1167">
        <v>60</v>
      </c>
      <c r="T1167" t="s">
        <v>48</v>
      </c>
      <c r="U1167">
        <f>IF(Cardiac_Table[[#This Row],[Patient Status at Discharge]]="Died", 1,0)</f>
        <v>0</v>
      </c>
      <c r="V1167">
        <f>Cardiac_Table[[#This Row],[Risk of Death % (Model 1)]]/100</f>
        <v>8.1000000000000003E-2</v>
      </c>
      <c r="W1167">
        <f>Cardiac_Table[[#This Row],[Risk of Death % (Model 2)]]/100</f>
        <v>0.03</v>
      </c>
      <c r="X1167" s="18">
        <f>Cardiac_Table[[#This Row],[Procedure Start Date and Time]]-Cardiac_Table[[#This Row],[Hospital Admit Date ]]</f>
        <v>0.67708333333575865</v>
      </c>
    </row>
    <row r="1168" spans="1:24" x14ac:dyDescent="0.35">
      <c r="A1168">
        <v>1178</v>
      </c>
      <c r="B1168" s="9">
        <v>44151.666666666664</v>
      </c>
      <c r="C1168" s="10">
        <f>INT(Cardiac_Table[[#This Row],[Hospital Admit Date ]])</f>
        <v>44151</v>
      </c>
      <c r="D1168" s="11" t="str">
        <f t="shared" si="18"/>
        <v>16:00</v>
      </c>
      <c r="E1168" s="9">
        <v>44152.34375</v>
      </c>
      <c r="F1168" s="10">
        <f>INT(Cardiac_Table[[#This Row],[Procedure Start Date and Time]])</f>
        <v>44152</v>
      </c>
      <c r="G1168" s="12">
        <f>MOD(Cardiac_Table[[#This Row],[Procedure Start Date and Time]],1)</f>
        <v>0.34375</v>
      </c>
      <c r="H1168">
        <v>6</v>
      </c>
      <c r="I1168" t="s">
        <v>4</v>
      </c>
      <c r="J1168" t="s">
        <v>11</v>
      </c>
      <c r="K1168" t="s">
        <v>29</v>
      </c>
      <c r="L1168">
        <v>80</v>
      </c>
      <c r="M1168">
        <v>5.83</v>
      </c>
      <c r="N1168">
        <v>2.04</v>
      </c>
      <c r="O1168" t="s">
        <v>15</v>
      </c>
      <c r="P1168">
        <v>90</v>
      </c>
      <c r="Q1168">
        <v>154</v>
      </c>
      <c r="R1168">
        <v>60</v>
      </c>
      <c r="S1168">
        <v>55</v>
      </c>
      <c r="T1168" t="s">
        <v>48</v>
      </c>
      <c r="U1168">
        <f>IF(Cardiac_Table[[#This Row],[Patient Status at Discharge]]="Died", 1,0)</f>
        <v>0</v>
      </c>
      <c r="V1168">
        <f>Cardiac_Table[[#This Row],[Risk of Death % (Model 1)]]/100</f>
        <v>5.8299999999999998E-2</v>
      </c>
      <c r="W1168">
        <f>Cardiac_Table[[#This Row],[Risk of Death % (Model 2)]]/100</f>
        <v>2.0400000000000001E-2</v>
      </c>
      <c r="X1168" s="18">
        <f>Cardiac_Table[[#This Row],[Procedure Start Date and Time]]-Cardiac_Table[[#This Row],[Hospital Admit Date ]]</f>
        <v>0.67708333333575865</v>
      </c>
    </row>
    <row r="1169" spans="1:24" x14ac:dyDescent="0.35">
      <c r="A1169">
        <v>1179</v>
      </c>
      <c r="B1169" s="9">
        <v>44151.666666666664</v>
      </c>
      <c r="C1169" s="10">
        <f>INT(Cardiac_Table[[#This Row],[Hospital Admit Date ]])</f>
        <v>44151</v>
      </c>
      <c r="D1169" s="11" t="str">
        <f t="shared" si="18"/>
        <v>16:00</v>
      </c>
      <c r="E1169" s="9">
        <v>44152.347222222219</v>
      </c>
      <c r="F1169" s="10">
        <f>INT(Cardiac_Table[[#This Row],[Procedure Start Date and Time]])</f>
        <v>44152</v>
      </c>
      <c r="G1169" s="12">
        <f>MOD(Cardiac_Table[[#This Row],[Procedure Start Date and Time]],1)</f>
        <v>0.34722222221898846</v>
      </c>
      <c r="H1169">
        <v>4</v>
      </c>
      <c r="I1169" t="s">
        <v>4</v>
      </c>
      <c r="J1169" t="s">
        <v>3</v>
      </c>
      <c r="K1169" t="s">
        <v>26</v>
      </c>
      <c r="L1169">
        <v>72</v>
      </c>
      <c r="M1169">
        <v>5.24</v>
      </c>
      <c r="N1169">
        <v>1.07</v>
      </c>
      <c r="O1169" t="s">
        <v>15</v>
      </c>
      <c r="P1169">
        <v>79</v>
      </c>
      <c r="Q1169">
        <v>157</v>
      </c>
      <c r="R1169">
        <v>77</v>
      </c>
      <c r="S1169">
        <v>60</v>
      </c>
      <c r="T1169" t="s">
        <v>48</v>
      </c>
      <c r="U1169">
        <f>IF(Cardiac_Table[[#This Row],[Patient Status at Discharge]]="Died", 1,0)</f>
        <v>0</v>
      </c>
      <c r="V1169">
        <f>Cardiac_Table[[#This Row],[Risk of Death % (Model 1)]]/100</f>
        <v>5.2400000000000002E-2</v>
      </c>
      <c r="W1169">
        <f>Cardiac_Table[[#This Row],[Risk of Death % (Model 2)]]/100</f>
        <v>1.0700000000000001E-2</v>
      </c>
      <c r="X1169" s="18">
        <f>Cardiac_Table[[#This Row],[Procedure Start Date and Time]]-Cardiac_Table[[#This Row],[Hospital Admit Date ]]</f>
        <v>0.68055555555474712</v>
      </c>
    </row>
    <row r="1170" spans="1:24" x14ac:dyDescent="0.35">
      <c r="A1170">
        <v>1180</v>
      </c>
      <c r="B1170" s="9">
        <v>44151.666666666664</v>
      </c>
      <c r="C1170" s="10">
        <f>INT(Cardiac_Table[[#This Row],[Hospital Admit Date ]])</f>
        <v>44151</v>
      </c>
      <c r="D1170" s="11" t="str">
        <f t="shared" si="18"/>
        <v>16:00</v>
      </c>
      <c r="E1170" s="9">
        <v>44152.534722222219</v>
      </c>
      <c r="F1170" s="10">
        <f>INT(Cardiac_Table[[#This Row],[Procedure Start Date and Time]])</f>
        <v>44152</v>
      </c>
      <c r="G1170" s="12">
        <f>MOD(Cardiac_Table[[#This Row],[Procedure Start Date and Time]],1)</f>
        <v>0.53472222221898846</v>
      </c>
      <c r="H1170">
        <v>5</v>
      </c>
      <c r="I1170" t="s">
        <v>4</v>
      </c>
      <c r="J1170" t="s">
        <v>3</v>
      </c>
      <c r="K1170" t="s">
        <v>28</v>
      </c>
      <c r="L1170">
        <v>52</v>
      </c>
      <c r="M1170">
        <v>1.51</v>
      </c>
      <c r="N1170">
        <v>0.56000000000000005</v>
      </c>
      <c r="O1170" t="s">
        <v>15</v>
      </c>
      <c r="P1170">
        <v>91</v>
      </c>
      <c r="Q1170">
        <v>175</v>
      </c>
      <c r="R1170">
        <v>89</v>
      </c>
      <c r="S1170">
        <v>55</v>
      </c>
      <c r="T1170" t="s">
        <v>48</v>
      </c>
      <c r="U1170">
        <f>IF(Cardiac_Table[[#This Row],[Patient Status at Discharge]]="Died", 1,0)</f>
        <v>0</v>
      </c>
      <c r="V1170">
        <f>Cardiac_Table[[#This Row],[Risk of Death % (Model 1)]]/100</f>
        <v>1.5100000000000001E-2</v>
      </c>
      <c r="W1170">
        <f>Cardiac_Table[[#This Row],[Risk of Death % (Model 2)]]/100</f>
        <v>5.6000000000000008E-3</v>
      </c>
      <c r="X1170" s="18">
        <f>Cardiac_Table[[#This Row],[Procedure Start Date and Time]]-Cardiac_Table[[#This Row],[Hospital Admit Date ]]</f>
        <v>0.86805555555474712</v>
      </c>
    </row>
    <row r="1171" spans="1:24" x14ac:dyDescent="0.35">
      <c r="A1171">
        <v>1181</v>
      </c>
      <c r="B1171" s="9">
        <v>44141.416666666664</v>
      </c>
      <c r="C1171" s="10">
        <f>INT(Cardiac_Table[[#This Row],[Hospital Admit Date ]])</f>
        <v>44141</v>
      </c>
      <c r="D1171" s="11" t="str">
        <f t="shared" si="18"/>
        <v>10:00</v>
      </c>
      <c r="E1171" s="9">
        <v>44152.557638888888</v>
      </c>
      <c r="F1171" s="10">
        <f>INT(Cardiac_Table[[#This Row],[Procedure Start Date and Time]])</f>
        <v>44152</v>
      </c>
      <c r="G1171" s="12">
        <f>MOD(Cardiac_Table[[#This Row],[Procedure Start Date and Time]],1)</f>
        <v>0.55763888888759539</v>
      </c>
      <c r="H1171">
        <v>4</v>
      </c>
      <c r="I1171" t="s">
        <v>6</v>
      </c>
      <c r="J1171" t="s">
        <v>10</v>
      </c>
      <c r="K1171" t="s">
        <v>26</v>
      </c>
      <c r="L1171">
        <v>59</v>
      </c>
      <c r="M1171">
        <v>1.51</v>
      </c>
      <c r="N1171">
        <v>0.8</v>
      </c>
      <c r="O1171" t="s">
        <v>15</v>
      </c>
      <c r="P1171">
        <v>97</v>
      </c>
      <c r="Q1171">
        <v>176</v>
      </c>
      <c r="R1171">
        <v>88</v>
      </c>
      <c r="S1171">
        <v>55</v>
      </c>
      <c r="T1171" t="s">
        <v>48</v>
      </c>
      <c r="U1171">
        <f>IF(Cardiac_Table[[#This Row],[Patient Status at Discharge]]="Died", 1,0)</f>
        <v>0</v>
      </c>
      <c r="V1171">
        <f>Cardiac_Table[[#This Row],[Risk of Death % (Model 1)]]/100</f>
        <v>1.5100000000000001E-2</v>
      </c>
      <c r="W1171">
        <f>Cardiac_Table[[#This Row],[Risk of Death % (Model 2)]]/100</f>
        <v>8.0000000000000002E-3</v>
      </c>
      <c r="X1171" s="18">
        <f>Cardiac_Table[[#This Row],[Procedure Start Date and Time]]-Cardiac_Table[[#This Row],[Hospital Admit Date ]]</f>
        <v>11.140972222223354</v>
      </c>
    </row>
    <row r="1172" spans="1:24" x14ac:dyDescent="0.35">
      <c r="A1172">
        <v>1182</v>
      </c>
      <c r="B1172" s="9">
        <v>44152.291666666664</v>
      </c>
      <c r="C1172" s="10">
        <f>INT(Cardiac_Table[[#This Row],[Hospital Admit Date ]])</f>
        <v>44152</v>
      </c>
      <c r="D1172" s="11" t="str">
        <f t="shared" si="18"/>
        <v>07:00</v>
      </c>
      <c r="E1172" s="9">
        <v>44152.586805555555</v>
      </c>
      <c r="F1172" s="10">
        <f>INT(Cardiac_Table[[#This Row],[Procedure Start Date and Time]])</f>
        <v>44152</v>
      </c>
      <c r="G1172" s="12">
        <f>MOD(Cardiac_Table[[#This Row],[Procedure Start Date and Time]],1)</f>
        <v>0.58680555555474712</v>
      </c>
      <c r="H1172">
        <v>6</v>
      </c>
      <c r="I1172" t="s">
        <v>4</v>
      </c>
      <c r="J1172" t="s">
        <v>1</v>
      </c>
      <c r="K1172" t="s">
        <v>29</v>
      </c>
      <c r="L1172">
        <v>47</v>
      </c>
      <c r="M1172">
        <v>4.6500000000000004</v>
      </c>
      <c r="N1172">
        <v>2.84</v>
      </c>
      <c r="O1172" t="s">
        <v>15</v>
      </c>
      <c r="P1172">
        <v>96</v>
      </c>
      <c r="Q1172">
        <v>166</v>
      </c>
      <c r="R1172">
        <v>106</v>
      </c>
      <c r="S1172">
        <v>30</v>
      </c>
      <c r="T1172" t="s">
        <v>49</v>
      </c>
      <c r="U1172">
        <f>IF(Cardiac_Table[[#This Row],[Patient Status at Discharge]]="Died", 1,0)</f>
        <v>0</v>
      </c>
      <c r="V1172">
        <f>Cardiac_Table[[#This Row],[Risk of Death % (Model 1)]]/100</f>
        <v>4.6500000000000007E-2</v>
      </c>
      <c r="W1172">
        <f>Cardiac_Table[[#This Row],[Risk of Death % (Model 2)]]/100</f>
        <v>2.8399999999999998E-2</v>
      </c>
      <c r="X1172" s="18">
        <f>Cardiac_Table[[#This Row],[Procedure Start Date and Time]]-Cardiac_Table[[#This Row],[Hospital Admit Date ]]</f>
        <v>0.29513888889050577</v>
      </c>
    </row>
    <row r="1173" spans="1:24" x14ac:dyDescent="0.35">
      <c r="A1173">
        <v>1183</v>
      </c>
      <c r="B1173" s="9">
        <v>44152.666666666664</v>
      </c>
      <c r="C1173" s="10">
        <f>INT(Cardiac_Table[[#This Row],[Hospital Admit Date ]])</f>
        <v>44152</v>
      </c>
      <c r="D1173" s="11" t="str">
        <f t="shared" si="18"/>
        <v>16:00</v>
      </c>
      <c r="E1173" s="9">
        <v>44153.333333333336</v>
      </c>
      <c r="F1173" s="10">
        <f>INT(Cardiac_Table[[#This Row],[Procedure Start Date and Time]])</f>
        <v>44153</v>
      </c>
      <c r="G1173" s="12">
        <f>MOD(Cardiac_Table[[#This Row],[Procedure Start Date and Time]],1)</f>
        <v>0.33333333333575865</v>
      </c>
      <c r="H1173">
        <v>1</v>
      </c>
      <c r="I1173" t="s">
        <v>4</v>
      </c>
      <c r="J1173" t="s">
        <v>3</v>
      </c>
      <c r="K1173" t="s">
        <v>30</v>
      </c>
      <c r="L1173">
        <v>61</v>
      </c>
      <c r="M1173">
        <v>1.72</v>
      </c>
      <c r="N1173">
        <v>0.69</v>
      </c>
      <c r="O1173" t="s">
        <v>15</v>
      </c>
      <c r="P1173">
        <v>106</v>
      </c>
      <c r="Q1173">
        <v>168</v>
      </c>
      <c r="R1173">
        <v>92</v>
      </c>
      <c r="S1173">
        <v>48</v>
      </c>
      <c r="T1173" t="s">
        <v>50</v>
      </c>
      <c r="U1173">
        <f>IF(Cardiac_Table[[#This Row],[Patient Status at Discharge]]="Died", 1,0)</f>
        <v>0</v>
      </c>
      <c r="V1173">
        <f>Cardiac_Table[[#This Row],[Risk of Death % (Model 1)]]/100</f>
        <v>1.72E-2</v>
      </c>
      <c r="W1173">
        <f>Cardiac_Table[[#This Row],[Risk of Death % (Model 2)]]/100</f>
        <v>6.8999999999999999E-3</v>
      </c>
      <c r="X1173" s="18">
        <f>Cardiac_Table[[#This Row],[Procedure Start Date and Time]]-Cardiac_Table[[#This Row],[Hospital Admit Date ]]</f>
        <v>0.66666666667151731</v>
      </c>
    </row>
    <row r="1174" spans="1:24" x14ac:dyDescent="0.35">
      <c r="A1174">
        <v>1184</v>
      </c>
      <c r="B1174" s="9">
        <v>44152.666666666664</v>
      </c>
      <c r="C1174" s="10">
        <f>INT(Cardiac_Table[[#This Row],[Hospital Admit Date ]])</f>
        <v>44152</v>
      </c>
      <c r="D1174" s="11" t="str">
        <f t="shared" si="18"/>
        <v>16:00</v>
      </c>
      <c r="E1174" s="9">
        <v>44153.336805555555</v>
      </c>
      <c r="F1174" s="10">
        <f>INT(Cardiac_Table[[#This Row],[Procedure Start Date and Time]])</f>
        <v>44153</v>
      </c>
      <c r="G1174" s="12">
        <f>MOD(Cardiac_Table[[#This Row],[Procedure Start Date and Time]],1)</f>
        <v>0.33680555555474712</v>
      </c>
      <c r="H1174">
        <v>6</v>
      </c>
      <c r="I1174" t="s">
        <v>4</v>
      </c>
      <c r="J1174" t="s">
        <v>3</v>
      </c>
      <c r="K1174" t="s">
        <v>24</v>
      </c>
      <c r="L1174">
        <v>64</v>
      </c>
      <c r="M1174">
        <v>2.09</v>
      </c>
      <c r="N1174">
        <v>0.76</v>
      </c>
      <c r="O1174" t="s">
        <v>15</v>
      </c>
      <c r="P1174">
        <v>84</v>
      </c>
      <c r="Q1174">
        <v>166</v>
      </c>
      <c r="R1174">
        <v>89</v>
      </c>
      <c r="S1174">
        <v>30</v>
      </c>
      <c r="T1174" t="s">
        <v>49</v>
      </c>
      <c r="U1174">
        <f>IF(Cardiac_Table[[#This Row],[Patient Status at Discharge]]="Died", 1,0)</f>
        <v>0</v>
      </c>
      <c r="V1174">
        <f>Cardiac_Table[[#This Row],[Risk of Death % (Model 1)]]/100</f>
        <v>2.0899999999999998E-2</v>
      </c>
      <c r="W1174">
        <f>Cardiac_Table[[#This Row],[Risk of Death % (Model 2)]]/100</f>
        <v>7.6E-3</v>
      </c>
      <c r="X1174" s="18">
        <f>Cardiac_Table[[#This Row],[Procedure Start Date and Time]]-Cardiac_Table[[#This Row],[Hospital Admit Date ]]</f>
        <v>0.67013888889050577</v>
      </c>
    </row>
    <row r="1175" spans="1:24" x14ac:dyDescent="0.35">
      <c r="A1175">
        <v>1185</v>
      </c>
      <c r="B1175" s="9">
        <v>44152.625</v>
      </c>
      <c r="C1175" s="10">
        <f>INT(Cardiac_Table[[#This Row],[Hospital Admit Date ]])</f>
        <v>44152</v>
      </c>
      <c r="D1175" s="11" t="str">
        <f t="shared" si="18"/>
        <v>15:00</v>
      </c>
      <c r="E1175" s="9">
        <v>44153.347222222219</v>
      </c>
      <c r="F1175" s="10">
        <f>INT(Cardiac_Table[[#This Row],[Procedure Start Date and Time]])</f>
        <v>44153</v>
      </c>
      <c r="G1175" s="12">
        <f>MOD(Cardiac_Table[[#This Row],[Procedure Start Date and Time]],1)</f>
        <v>0.34722222221898846</v>
      </c>
      <c r="H1175">
        <v>4</v>
      </c>
      <c r="I1175" t="s">
        <v>4</v>
      </c>
      <c r="J1175" t="s">
        <v>11</v>
      </c>
      <c r="K1175" t="s">
        <v>23</v>
      </c>
      <c r="L1175">
        <v>87</v>
      </c>
      <c r="M1175">
        <v>8.99</v>
      </c>
      <c r="N1175">
        <v>1.85</v>
      </c>
      <c r="O1175" t="s">
        <v>15</v>
      </c>
      <c r="P1175">
        <v>124</v>
      </c>
      <c r="Q1175">
        <v>170</v>
      </c>
      <c r="R1175">
        <v>67</v>
      </c>
      <c r="S1175">
        <v>29</v>
      </c>
      <c r="T1175" t="s">
        <v>49</v>
      </c>
      <c r="U1175">
        <f>IF(Cardiac_Table[[#This Row],[Patient Status at Discharge]]="Died", 1,0)</f>
        <v>0</v>
      </c>
      <c r="V1175">
        <f>Cardiac_Table[[#This Row],[Risk of Death % (Model 1)]]/100</f>
        <v>8.9900000000000008E-2</v>
      </c>
      <c r="W1175">
        <f>Cardiac_Table[[#This Row],[Risk of Death % (Model 2)]]/100</f>
        <v>1.8500000000000003E-2</v>
      </c>
      <c r="X1175" s="18">
        <f>Cardiac_Table[[#This Row],[Procedure Start Date and Time]]-Cardiac_Table[[#This Row],[Hospital Admit Date ]]</f>
        <v>0.72222222221898846</v>
      </c>
    </row>
    <row r="1176" spans="1:24" x14ac:dyDescent="0.35">
      <c r="A1176">
        <v>1186</v>
      </c>
      <c r="B1176" s="9">
        <v>44152.666666666664</v>
      </c>
      <c r="C1176" s="10">
        <f>INT(Cardiac_Table[[#This Row],[Hospital Admit Date ]])</f>
        <v>44152</v>
      </c>
      <c r="D1176" s="11" t="str">
        <f t="shared" si="18"/>
        <v>16:00</v>
      </c>
      <c r="E1176" s="9">
        <v>44153.353472222225</v>
      </c>
      <c r="F1176" s="10">
        <f>INT(Cardiac_Table[[#This Row],[Procedure Start Date and Time]])</f>
        <v>44153</v>
      </c>
      <c r="G1176" s="12">
        <f>MOD(Cardiac_Table[[#This Row],[Procedure Start Date and Time]],1)</f>
        <v>0.35347222222480923</v>
      </c>
      <c r="H1176">
        <v>5</v>
      </c>
      <c r="I1176" t="s">
        <v>4</v>
      </c>
      <c r="J1176" t="s">
        <v>11</v>
      </c>
      <c r="K1176" t="s">
        <v>28</v>
      </c>
      <c r="L1176">
        <v>82</v>
      </c>
      <c r="M1176">
        <v>8.9700000000000006</v>
      </c>
      <c r="N1176">
        <v>7.45</v>
      </c>
      <c r="O1176" t="s">
        <v>15</v>
      </c>
      <c r="P1176">
        <v>65</v>
      </c>
      <c r="Q1176">
        <v>165</v>
      </c>
      <c r="R1176">
        <v>106</v>
      </c>
      <c r="S1176">
        <v>50</v>
      </c>
      <c r="T1176" t="s">
        <v>50</v>
      </c>
      <c r="U1176">
        <f>IF(Cardiac_Table[[#This Row],[Patient Status at Discharge]]="Died", 1,0)</f>
        <v>0</v>
      </c>
      <c r="V1176">
        <f>Cardiac_Table[[#This Row],[Risk of Death % (Model 1)]]/100</f>
        <v>8.9700000000000002E-2</v>
      </c>
      <c r="W1176">
        <f>Cardiac_Table[[#This Row],[Risk of Death % (Model 2)]]/100</f>
        <v>7.4499999999999997E-2</v>
      </c>
      <c r="X1176" s="18">
        <f>Cardiac_Table[[#This Row],[Procedure Start Date and Time]]-Cardiac_Table[[#This Row],[Hospital Admit Date ]]</f>
        <v>0.68680555556056788</v>
      </c>
    </row>
    <row r="1177" spans="1:24" x14ac:dyDescent="0.35">
      <c r="A1177">
        <v>1187</v>
      </c>
      <c r="B1177" s="9">
        <v>44139.473611111112</v>
      </c>
      <c r="C1177" s="10">
        <f>INT(Cardiac_Table[[#This Row],[Hospital Admit Date ]])</f>
        <v>44139</v>
      </c>
      <c r="D1177" s="11" t="str">
        <f t="shared" si="18"/>
        <v>11:22</v>
      </c>
      <c r="E1177" s="9">
        <v>44153.511111111111</v>
      </c>
      <c r="F1177" s="10">
        <f>INT(Cardiac_Table[[#This Row],[Procedure Start Date and Time]])</f>
        <v>44153</v>
      </c>
      <c r="G1177" s="12">
        <f>MOD(Cardiac_Table[[#This Row],[Procedure Start Date and Time]],1)</f>
        <v>0.51111111111094942</v>
      </c>
      <c r="H1177">
        <v>1</v>
      </c>
      <c r="I1177" t="s">
        <v>6</v>
      </c>
      <c r="J1177" t="s">
        <v>3</v>
      </c>
      <c r="K1177" t="s">
        <v>30</v>
      </c>
      <c r="L1177">
        <v>67</v>
      </c>
      <c r="M1177">
        <v>11.84</v>
      </c>
      <c r="N1177">
        <v>2.89</v>
      </c>
      <c r="O1177" t="s">
        <v>15</v>
      </c>
      <c r="P1177">
        <v>87</v>
      </c>
      <c r="Q1177">
        <v>171</v>
      </c>
      <c r="R1177">
        <v>87</v>
      </c>
      <c r="S1177">
        <v>68</v>
      </c>
      <c r="T1177" t="s">
        <v>48</v>
      </c>
      <c r="U1177">
        <f>IF(Cardiac_Table[[#This Row],[Patient Status at Discharge]]="Died", 1,0)</f>
        <v>0</v>
      </c>
      <c r="V1177">
        <f>Cardiac_Table[[#This Row],[Risk of Death % (Model 1)]]/100</f>
        <v>0.11840000000000001</v>
      </c>
      <c r="W1177">
        <f>Cardiac_Table[[#This Row],[Risk of Death % (Model 2)]]/100</f>
        <v>2.8900000000000002E-2</v>
      </c>
      <c r="X1177" s="18">
        <f>Cardiac_Table[[#This Row],[Procedure Start Date and Time]]-Cardiac_Table[[#This Row],[Hospital Admit Date ]]</f>
        <v>14.037499999998545</v>
      </c>
    </row>
    <row r="1178" spans="1:24" x14ac:dyDescent="0.35">
      <c r="A1178">
        <v>1188</v>
      </c>
      <c r="B1178" s="9">
        <v>44153.357638888891</v>
      </c>
      <c r="C1178" s="10">
        <f>INT(Cardiac_Table[[#This Row],[Hospital Admit Date ]])</f>
        <v>44153</v>
      </c>
      <c r="D1178" s="11" t="str">
        <f t="shared" si="18"/>
        <v>08:35</v>
      </c>
      <c r="E1178" s="9">
        <v>44153.552083333336</v>
      </c>
      <c r="F1178" s="10">
        <f>INT(Cardiac_Table[[#This Row],[Procedure Start Date and Time]])</f>
        <v>44153</v>
      </c>
      <c r="G1178" s="12">
        <f>MOD(Cardiac_Table[[#This Row],[Procedure Start Date and Time]],1)</f>
        <v>0.55208333333575865</v>
      </c>
      <c r="H1178">
        <v>4</v>
      </c>
      <c r="I1178" t="s">
        <v>4</v>
      </c>
      <c r="J1178" t="s">
        <v>3</v>
      </c>
      <c r="K1178" t="s">
        <v>23</v>
      </c>
      <c r="L1178">
        <v>49</v>
      </c>
      <c r="M1178">
        <v>1.51</v>
      </c>
      <c r="N1178">
        <v>0.5</v>
      </c>
      <c r="O1178" t="s">
        <v>15</v>
      </c>
      <c r="P1178">
        <v>76</v>
      </c>
      <c r="Q1178">
        <v>177</v>
      </c>
      <c r="R1178">
        <v>107</v>
      </c>
      <c r="S1178">
        <v>50</v>
      </c>
      <c r="T1178" t="s">
        <v>50</v>
      </c>
      <c r="U1178">
        <f>IF(Cardiac_Table[[#This Row],[Patient Status at Discharge]]="Died", 1,0)</f>
        <v>0</v>
      </c>
      <c r="V1178">
        <f>Cardiac_Table[[#This Row],[Risk of Death % (Model 1)]]/100</f>
        <v>1.5100000000000001E-2</v>
      </c>
      <c r="W1178">
        <f>Cardiac_Table[[#This Row],[Risk of Death % (Model 2)]]/100</f>
        <v>5.0000000000000001E-3</v>
      </c>
      <c r="X1178" s="18">
        <f>Cardiac_Table[[#This Row],[Procedure Start Date and Time]]-Cardiac_Table[[#This Row],[Hospital Admit Date ]]</f>
        <v>0.19444444444525288</v>
      </c>
    </row>
    <row r="1179" spans="1:24" x14ac:dyDescent="0.35">
      <c r="A1179">
        <v>1189</v>
      </c>
      <c r="B1179" s="9">
        <v>44140.60833333333</v>
      </c>
      <c r="C1179" s="10">
        <f>INT(Cardiac_Table[[#This Row],[Hospital Admit Date ]])</f>
        <v>44140</v>
      </c>
      <c r="D1179" s="11" t="str">
        <f t="shared" si="18"/>
        <v>14:36</v>
      </c>
      <c r="E1179" s="9">
        <v>44153.560416666667</v>
      </c>
      <c r="F1179" s="10">
        <f>INT(Cardiac_Table[[#This Row],[Procedure Start Date and Time]])</f>
        <v>44153</v>
      </c>
      <c r="G1179" s="12">
        <f>MOD(Cardiac_Table[[#This Row],[Procedure Start Date and Time]],1)</f>
        <v>0.56041666666715173</v>
      </c>
      <c r="H1179">
        <v>6</v>
      </c>
      <c r="I1179" t="s">
        <v>6</v>
      </c>
      <c r="J1179" t="s">
        <v>10</v>
      </c>
      <c r="K1179" t="s">
        <v>24</v>
      </c>
      <c r="L1179">
        <v>66</v>
      </c>
      <c r="M1179">
        <v>2.39</v>
      </c>
      <c r="N1179">
        <v>1.42</v>
      </c>
      <c r="O1179" t="s">
        <v>15</v>
      </c>
      <c r="P1179">
        <v>95</v>
      </c>
      <c r="Q1179">
        <v>179</v>
      </c>
      <c r="R1179">
        <v>78</v>
      </c>
      <c r="S1179">
        <v>29</v>
      </c>
      <c r="T1179" t="s">
        <v>49</v>
      </c>
      <c r="U1179">
        <f>IF(Cardiac_Table[[#This Row],[Patient Status at Discharge]]="Died", 1,0)</f>
        <v>0</v>
      </c>
      <c r="V1179">
        <f>Cardiac_Table[[#This Row],[Risk of Death % (Model 1)]]/100</f>
        <v>2.3900000000000001E-2</v>
      </c>
      <c r="W1179">
        <f>Cardiac_Table[[#This Row],[Risk of Death % (Model 2)]]/100</f>
        <v>1.4199999999999999E-2</v>
      </c>
      <c r="X1179" s="18">
        <f>Cardiac_Table[[#This Row],[Procedure Start Date and Time]]-Cardiac_Table[[#This Row],[Hospital Admit Date ]]</f>
        <v>12.952083333337214</v>
      </c>
    </row>
    <row r="1180" spans="1:24" x14ac:dyDescent="0.35">
      <c r="A1180">
        <v>1190</v>
      </c>
      <c r="B1180" s="9">
        <v>44153.666666666664</v>
      </c>
      <c r="C1180" s="10">
        <f>INT(Cardiac_Table[[#This Row],[Hospital Admit Date ]])</f>
        <v>44153</v>
      </c>
      <c r="D1180" s="11" t="str">
        <f t="shared" si="18"/>
        <v>16:00</v>
      </c>
      <c r="E1180" s="9">
        <v>44154.336111111108</v>
      </c>
      <c r="F1180" s="10">
        <f>INT(Cardiac_Table[[#This Row],[Procedure Start Date and Time]])</f>
        <v>44154</v>
      </c>
      <c r="G1180" s="12">
        <f>MOD(Cardiac_Table[[#This Row],[Procedure Start Date and Time]],1)</f>
        <v>0.33611111110803904</v>
      </c>
      <c r="H1180">
        <v>3</v>
      </c>
      <c r="I1180" t="s">
        <v>4</v>
      </c>
      <c r="J1180" t="s">
        <v>10</v>
      </c>
      <c r="K1180" t="s">
        <v>33</v>
      </c>
      <c r="L1180">
        <v>65</v>
      </c>
      <c r="M1180">
        <v>1.31</v>
      </c>
      <c r="N1180">
        <v>0.78</v>
      </c>
      <c r="O1180" t="s">
        <v>15</v>
      </c>
      <c r="P1180">
        <v>82</v>
      </c>
      <c r="Q1180">
        <v>179</v>
      </c>
      <c r="R1180">
        <v>96</v>
      </c>
      <c r="S1180">
        <v>57</v>
      </c>
      <c r="T1180" t="s">
        <v>48</v>
      </c>
      <c r="U1180">
        <f>IF(Cardiac_Table[[#This Row],[Patient Status at Discharge]]="Died", 1,0)</f>
        <v>0</v>
      </c>
      <c r="V1180">
        <f>Cardiac_Table[[#This Row],[Risk of Death % (Model 1)]]/100</f>
        <v>1.3100000000000001E-2</v>
      </c>
      <c r="W1180">
        <f>Cardiac_Table[[#This Row],[Risk of Death % (Model 2)]]/100</f>
        <v>7.8000000000000005E-3</v>
      </c>
      <c r="X1180" s="18">
        <f>Cardiac_Table[[#This Row],[Procedure Start Date and Time]]-Cardiac_Table[[#This Row],[Hospital Admit Date ]]</f>
        <v>0.66944444444379769</v>
      </c>
    </row>
    <row r="1181" spans="1:24" x14ac:dyDescent="0.35">
      <c r="A1181">
        <v>1191</v>
      </c>
      <c r="B1181" s="9">
        <v>44153.595833333333</v>
      </c>
      <c r="C1181" s="10">
        <f>INT(Cardiac_Table[[#This Row],[Hospital Admit Date ]])</f>
        <v>44153</v>
      </c>
      <c r="D1181" s="11" t="str">
        <f t="shared" si="18"/>
        <v>14:18</v>
      </c>
      <c r="E1181" s="9">
        <v>44154.336805555555</v>
      </c>
      <c r="F1181" s="10">
        <f>INT(Cardiac_Table[[#This Row],[Procedure Start Date and Time]])</f>
        <v>44154</v>
      </c>
      <c r="G1181" s="12">
        <f>MOD(Cardiac_Table[[#This Row],[Procedure Start Date and Time]],1)</f>
        <v>0.33680555555474712</v>
      </c>
      <c r="H1181">
        <v>6</v>
      </c>
      <c r="I1181" t="s">
        <v>4</v>
      </c>
      <c r="J1181" t="s">
        <v>10</v>
      </c>
      <c r="K1181" t="s">
        <v>23</v>
      </c>
      <c r="L1181">
        <v>70</v>
      </c>
      <c r="M1181">
        <v>4.7300000000000004</v>
      </c>
      <c r="N1181">
        <v>2.21</v>
      </c>
      <c r="O1181" t="s">
        <v>15</v>
      </c>
      <c r="P1181">
        <v>96</v>
      </c>
      <c r="Q1181">
        <v>178</v>
      </c>
      <c r="R1181">
        <v>89</v>
      </c>
      <c r="S1181">
        <v>55</v>
      </c>
      <c r="T1181" t="s">
        <v>48</v>
      </c>
      <c r="U1181">
        <f>IF(Cardiac_Table[[#This Row],[Patient Status at Discharge]]="Died", 1,0)</f>
        <v>0</v>
      </c>
      <c r="V1181">
        <f>Cardiac_Table[[#This Row],[Risk of Death % (Model 1)]]/100</f>
        <v>4.7300000000000002E-2</v>
      </c>
      <c r="W1181">
        <f>Cardiac_Table[[#This Row],[Risk of Death % (Model 2)]]/100</f>
        <v>2.2099999999999998E-2</v>
      </c>
      <c r="X1181" s="18">
        <f>Cardiac_Table[[#This Row],[Procedure Start Date and Time]]-Cardiac_Table[[#This Row],[Hospital Admit Date ]]</f>
        <v>0.74097222222189885</v>
      </c>
    </row>
    <row r="1182" spans="1:24" x14ac:dyDescent="0.35">
      <c r="A1182">
        <v>1192</v>
      </c>
      <c r="B1182" s="9">
        <v>44152.606944444444</v>
      </c>
      <c r="C1182" s="10">
        <f>INT(Cardiac_Table[[#This Row],[Hospital Admit Date ]])</f>
        <v>44152</v>
      </c>
      <c r="D1182" s="11" t="str">
        <f t="shared" si="18"/>
        <v>14:34</v>
      </c>
      <c r="E1182" s="9">
        <v>44154.34097222222</v>
      </c>
      <c r="F1182" s="10">
        <f>INT(Cardiac_Table[[#This Row],[Procedure Start Date and Time]])</f>
        <v>44154</v>
      </c>
      <c r="G1182" s="12">
        <f>MOD(Cardiac_Table[[#This Row],[Procedure Start Date and Time]],1)</f>
        <v>0.34097222222044365</v>
      </c>
      <c r="H1182">
        <v>1</v>
      </c>
      <c r="I1182" t="s">
        <v>6</v>
      </c>
      <c r="J1182" t="s">
        <v>10</v>
      </c>
      <c r="K1182" t="s">
        <v>24</v>
      </c>
      <c r="L1182">
        <v>71</v>
      </c>
      <c r="M1182">
        <v>3.67</v>
      </c>
      <c r="N1182">
        <v>2.38</v>
      </c>
      <c r="O1182" t="s">
        <v>15</v>
      </c>
      <c r="P1182">
        <v>69</v>
      </c>
      <c r="Q1182">
        <v>179</v>
      </c>
      <c r="R1182">
        <v>93</v>
      </c>
      <c r="S1182">
        <v>50</v>
      </c>
      <c r="T1182" t="s">
        <v>50</v>
      </c>
      <c r="U1182">
        <f>IF(Cardiac_Table[[#This Row],[Patient Status at Discharge]]="Died", 1,0)</f>
        <v>0</v>
      </c>
      <c r="V1182">
        <f>Cardiac_Table[[#This Row],[Risk of Death % (Model 1)]]/100</f>
        <v>3.6699999999999997E-2</v>
      </c>
      <c r="W1182">
        <f>Cardiac_Table[[#This Row],[Risk of Death % (Model 2)]]/100</f>
        <v>2.3799999999999998E-2</v>
      </c>
      <c r="X1182" s="18">
        <f>Cardiac_Table[[#This Row],[Procedure Start Date and Time]]-Cardiac_Table[[#This Row],[Hospital Admit Date ]]</f>
        <v>1.734027777776646</v>
      </c>
    </row>
    <row r="1183" spans="1:24" x14ac:dyDescent="0.35">
      <c r="A1183">
        <v>1193</v>
      </c>
      <c r="B1183" s="9">
        <v>44152.559027777781</v>
      </c>
      <c r="C1183" s="10">
        <f>INT(Cardiac_Table[[#This Row],[Hospital Admit Date ]])</f>
        <v>44152</v>
      </c>
      <c r="D1183" s="11" t="str">
        <f t="shared" si="18"/>
        <v>13:25</v>
      </c>
      <c r="E1183" s="9">
        <v>44154.350694444445</v>
      </c>
      <c r="F1183" s="10">
        <f>INT(Cardiac_Table[[#This Row],[Procedure Start Date and Time]])</f>
        <v>44154</v>
      </c>
      <c r="G1183" s="12">
        <f>MOD(Cardiac_Table[[#This Row],[Procedure Start Date and Time]],1)</f>
        <v>0.35069444444525288</v>
      </c>
      <c r="H1183">
        <v>5</v>
      </c>
      <c r="I1183" t="s">
        <v>6</v>
      </c>
      <c r="J1183" t="s">
        <v>10</v>
      </c>
      <c r="K1183" t="s">
        <v>31</v>
      </c>
      <c r="L1183">
        <v>71</v>
      </c>
      <c r="M1183">
        <v>1.94</v>
      </c>
      <c r="N1183">
        <v>1.04</v>
      </c>
      <c r="O1183" t="s">
        <v>15</v>
      </c>
      <c r="P1183">
        <v>121</v>
      </c>
      <c r="Q1183">
        <v>166</v>
      </c>
      <c r="R1183">
        <v>68</v>
      </c>
      <c r="S1183">
        <v>67</v>
      </c>
      <c r="T1183" t="s">
        <v>48</v>
      </c>
      <c r="U1183">
        <f>IF(Cardiac_Table[[#This Row],[Patient Status at Discharge]]="Died", 1,0)</f>
        <v>0</v>
      </c>
      <c r="V1183">
        <f>Cardiac_Table[[#This Row],[Risk of Death % (Model 1)]]/100</f>
        <v>1.9400000000000001E-2</v>
      </c>
      <c r="W1183">
        <f>Cardiac_Table[[#This Row],[Risk of Death % (Model 2)]]/100</f>
        <v>1.04E-2</v>
      </c>
      <c r="X1183" s="18">
        <f>Cardiac_Table[[#This Row],[Procedure Start Date and Time]]-Cardiac_Table[[#This Row],[Hospital Admit Date ]]</f>
        <v>1.7916666666642413</v>
      </c>
    </row>
    <row r="1184" spans="1:24" x14ac:dyDescent="0.35">
      <c r="A1184">
        <v>1194</v>
      </c>
      <c r="B1184" s="9">
        <v>44153.666666666664</v>
      </c>
      <c r="C1184" s="10">
        <f>INT(Cardiac_Table[[#This Row],[Hospital Admit Date ]])</f>
        <v>44153</v>
      </c>
      <c r="D1184" s="11" t="str">
        <f t="shared" si="18"/>
        <v>16:00</v>
      </c>
      <c r="E1184" s="9">
        <v>44154.352777777778</v>
      </c>
      <c r="F1184" s="10">
        <f>INT(Cardiac_Table[[#This Row],[Procedure Start Date and Time]])</f>
        <v>44154</v>
      </c>
      <c r="G1184" s="12">
        <f>MOD(Cardiac_Table[[#This Row],[Procedure Start Date and Time]],1)</f>
        <v>0.35277777777810115</v>
      </c>
      <c r="H1184">
        <v>4</v>
      </c>
      <c r="I1184" t="s">
        <v>4</v>
      </c>
      <c r="J1184" t="s">
        <v>3</v>
      </c>
      <c r="K1184" t="s">
        <v>21</v>
      </c>
      <c r="L1184">
        <v>55</v>
      </c>
      <c r="M1184">
        <v>3.13</v>
      </c>
      <c r="N1184">
        <v>1.96</v>
      </c>
      <c r="O1184" t="s">
        <v>15</v>
      </c>
      <c r="P1184">
        <v>128</v>
      </c>
      <c r="Q1184">
        <v>163</v>
      </c>
      <c r="R1184">
        <v>71</v>
      </c>
      <c r="S1184">
        <v>64</v>
      </c>
      <c r="T1184" t="s">
        <v>48</v>
      </c>
      <c r="U1184">
        <f>IF(Cardiac_Table[[#This Row],[Patient Status at Discharge]]="Died", 1,0)</f>
        <v>0</v>
      </c>
      <c r="V1184">
        <f>Cardiac_Table[[#This Row],[Risk of Death % (Model 1)]]/100</f>
        <v>3.1300000000000001E-2</v>
      </c>
      <c r="W1184">
        <f>Cardiac_Table[[#This Row],[Risk of Death % (Model 2)]]/100</f>
        <v>1.9599999999999999E-2</v>
      </c>
      <c r="X1184" s="18">
        <f>Cardiac_Table[[#This Row],[Procedure Start Date and Time]]-Cardiac_Table[[#This Row],[Hospital Admit Date ]]</f>
        <v>0.68611111111385981</v>
      </c>
    </row>
    <row r="1185" spans="1:24" x14ac:dyDescent="0.35">
      <c r="A1185">
        <v>1195</v>
      </c>
      <c r="B1185" s="9">
        <v>44154.299305555556</v>
      </c>
      <c r="C1185" s="10">
        <f>INT(Cardiac_Table[[#This Row],[Hospital Admit Date ]])</f>
        <v>44154</v>
      </c>
      <c r="D1185" s="11" t="str">
        <f t="shared" si="18"/>
        <v>07:11</v>
      </c>
      <c r="E1185" s="9">
        <v>44154.513888888891</v>
      </c>
      <c r="F1185" s="10">
        <f>INT(Cardiac_Table[[#This Row],[Procedure Start Date and Time]])</f>
        <v>44154</v>
      </c>
      <c r="G1185" s="12">
        <f>MOD(Cardiac_Table[[#This Row],[Procedure Start Date and Time]],1)</f>
        <v>0.51388888889050577</v>
      </c>
      <c r="H1185">
        <v>3</v>
      </c>
      <c r="I1185" t="s">
        <v>4</v>
      </c>
      <c r="J1185" t="s">
        <v>11</v>
      </c>
      <c r="K1185" t="s">
        <v>33</v>
      </c>
      <c r="L1185">
        <v>66</v>
      </c>
      <c r="M1185">
        <v>2.38</v>
      </c>
      <c r="N1185">
        <v>3.92</v>
      </c>
      <c r="O1185" t="s">
        <v>15</v>
      </c>
      <c r="P1185">
        <v>187</v>
      </c>
      <c r="Q1185">
        <v>165</v>
      </c>
      <c r="R1185">
        <v>70</v>
      </c>
      <c r="S1185">
        <v>40</v>
      </c>
      <c r="T1185" t="s">
        <v>50</v>
      </c>
      <c r="U1185">
        <f>IF(Cardiac_Table[[#This Row],[Patient Status at Discharge]]="Died", 1,0)</f>
        <v>0</v>
      </c>
      <c r="V1185">
        <f>Cardiac_Table[[#This Row],[Risk of Death % (Model 1)]]/100</f>
        <v>2.3799999999999998E-2</v>
      </c>
      <c r="W1185">
        <f>Cardiac_Table[[#This Row],[Risk of Death % (Model 2)]]/100</f>
        <v>3.9199999999999999E-2</v>
      </c>
      <c r="X1185" s="18">
        <f>Cardiac_Table[[#This Row],[Procedure Start Date and Time]]-Cardiac_Table[[#This Row],[Hospital Admit Date ]]</f>
        <v>0.21458333333430346</v>
      </c>
    </row>
    <row r="1186" spans="1:24" x14ac:dyDescent="0.35">
      <c r="A1186">
        <v>1196</v>
      </c>
      <c r="B1186" s="9">
        <v>44154.296527777777</v>
      </c>
      <c r="C1186" s="10">
        <f>INT(Cardiac_Table[[#This Row],[Hospital Admit Date ]])</f>
        <v>44154</v>
      </c>
      <c r="D1186" s="11" t="str">
        <f t="shared" si="18"/>
        <v>07:07</v>
      </c>
      <c r="E1186" s="9">
        <v>44154.555555555555</v>
      </c>
      <c r="F1186" s="10">
        <f>INT(Cardiac_Table[[#This Row],[Procedure Start Date and Time]])</f>
        <v>44154</v>
      </c>
      <c r="G1186" s="12">
        <f>MOD(Cardiac_Table[[#This Row],[Procedure Start Date and Time]],1)</f>
        <v>0.55555555555474712</v>
      </c>
      <c r="H1186">
        <v>6</v>
      </c>
      <c r="I1186" t="s">
        <v>4</v>
      </c>
      <c r="J1186" t="s">
        <v>1</v>
      </c>
      <c r="K1186" t="s">
        <v>23</v>
      </c>
      <c r="L1186">
        <v>69</v>
      </c>
      <c r="M1186">
        <v>11.67</v>
      </c>
      <c r="N1186">
        <v>3.49</v>
      </c>
      <c r="O1186" t="s">
        <v>15</v>
      </c>
      <c r="P1186">
        <v>145</v>
      </c>
      <c r="Q1186">
        <v>179</v>
      </c>
      <c r="R1186">
        <v>92</v>
      </c>
      <c r="S1186">
        <v>55</v>
      </c>
      <c r="T1186" t="s">
        <v>48</v>
      </c>
      <c r="U1186">
        <f>IF(Cardiac_Table[[#This Row],[Patient Status at Discharge]]="Died", 1,0)</f>
        <v>0</v>
      </c>
      <c r="V1186">
        <f>Cardiac_Table[[#This Row],[Risk of Death % (Model 1)]]/100</f>
        <v>0.1167</v>
      </c>
      <c r="W1186">
        <f>Cardiac_Table[[#This Row],[Risk of Death % (Model 2)]]/100</f>
        <v>3.49E-2</v>
      </c>
      <c r="X1186" s="18">
        <f>Cardiac_Table[[#This Row],[Procedure Start Date and Time]]-Cardiac_Table[[#This Row],[Hospital Admit Date ]]</f>
        <v>0.25902777777810115</v>
      </c>
    </row>
    <row r="1187" spans="1:24" x14ac:dyDescent="0.35">
      <c r="A1187">
        <v>1197</v>
      </c>
      <c r="B1187" s="9">
        <v>44154.293749999997</v>
      </c>
      <c r="C1187" s="10">
        <f>INT(Cardiac_Table[[#This Row],[Hospital Admit Date ]])</f>
        <v>44154</v>
      </c>
      <c r="D1187" s="11" t="str">
        <f t="shared" si="18"/>
        <v>07:03</v>
      </c>
      <c r="E1187" s="9">
        <v>44154.63958333333</v>
      </c>
      <c r="F1187" s="10">
        <f>INT(Cardiac_Table[[#This Row],[Procedure Start Date and Time]])</f>
        <v>44154</v>
      </c>
      <c r="G1187" s="12">
        <f>MOD(Cardiac_Table[[#This Row],[Procedure Start Date and Time]],1)</f>
        <v>0.63958333332993789</v>
      </c>
      <c r="H1187">
        <v>5</v>
      </c>
      <c r="I1187" t="s">
        <v>4</v>
      </c>
      <c r="J1187" t="s">
        <v>10</v>
      </c>
      <c r="K1187" t="s">
        <v>31</v>
      </c>
      <c r="L1187">
        <v>72</v>
      </c>
      <c r="M1187">
        <v>2.86</v>
      </c>
      <c r="N1187">
        <v>0.97</v>
      </c>
      <c r="O1187" t="s">
        <v>15</v>
      </c>
      <c r="P1187">
        <v>68</v>
      </c>
      <c r="Q1187">
        <v>171</v>
      </c>
      <c r="R1187">
        <v>67</v>
      </c>
      <c r="S1187">
        <v>60</v>
      </c>
      <c r="T1187" t="s">
        <v>48</v>
      </c>
      <c r="U1187">
        <f>IF(Cardiac_Table[[#This Row],[Patient Status at Discharge]]="Died", 1,0)</f>
        <v>0</v>
      </c>
      <c r="V1187">
        <f>Cardiac_Table[[#This Row],[Risk of Death % (Model 1)]]/100</f>
        <v>2.86E-2</v>
      </c>
      <c r="W1187">
        <f>Cardiac_Table[[#This Row],[Risk of Death % (Model 2)]]/100</f>
        <v>9.7000000000000003E-3</v>
      </c>
      <c r="X1187" s="18">
        <f>Cardiac_Table[[#This Row],[Procedure Start Date and Time]]-Cardiac_Table[[#This Row],[Hospital Admit Date ]]</f>
        <v>0.34583333333284827</v>
      </c>
    </row>
    <row r="1188" spans="1:24" x14ac:dyDescent="0.35">
      <c r="A1188">
        <v>1198</v>
      </c>
      <c r="B1188" s="9">
        <v>44155.089583333334</v>
      </c>
      <c r="C1188" s="10">
        <f>INT(Cardiac_Table[[#This Row],[Hospital Admit Date ]])</f>
        <v>44155</v>
      </c>
      <c r="D1188" s="11" t="str">
        <f t="shared" si="18"/>
        <v>02:09</v>
      </c>
      <c r="E1188" s="9">
        <v>44155.145833333336</v>
      </c>
      <c r="F1188" s="10">
        <f>INT(Cardiac_Table[[#This Row],[Procedure Start Date and Time]])</f>
        <v>44155</v>
      </c>
      <c r="G1188" s="12">
        <f>MOD(Cardiac_Table[[#This Row],[Procedure Start Date and Time]],1)</f>
        <v>0.14583333333575865</v>
      </c>
      <c r="H1188">
        <v>1</v>
      </c>
      <c r="I1188" t="s">
        <v>2</v>
      </c>
      <c r="J1188" t="s">
        <v>1</v>
      </c>
      <c r="K1188" t="s">
        <v>31</v>
      </c>
      <c r="L1188">
        <v>70</v>
      </c>
      <c r="M1188">
        <v>32.04</v>
      </c>
      <c r="N1188">
        <v>5</v>
      </c>
      <c r="O1188" t="s">
        <v>15</v>
      </c>
      <c r="P1188">
        <v>84</v>
      </c>
      <c r="Q1188">
        <v>149</v>
      </c>
      <c r="R1188">
        <v>43</v>
      </c>
      <c r="S1188">
        <v>65</v>
      </c>
      <c r="T1188" t="s">
        <v>48</v>
      </c>
      <c r="U1188">
        <f>IF(Cardiac_Table[[#This Row],[Patient Status at Discharge]]="Died", 1,0)</f>
        <v>0</v>
      </c>
      <c r="V1188">
        <f>Cardiac_Table[[#This Row],[Risk of Death % (Model 1)]]/100</f>
        <v>0.32040000000000002</v>
      </c>
      <c r="W1188">
        <f>Cardiac_Table[[#This Row],[Risk of Death % (Model 2)]]/100</f>
        <v>0.05</v>
      </c>
      <c r="X1188" s="18">
        <f>Cardiac_Table[[#This Row],[Procedure Start Date and Time]]-Cardiac_Table[[#This Row],[Hospital Admit Date ]]</f>
        <v>5.6250000001455192E-2</v>
      </c>
    </row>
    <row r="1189" spans="1:24" x14ac:dyDescent="0.35">
      <c r="A1189">
        <v>1199</v>
      </c>
      <c r="B1189" s="9">
        <v>44154.666666666664</v>
      </c>
      <c r="C1189" s="10">
        <f>INT(Cardiac_Table[[#This Row],[Hospital Admit Date ]])</f>
        <v>44154</v>
      </c>
      <c r="D1189" s="11" t="str">
        <f t="shared" si="18"/>
        <v>16:00</v>
      </c>
      <c r="E1189" s="9">
        <v>44155.333333333336</v>
      </c>
      <c r="F1189" s="10">
        <f>INT(Cardiac_Table[[#This Row],[Procedure Start Date and Time]])</f>
        <v>44155</v>
      </c>
      <c r="G1189" s="12">
        <f>MOD(Cardiac_Table[[#This Row],[Procedure Start Date and Time]],1)</f>
        <v>0.33333333333575865</v>
      </c>
      <c r="H1189">
        <v>5</v>
      </c>
      <c r="I1189" t="s">
        <v>4</v>
      </c>
      <c r="J1189" t="s">
        <v>11</v>
      </c>
      <c r="K1189" t="s">
        <v>30</v>
      </c>
      <c r="L1189">
        <v>65</v>
      </c>
      <c r="M1189">
        <v>3.35</v>
      </c>
      <c r="N1189">
        <v>1.82</v>
      </c>
      <c r="O1189" t="s">
        <v>15</v>
      </c>
      <c r="P1189">
        <v>112</v>
      </c>
      <c r="Q1189">
        <v>164</v>
      </c>
      <c r="R1189">
        <v>64</v>
      </c>
      <c r="S1189">
        <v>48</v>
      </c>
      <c r="T1189" t="s">
        <v>50</v>
      </c>
      <c r="U1189">
        <f>IF(Cardiac_Table[[#This Row],[Patient Status at Discharge]]="Died", 1,0)</f>
        <v>0</v>
      </c>
      <c r="V1189">
        <f>Cardiac_Table[[#This Row],[Risk of Death % (Model 1)]]/100</f>
        <v>3.3500000000000002E-2</v>
      </c>
      <c r="W1189">
        <f>Cardiac_Table[[#This Row],[Risk of Death % (Model 2)]]/100</f>
        <v>1.8200000000000001E-2</v>
      </c>
      <c r="X1189" s="18">
        <f>Cardiac_Table[[#This Row],[Procedure Start Date and Time]]-Cardiac_Table[[#This Row],[Hospital Admit Date ]]</f>
        <v>0.66666666667151731</v>
      </c>
    </row>
    <row r="1190" spans="1:24" x14ac:dyDescent="0.35">
      <c r="A1190">
        <v>1200</v>
      </c>
      <c r="B1190" s="9">
        <v>44150.478472222225</v>
      </c>
      <c r="C1190" s="10">
        <f>INT(Cardiac_Table[[#This Row],[Hospital Admit Date ]])</f>
        <v>44150</v>
      </c>
      <c r="D1190" s="11" t="str">
        <f t="shared" si="18"/>
        <v>11:29</v>
      </c>
      <c r="E1190" s="9">
        <v>44155.340277777781</v>
      </c>
      <c r="F1190" s="10">
        <f>INT(Cardiac_Table[[#This Row],[Procedure Start Date and Time]])</f>
        <v>44155</v>
      </c>
      <c r="G1190" s="12">
        <f>MOD(Cardiac_Table[[#This Row],[Procedure Start Date and Time]],1)</f>
        <v>0.34027777778101154</v>
      </c>
      <c r="H1190">
        <v>4</v>
      </c>
      <c r="I1190" t="s">
        <v>6</v>
      </c>
      <c r="J1190" t="s">
        <v>1</v>
      </c>
      <c r="K1190" t="s">
        <v>21</v>
      </c>
      <c r="L1190">
        <v>56</v>
      </c>
      <c r="M1190">
        <v>0.88</v>
      </c>
      <c r="N1190">
        <v>0.69</v>
      </c>
      <c r="O1190" t="s">
        <v>15</v>
      </c>
      <c r="P1190">
        <v>100</v>
      </c>
      <c r="Q1190">
        <v>177</v>
      </c>
      <c r="R1190">
        <v>90</v>
      </c>
      <c r="S1190">
        <v>40</v>
      </c>
      <c r="T1190" t="s">
        <v>50</v>
      </c>
      <c r="U1190">
        <f>IF(Cardiac_Table[[#This Row],[Patient Status at Discharge]]="Died", 1,0)</f>
        <v>0</v>
      </c>
      <c r="V1190">
        <f>Cardiac_Table[[#This Row],[Risk of Death % (Model 1)]]/100</f>
        <v>8.8000000000000005E-3</v>
      </c>
      <c r="W1190">
        <f>Cardiac_Table[[#This Row],[Risk of Death % (Model 2)]]/100</f>
        <v>6.8999999999999999E-3</v>
      </c>
      <c r="X1190" s="18">
        <f>Cardiac_Table[[#This Row],[Procedure Start Date and Time]]-Cardiac_Table[[#This Row],[Hospital Admit Date ]]</f>
        <v>4.8618055555562023</v>
      </c>
    </row>
    <row r="1191" spans="1:24" x14ac:dyDescent="0.35">
      <c r="A1191">
        <v>1201</v>
      </c>
      <c r="B1191" s="9">
        <v>44153.458333333336</v>
      </c>
      <c r="C1191" s="10">
        <f>INT(Cardiac_Table[[#This Row],[Hospital Admit Date ]])</f>
        <v>44153</v>
      </c>
      <c r="D1191" s="11" t="str">
        <f t="shared" si="18"/>
        <v>11:00</v>
      </c>
      <c r="E1191" s="9">
        <v>44155.343055555553</v>
      </c>
      <c r="F1191" s="10">
        <f>INT(Cardiac_Table[[#This Row],[Procedure Start Date and Time]])</f>
        <v>44155</v>
      </c>
      <c r="G1191" s="12">
        <f>MOD(Cardiac_Table[[#This Row],[Procedure Start Date and Time]],1)</f>
        <v>0.34305555555329192</v>
      </c>
      <c r="H1191">
        <v>6</v>
      </c>
      <c r="I1191" t="s">
        <v>6</v>
      </c>
      <c r="J1191" t="s">
        <v>10</v>
      </c>
      <c r="K1191" t="s">
        <v>24</v>
      </c>
      <c r="L1191">
        <v>63</v>
      </c>
      <c r="M1191">
        <v>1.73</v>
      </c>
      <c r="N1191">
        <v>1.37</v>
      </c>
      <c r="O1191" t="s">
        <v>15</v>
      </c>
      <c r="P1191">
        <v>104</v>
      </c>
      <c r="Q1191">
        <v>177</v>
      </c>
      <c r="R1191">
        <v>123</v>
      </c>
      <c r="S1191">
        <v>40</v>
      </c>
      <c r="T1191" t="s">
        <v>50</v>
      </c>
      <c r="U1191">
        <f>IF(Cardiac_Table[[#This Row],[Patient Status at Discharge]]="Died", 1,0)</f>
        <v>0</v>
      </c>
      <c r="V1191">
        <f>Cardiac_Table[[#This Row],[Risk of Death % (Model 1)]]/100</f>
        <v>1.7299999999999999E-2</v>
      </c>
      <c r="W1191">
        <f>Cardiac_Table[[#This Row],[Risk of Death % (Model 2)]]/100</f>
        <v>1.37E-2</v>
      </c>
      <c r="X1191" s="18">
        <f>Cardiac_Table[[#This Row],[Procedure Start Date and Time]]-Cardiac_Table[[#This Row],[Hospital Admit Date ]]</f>
        <v>1.8847222222175333</v>
      </c>
    </row>
    <row r="1192" spans="1:24" x14ac:dyDescent="0.35">
      <c r="A1192">
        <v>1202</v>
      </c>
      <c r="B1192" s="9">
        <v>44154.666666666664</v>
      </c>
      <c r="C1192" s="10">
        <f>INT(Cardiac_Table[[#This Row],[Hospital Admit Date ]])</f>
        <v>44154</v>
      </c>
      <c r="D1192" s="11" t="str">
        <f t="shared" si="18"/>
        <v>16:00</v>
      </c>
      <c r="E1192" s="9">
        <v>44155.558333333334</v>
      </c>
      <c r="F1192" s="10">
        <f>INT(Cardiac_Table[[#This Row],[Procedure Start Date and Time]])</f>
        <v>44155</v>
      </c>
      <c r="G1192" s="12">
        <f>MOD(Cardiac_Table[[#This Row],[Procedure Start Date and Time]],1)</f>
        <v>0.55833333333430346</v>
      </c>
      <c r="H1192">
        <v>1</v>
      </c>
      <c r="I1192" t="s">
        <v>4</v>
      </c>
      <c r="J1192" t="s">
        <v>1</v>
      </c>
      <c r="K1192" t="s">
        <v>27</v>
      </c>
      <c r="L1192">
        <v>80</v>
      </c>
      <c r="M1192">
        <v>36.659999999999997</v>
      </c>
      <c r="N1192">
        <v>13.72</v>
      </c>
      <c r="O1192" t="s">
        <v>15</v>
      </c>
      <c r="P1192">
        <v>83</v>
      </c>
      <c r="Q1192">
        <v>165</v>
      </c>
      <c r="R1192">
        <v>95</v>
      </c>
      <c r="S1192">
        <v>33</v>
      </c>
      <c r="T1192" t="s">
        <v>50</v>
      </c>
      <c r="U1192">
        <f>IF(Cardiac_Table[[#This Row],[Patient Status at Discharge]]="Died", 1,0)</f>
        <v>0</v>
      </c>
      <c r="V1192">
        <f>Cardiac_Table[[#This Row],[Risk of Death % (Model 1)]]/100</f>
        <v>0.36659999999999998</v>
      </c>
      <c r="W1192">
        <f>Cardiac_Table[[#This Row],[Risk of Death % (Model 2)]]/100</f>
        <v>0.13720000000000002</v>
      </c>
      <c r="X1192" s="18">
        <f>Cardiac_Table[[#This Row],[Procedure Start Date and Time]]-Cardiac_Table[[#This Row],[Hospital Admit Date ]]</f>
        <v>0.89166666667006211</v>
      </c>
    </row>
    <row r="1193" spans="1:24" x14ac:dyDescent="0.35">
      <c r="A1193">
        <v>1203</v>
      </c>
      <c r="B1193" s="9">
        <v>44155.294444444444</v>
      </c>
      <c r="C1193" s="10">
        <f>INT(Cardiac_Table[[#This Row],[Hospital Admit Date ]])</f>
        <v>44155</v>
      </c>
      <c r="D1193" s="11" t="str">
        <f t="shared" si="18"/>
        <v>07:04</v>
      </c>
      <c r="E1193" s="9">
        <v>44155.5625</v>
      </c>
      <c r="F1193" s="10">
        <f>INT(Cardiac_Table[[#This Row],[Procedure Start Date and Time]])</f>
        <v>44155</v>
      </c>
      <c r="G1193" s="12">
        <f>MOD(Cardiac_Table[[#This Row],[Procedure Start Date and Time]],1)</f>
        <v>0.5625</v>
      </c>
      <c r="H1193">
        <v>5</v>
      </c>
      <c r="I1193" t="s">
        <v>4</v>
      </c>
      <c r="J1193" t="s">
        <v>10</v>
      </c>
      <c r="K1193" t="s">
        <v>30</v>
      </c>
      <c r="L1193">
        <v>76</v>
      </c>
      <c r="M1193">
        <v>2.69</v>
      </c>
      <c r="N1193">
        <v>1.06</v>
      </c>
      <c r="O1193" t="s">
        <v>15</v>
      </c>
      <c r="P1193">
        <v>68</v>
      </c>
      <c r="Q1193">
        <v>179</v>
      </c>
      <c r="R1193">
        <v>74</v>
      </c>
      <c r="S1193">
        <v>55</v>
      </c>
      <c r="T1193" t="s">
        <v>48</v>
      </c>
      <c r="U1193">
        <f>IF(Cardiac_Table[[#This Row],[Patient Status at Discharge]]="Died", 1,0)</f>
        <v>0</v>
      </c>
      <c r="V1193">
        <f>Cardiac_Table[[#This Row],[Risk of Death % (Model 1)]]/100</f>
        <v>2.69E-2</v>
      </c>
      <c r="W1193">
        <f>Cardiac_Table[[#This Row],[Risk of Death % (Model 2)]]/100</f>
        <v>1.06E-2</v>
      </c>
      <c r="X1193" s="18">
        <f>Cardiac_Table[[#This Row],[Procedure Start Date and Time]]-Cardiac_Table[[#This Row],[Hospital Admit Date ]]</f>
        <v>0.26805555555620231</v>
      </c>
    </row>
    <row r="1194" spans="1:24" x14ac:dyDescent="0.35">
      <c r="A1194">
        <v>1204</v>
      </c>
      <c r="B1194" s="9">
        <v>44155.6</v>
      </c>
      <c r="C1194" s="10">
        <f>INT(Cardiac_Table[[#This Row],[Hospital Admit Date ]])</f>
        <v>44155</v>
      </c>
      <c r="D1194" s="11" t="str">
        <f t="shared" si="18"/>
        <v>14:24</v>
      </c>
      <c r="E1194" s="9">
        <v>44156.336805555555</v>
      </c>
      <c r="F1194" s="10">
        <f>INT(Cardiac_Table[[#This Row],[Procedure Start Date and Time]])</f>
        <v>44156</v>
      </c>
      <c r="G1194" s="12">
        <f>MOD(Cardiac_Table[[#This Row],[Procedure Start Date and Time]],1)</f>
        <v>0.33680555555474712</v>
      </c>
      <c r="H1194">
        <v>4</v>
      </c>
      <c r="I1194" t="s">
        <v>4</v>
      </c>
      <c r="J1194" t="s">
        <v>3</v>
      </c>
      <c r="K1194" t="s">
        <v>33</v>
      </c>
      <c r="L1194">
        <v>81</v>
      </c>
      <c r="M1194">
        <v>8.44</v>
      </c>
      <c r="N1194">
        <v>1.43</v>
      </c>
      <c r="O1194" t="s">
        <v>15</v>
      </c>
      <c r="P1194">
        <v>80</v>
      </c>
      <c r="Q1194">
        <v>156</v>
      </c>
      <c r="R1194">
        <v>61</v>
      </c>
      <c r="S1194">
        <v>35</v>
      </c>
      <c r="T1194" t="s">
        <v>50</v>
      </c>
      <c r="U1194">
        <f>IF(Cardiac_Table[[#This Row],[Patient Status at Discharge]]="Died", 1,0)</f>
        <v>0</v>
      </c>
      <c r="V1194">
        <f>Cardiac_Table[[#This Row],[Risk of Death % (Model 1)]]/100</f>
        <v>8.4399999999999989E-2</v>
      </c>
      <c r="W1194">
        <f>Cardiac_Table[[#This Row],[Risk of Death % (Model 2)]]/100</f>
        <v>1.43E-2</v>
      </c>
      <c r="X1194" s="18">
        <f>Cardiac_Table[[#This Row],[Procedure Start Date and Time]]-Cardiac_Table[[#This Row],[Hospital Admit Date ]]</f>
        <v>0.73680555555620231</v>
      </c>
    </row>
    <row r="1195" spans="1:24" x14ac:dyDescent="0.35">
      <c r="A1195">
        <v>1205</v>
      </c>
      <c r="B1195" s="9">
        <v>44155.586111111108</v>
      </c>
      <c r="C1195" s="10">
        <f>INT(Cardiac_Table[[#This Row],[Hospital Admit Date ]])</f>
        <v>44155</v>
      </c>
      <c r="D1195" s="11" t="str">
        <f t="shared" si="18"/>
        <v>14:04</v>
      </c>
      <c r="E1195" s="9">
        <v>44156.445138888892</v>
      </c>
      <c r="F1195" s="10">
        <f>INT(Cardiac_Table[[#This Row],[Procedure Start Date and Time]])</f>
        <v>44156</v>
      </c>
      <c r="G1195" s="12">
        <f>MOD(Cardiac_Table[[#This Row],[Procedure Start Date and Time]],1)</f>
        <v>0.44513888889196096</v>
      </c>
      <c r="H1195">
        <v>5</v>
      </c>
      <c r="I1195" t="s">
        <v>4</v>
      </c>
      <c r="J1195" t="s">
        <v>3</v>
      </c>
      <c r="K1195" t="s">
        <v>33</v>
      </c>
      <c r="L1195">
        <v>77</v>
      </c>
      <c r="M1195">
        <v>4.83</v>
      </c>
      <c r="N1195">
        <v>1.22</v>
      </c>
      <c r="O1195" t="s">
        <v>15</v>
      </c>
      <c r="P1195">
        <v>89</v>
      </c>
      <c r="Q1195">
        <v>173</v>
      </c>
      <c r="R1195">
        <v>94</v>
      </c>
      <c r="S1195">
        <v>54</v>
      </c>
      <c r="T1195" t="s">
        <v>48</v>
      </c>
      <c r="U1195">
        <f>IF(Cardiac_Table[[#This Row],[Patient Status at Discharge]]="Died", 1,0)</f>
        <v>0</v>
      </c>
      <c r="V1195">
        <f>Cardiac_Table[[#This Row],[Risk of Death % (Model 1)]]/100</f>
        <v>4.8300000000000003E-2</v>
      </c>
      <c r="W1195">
        <f>Cardiac_Table[[#This Row],[Risk of Death % (Model 2)]]/100</f>
        <v>1.2199999999999999E-2</v>
      </c>
      <c r="X1195" s="18">
        <f>Cardiac_Table[[#This Row],[Procedure Start Date and Time]]-Cardiac_Table[[#This Row],[Hospital Admit Date ]]</f>
        <v>0.85902777778392192</v>
      </c>
    </row>
    <row r="1196" spans="1:24" x14ac:dyDescent="0.35">
      <c r="A1196">
        <v>1206</v>
      </c>
      <c r="B1196" s="9">
        <v>44142.458333333336</v>
      </c>
      <c r="C1196" s="10">
        <f>INT(Cardiac_Table[[#This Row],[Hospital Admit Date ]])</f>
        <v>44142</v>
      </c>
      <c r="D1196" s="11" t="str">
        <f t="shared" si="18"/>
        <v>11:00</v>
      </c>
      <c r="E1196" s="9">
        <v>44157.354861111111</v>
      </c>
      <c r="F1196" s="10">
        <f>INT(Cardiac_Table[[#This Row],[Procedure Start Date and Time]])</f>
        <v>44157</v>
      </c>
      <c r="G1196" s="12">
        <f>MOD(Cardiac_Table[[#This Row],[Procedure Start Date and Time]],1)</f>
        <v>0.35486111111094942</v>
      </c>
      <c r="H1196">
        <v>1</v>
      </c>
      <c r="I1196" t="s">
        <v>2</v>
      </c>
      <c r="J1196" t="s">
        <v>3</v>
      </c>
      <c r="K1196" t="s">
        <v>29</v>
      </c>
      <c r="L1196">
        <v>69</v>
      </c>
      <c r="M1196">
        <v>43.08</v>
      </c>
      <c r="N1196">
        <v>24.58</v>
      </c>
      <c r="O1196" t="s">
        <v>13</v>
      </c>
      <c r="P1196">
        <v>71</v>
      </c>
      <c r="Q1196">
        <v>162</v>
      </c>
      <c r="R1196">
        <v>65</v>
      </c>
      <c r="S1196">
        <v>51</v>
      </c>
      <c r="T1196" t="s">
        <v>48</v>
      </c>
      <c r="U1196">
        <f>IF(Cardiac_Table[[#This Row],[Patient Status at Discharge]]="Died", 1,0)</f>
        <v>1</v>
      </c>
      <c r="V1196">
        <f>Cardiac_Table[[#This Row],[Risk of Death % (Model 1)]]/100</f>
        <v>0.43079999999999996</v>
      </c>
      <c r="W1196">
        <f>Cardiac_Table[[#This Row],[Risk of Death % (Model 2)]]/100</f>
        <v>0.24579999999999999</v>
      </c>
      <c r="X1196" s="18">
        <f>Cardiac_Table[[#This Row],[Procedure Start Date and Time]]-Cardiac_Table[[#This Row],[Hospital Admit Date ]]</f>
        <v>14.896527777775191</v>
      </c>
    </row>
    <row r="1197" spans="1:24" x14ac:dyDescent="0.35">
      <c r="A1197">
        <v>1207</v>
      </c>
      <c r="B1197" s="9">
        <v>44154.673611111109</v>
      </c>
      <c r="C1197" s="10">
        <f>INT(Cardiac_Table[[#This Row],[Hospital Admit Date ]])</f>
        <v>44154</v>
      </c>
      <c r="D1197" s="11" t="str">
        <f t="shared" si="18"/>
        <v>16:10</v>
      </c>
      <c r="E1197" s="9">
        <v>44157.458333333336</v>
      </c>
      <c r="F1197" s="10">
        <f>INT(Cardiac_Table[[#This Row],[Procedure Start Date and Time]])</f>
        <v>44157</v>
      </c>
      <c r="G1197" s="12">
        <f>MOD(Cardiac_Table[[#This Row],[Procedure Start Date and Time]],1)</f>
        <v>0.45833333333575865</v>
      </c>
      <c r="H1197">
        <v>4</v>
      </c>
      <c r="I1197" t="s">
        <v>0</v>
      </c>
      <c r="J1197" t="s">
        <v>11</v>
      </c>
      <c r="K1197" t="s">
        <v>30</v>
      </c>
      <c r="L1197">
        <v>76</v>
      </c>
      <c r="M1197">
        <v>63.72</v>
      </c>
      <c r="N1197">
        <v>69.67</v>
      </c>
      <c r="O1197" t="s">
        <v>13</v>
      </c>
      <c r="P1197">
        <v>137</v>
      </c>
      <c r="Q1197">
        <v>167</v>
      </c>
      <c r="R1197">
        <v>69</v>
      </c>
      <c r="S1197">
        <v>60</v>
      </c>
      <c r="T1197" t="s">
        <v>48</v>
      </c>
      <c r="U1197">
        <f>IF(Cardiac_Table[[#This Row],[Patient Status at Discharge]]="Died", 1,0)</f>
        <v>1</v>
      </c>
      <c r="V1197">
        <f>Cardiac_Table[[#This Row],[Risk of Death % (Model 1)]]/100</f>
        <v>0.63719999999999999</v>
      </c>
      <c r="W1197">
        <f>Cardiac_Table[[#This Row],[Risk of Death % (Model 2)]]/100</f>
        <v>0.69669999999999999</v>
      </c>
      <c r="X1197" s="18">
        <f>Cardiac_Table[[#This Row],[Procedure Start Date and Time]]-Cardiac_Table[[#This Row],[Hospital Admit Date ]]</f>
        <v>2.7847222222262644</v>
      </c>
    </row>
    <row r="1198" spans="1:24" x14ac:dyDescent="0.35">
      <c r="A1198">
        <v>1208</v>
      </c>
      <c r="B1198" s="9">
        <v>44157.665972222225</v>
      </c>
      <c r="C1198" s="10">
        <f>INT(Cardiac_Table[[#This Row],[Hospital Admit Date ]])</f>
        <v>44157</v>
      </c>
      <c r="D1198" s="11" t="str">
        <f t="shared" si="18"/>
        <v>15:59</v>
      </c>
      <c r="E1198" s="9">
        <v>44158.329861111109</v>
      </c>
      <c r="F1198" s="10">
        <f>INT(Cardiac_Table[[#This Row],[Procedure Start Date and Time]])</f>
        <v>44158</v>
      </c>
      <c r="G1198" s="12">
        <f>MOD(Cardiac_Table[[#This Row],[Procedure Start Date and Time]],1)</f>
        <v>0.32986111110949423</v>
      </c>
      <c r="H1198">
        <v>3</v>
      </c>
      <c r="I1198" t="s">
        <v>4</v>
      </c>
      <c r="J1198" t="s">
        <v>11</v>
      </c>
      <c r="K1198" t="s">
        <v>30</v>
      </c>
      <c r="L1198">
        <v>75</v>
      </c>
      <c r="M1198">
        <v>5.82</v>
      </c>
      <c r="N1198">
        <v>2.4700000000000002</v>
      </c>
      <c r="O1198" t="s">
        <v>15</v>
      </c>
      <c r="P1198">
        <v>89</v>
      </c>
      <c r="Q1198">
        <v>178</v>
      </c>
      <c r="R1198">
        <v>82</v>
      </c>
      <c r="S1198">
        <v>40</v>
      </c>
      <c r="T1198" t="s">
        <v>50</v>
      </c>
      <c r="U1198">
        <f>IF(Cardiac_Table[[#This Row],[Patient Status at Discharge]]="Died", 1,0)</f>
        <v>0</v>
      </c>
      <c r="V1198">
        <f>Cardiac_Table[[#This Row],[Risk of Death % (Model 1)]]/100</f>
        <v>5.8200000000000002E-2</v>
      </c>
      <c r="W1198">
        <f>Cardiac_Table[[#This Row],[Risk of Death % (Model 2)]]/100</f>
        <v>2.4700000000000003E-2</v>
      </c>
      <c r="X1198" s="18">
        <f>Cardiac_Table[[#This Row],[Procedure Start Date and Time]]-Cardiac_Table[[#This Row],[Hospital Admit Date ]]</f>
        <v>0.663888888884685</v>
      </c>
    </row>
    <row r="1199" spans="1:24" x14ac:dyDescent="0.35">
      <c r="A1199">
        <v>1209</v>
      </c>
      <c r="B1199" s="9">
        <v>44157.666666666664</v>
      </c>
      <c r="C1199" s="10">
        <f>INT(Cardiac_Table[[#This Row],[Hospital Admit Date ]])</f>
        <v>44157</v>
      </c>
      <c r="D1199" s="11" t="str">
        <f t="shared" si="18"/>
        <v>16:00</v>
      </c>
      <c r="E1199" s="9">
        <v>44158.334722222222</v>
      </c>
      <c r="F1199" s="10">
        <f>INT(Cardiac_Table[[#This Row],[Procedure Start Date and Time]])</f>
        <v>44158</v>
      </c>
      <c r="G1199" s="12">
        <f>MOD(Cardiac_Table[[#This Row],[Procedure Start Date and Time]],1)</f>
        <v>0.33472222222189885</v>
      </c>
      <c r="H1199">
        <v>6</v>
      </c>
      <c r="I1199" t="s">
        <v>4</v>
      </c>
      <c r="J1199" t="s">
        <v>1</v>
      </c>
      <c r="K1199" t="s">
        <v>23</v>
      </c>
      <c r="L1199">
        <v>42</v>
      </c>
      <c r="M1199">
        <v>4.6500000000000004</v>
      </c>
      <c r="N1199">
        <v>0.96</v>
      </c>
      <c r="O1199" t="s">
        <v>15</v>
      </c>
      <c r="P1199">
        <v>107</v>
      </c>
      <c r="Q1199">
        <v>151</v>
      </c>
      <c r="R1199">
        <v>47</v>
      </c>
      <c r="S1199">
        <v>60</v>
      </c>
      <c r="T1199" t="s">
        <v>48</v>
      </c>
      <c r="U1199">
        <f>IF(Cardiac_Table[[#This Row],[Patient Status at Discharge]]="Died", 1,0)</f>
        <v>0</v>
      </c>
      <c r="V1199">
        <f>Cardiac_Table[[#This Row],[Risk of Death % (Model 1)]]/100</f>
        <v>4.6500000000000007E-2</v>
      </c>
      <c r="W1199">
        <f>Cardiac_Table[[#This Row],[Risk of Death % (Model 2)]]/100</f>
        <v>9.5999999999999992E-3</v>
      </c>
      <c r="X1199" s="18">
        <f>Cardiac_Table[[#This Row],[Procedure Start Date and Time]]-Cardiac_Table[[#This Row],[Hospital Admit Date ]]</f>
        <v>0.6680555555576575</v>
      </c>
    </row>
    <row r="1200" spans="1:24" x14ac:dyDescent="0.35">
      <c r="A1200">
        <v>1210</v>
      </c>
      <c r="B1200" s="9">
        <v>44157.666666666664</v>
      </c>
      <c r="C1200" s="10">
        <f>INT(Cardiac_Table[[#This Row],[Hospital Admit Date ]])</f>
        <v>44157</v>
      </c>
      <c r="D1200" s="11" t="str">
        <f t="shared" si="18"/>
        <v>16:00</v>
      </c>
      <c r="E1200" s="9">
        <v>44158.340277777781</v>
      </c>
      <c r="F1200" s="10">
        <f>INT(Cardiac_Table[[#This Row],[Procedure Start Date and Time]])</f>
        <v>44158</v>
      </c>
      <c r="G1200" s="12">
        <f>MOD(Cardiac_Table[[#This Row],[Procedure Start Date and Time]],1)</f>
        <v>0.34027777778101154</v>
      </c>
      <c r="H1200">
        <v>4</v>
      </c>
      <c r="I1200" t="s">
        <v>4</v>
      </c>
      <c r="J1200" t="s">
        <v>3</v>
      </c>
      <c r="K1200" t="s">
        <v>35</v>
      </c>
      <c r="L1200">
        <v>48</v>
      </c>
      <c r="M1200">
        <v>1.51</v>
      </c>
      <c r="N1200">
        <v>0.5</v>
      </c>
      <c r="O1200" t="s">
        <v>15</v>
      </c>
      <c r="P1200">
        <v>83</v>
      </c>
      <c r="Q1200">
        <v>165</v>
      </c>
      <c r="R1200">
        <v>66</v>
      </c>
      <c r="S1200">
        <v>51</v>
      </c>
      <c r="T1200" t="s">
        <v>48</v>
      </c>
      <c r="U1200">
        <f>IF(Cardiac_Table[[#This Row],[Patient Status at Discharge]]="Died", 1,0)</f>
        <v>0</v>
      </c>
      <c r="V1200">
        <f>Cardiac_Table[[#This Row],[Risk of Death % (Model 1)]]/100</f>
        <v>1.5100000000000001E-2</v>
      </c>
      <c r="W1200">
        <f>Cardiac_Table[[#This Row],[Risk of Death % (Model 2)]]/100</f>
        <v>5.0000000000000001E-3</v>
      </c>
      <c r="X1200" s="18">
        <f>Cardiac_Table[[#This Row],[Procedure Start Date and Time]]-Cardiac_Table[[#This Row],[Hospital Admit Date ]]</f>
        <v>0.67361111111677019</v>
      </c>
    </row>
    <row r="1201" spans="1:24" x14ac:dyDescent="0.35">
      <c r="A1201">
        <v>1211</v>
      </c>
      <c r="B1201" s="9">
        <v>44157.664583333331</v>
      </c>
      <c r="C1201" s="10">
        <f>INT(Cardiac_Table[[#This Row],[Hospital Admit Date ]])</f>
        <v>44157</v>
      </c>
      <c r="D1201" s="11" t="str">
        <f t="shared" si="18"/>
        <v>15:57</v>
      </c>
      <c r="E1201" s="9">
        <v>44158.347222222219</v>
      </c>
      <c r="F1201" s="10">
        <f>INT(Cardiac_Table[[#This Row],[Procedure Start Date and Time]])</f>
        <v>44158</v>
      </c>
      <c r="G1201" s="12">
        <f>MOD(Cardiac_Table[[#This Row],[Procedure Start Date and Time]],1)</f>
        <v>0.34722222221898846</v>
      </c>
      <c r="H1201">
        <v>5</v>
      </c>
      <c r="I1201" t="s">
        <v>4</v>
      </c>
      <c r="J1201" t="s">
        <v>3</v>
      </c>
      <c r="K1201" t="s">
        <v>31</v>
      </c>
      <c r="L1201">
        <v>65</v>
      </c>
      <c r="M1201">
        <v>2.23</v>
      </c>
      <c r="N1201">
        <v>0.64</v>
      </c>
      <c r="O1201" t="s">
        <v>15</v>
      </c>
      <c r="P1201">
        <v>62</v>
      </c>
      <c r="Q1201">
        <v>162</v>
      </c>
      <c r="R1201">
        <v>106</v>
      </c>
      <c r="S1201">
        <v>25</v>
      </c>
      <c r="T1201" t="s">
        <v>49</v>
      </c>
      <c r="U1201">
        <f>IF(Cardiac_Table[[#This Row],[Patient Status at Discharge]]="Died", 1,0)</f>
        <v>0</v>
      </c>
      <c r="V1201">
        <f>Cardiac_Table[[#This Row],[Risk of Death % (Model 1)]]/100</f>
        <v>2.23E-2</v>
      </c>
      <c r="W1201">
        <f>Cardiac_Table[[#This Row],[Risk of Death % (Model 2)]]/100</f>
        <v>6.4000000000000003E-3</v>
      </c>
      <c r="X1201" s="18">
        <f>Cardiac_Table[[#This Row],[Procedure Start Date and Time]]-Cardiac_Table[[#This Row],[Hospital Admit Date ]]</f>
        <v>0.68263888888759539</v>
      </c>
    </row>
    <row r="1202" spans="1:24" x14ac:dyDescent="0.35">
      <c r="A1202">
        <v>1212</v>
      </c>
      <c r="B1202" s="9">
        <v>44150.416666666664</v>
      </c>
      <c r="C1202" s="10">
        <f>INT(Cardiac_Table[[#This Row],[Hospital Admit Date ]])</f>
        <v>44150</v>
      </c>
      <c r="D1202" s="11" t="str">
        <f t="shared" si="18"/>
        <v>10:00</v>
      </c>
      <c r="E1202" s="9">
        <v>44158.513888888891</v>
      </c>
      <c r="F1202" s="10">
        <f>INT(Cardiac_Table[[#This Row],[Procedure Start Date and Time]])</f>
        <v>44158</v>
      </c>
      <c r="G1202" s="12">
        <f>MOD(Cardiac_Table[[#This Row],[Procedure Start Date and Time]],1)</f>
        <v>0.51388888889050577</v>
      </c>
      <c r="H1202">
        <v>5</v>
      </c>
      <c r="I1202" t="s">
        <v>6</v>
      </c>
      <c r="J1202" t="s">
        <v>10</v>
      </c>
      <c r="K1202" t="s">
        <v>31</v>
      </c>
      <c r="L1202">
        <v>68</v>
      </c>
      <c r="M1202">
        <v>4.08</v>
      </c>
      <c r="N1202">
        <v>1.9</v>
      </c>
      <c r="O1202" t="s">
        <v>15</v>
      </c>
      <c r="P1202">
        <v>91</v>
      </c>
      <c r="Q1202">
        <v>173</v>
      </c>
      <c r="R1202">
        <v>121</v>
      </c>
      <c r="S1202">
        <v>35</v>
      </c>
      <c r="T1202" t="s">
        <v>50</v>
      </c>
      <c r="U1202">
        <f>IF(Cardiac_Table[[#This Row],[Patient Status at Discharge]]="Died", 1,0)</f>
        <v>0</v>
      </c>
      <c r="V1202">
        <f>Cardiac_Table[[#This Row],[Risk of Death % (Model 1)]]/100</f>
        <v>4.0800000000000003E-2</v>
      </c>
      <c r="W1202">
        <f>Cardiac_Table[[#This Row],[Risk of Death % (Model 2)]]/100</f>
        <v>1.9E-2</v>
      </c>
      <c r="X1202" s="18">
        <f>Cardiac_Table[[#This Row],[Procedure Start Date and Time]]-Cardiac_Table[[#This Row],[Hospital Admit Date ]]</f>
        <v>8.0972222222262644</v>
      </c>
    </row>
    <row r="1203" spans="1:24" x14ac:dyDescent="0.35">
      <c r="A1203">
        <v>1213</v>
      </c>
      <c r="B1203" s="9">
        <v>44149.416666666664</v>
      </c>
      <c r="C1203" s="10">
        <f>INT(Cardiac_Table[[#This Row],[Hospital Admit Date ]])</f>
        <v>44149</v>
      </c>
      <c r="D1203" s="11" t="str">
        <f t="shared" si="18"/>
        <v>10:00</v>
      </c>
      <c r="E1203" s="9">
        <v>44158.521527777775</v>
      </c>
      <c r="F1203" s="10">
        <f>INT(Cardiac_Table[[#This Row],[Procedure Start Date and Time]])</f>
        <v>44158</v>
      </c>
      <c r="G1203" s="12">
        <f>MOD(Cardiac_Table[[#This Row],[Procedure Start Date and Time]],1)</f>
        <v>0.52152777777519077</v>
      </c>
      <c r="H1203">
        <v>4</v>
      </c>
      <c r="I1203" t="s">
        <v>6</v>
      </c>
      <c r="J1203" t="s">
        <v>10</v>
      </c>
      <c r="K1203" t="s">
        <v>21</v>
      </c>
      <c r="L1203">
        <v>70</v>
      </c>
      <c r="M1203">
        <v>1.82</v>
      </c>
      <c r="N1203">
        <v>1.01</v>
      </c>
      <c r="O1203" t="s">
        <v>15</v>
      </c>
      <c r="P1203">
        <v>148</v>
      </c>
      <c r="Q1203">
        <v>177</v>
      </c>
      <c r="R1203">
        <v>94</v>
      </c>
      <c r="S1203">
        <v>25</v>
      </c>
      <c r="T1203" t="s">
        <v>49</v>
      </c>
      <c r="U1203">
        <f>IF(Cardiac_Table[[#This Row],[Patient Status at Discharge]]="Died", 1,0)</f>
        <v>0</v>
      </c>
      <c r="V1203">
        <f>Cardiac_Table[[#This Row],[Risk of Death % (Model 1)]]/100</f>
        <v>1.8200000000000001E-2</v>
      </c>
      <c r="W1203">
        <f>Cardiac_Table[[#This Row],[Risk of Death % (Model 2)]]/100</f>
        <v>1.01E-2</v>
      </c>
      <c r="X1203" s="18">
        <f>Cardiac_Table[[#This Row],[Procedure Start Date and Time]]-Cardiac_Table[[#This Row],[Hospital Admit Date ]]</f>
        <v>9.1048611111109494</v>
      </c>
    </row>
    <row r="1204" spans="1:24" x14ac:dyDescent="0.35">
      <c r="A1204">
        <v>1214</v>
      </c>
      <c r="B1204" s="9">
        <v>44148.541666666664</v>
      </c>
      <c r="C1204" s="10">
        <f>INT(Cardiac_Table[[#This Row],[Hospital Admit Date ]])</f>
        <v>44148</v>
      </c>
      <c r="D1204" s="11" t="str">
        <f t="shared" si="18"/>
        <v>13:00</v>
      </c>
      <c r="E1204" s="9">
        <v>44158.583333333336</v>
      </c>
      <c r="F1204" s="10">
        <f>INT(Cardiac_Table[[#This Row],[Procedure Start Date and Time]])</f>
        <v>44158</v>
      </c>
      <c r="G1204" s="12">
        <f>MOD(Cardiac_Table[[#This Row],[Procedure Start Date and Time]],1)</f>
        <v>0.58333333333575865</v>
      </c>
      <c r="H1204">
        <v>3</v>
      </c>
      <c r="I1204" t="s">
        <v>4</v>
      </c>
      <c r="J1204" t="s">
        <v>10</v>
      </c>
      <c r="K1204" t="s">
        <v>30</v>
      </c>
      <c r="L1204">
        <v>77</v>
      </c>
      <c r="M1204">
        <v>4.8499999999999996</v>
      </c>
      <c r="N1204">
        <v>1.28</v>
      </c>
      <c r="O1204" t="s">
        <v>15</v>
      </c>
      <c r="P1204">
        <v>97</v>
      </c>
      <c r="Q1204">
        <v>180</v>
      </c>
      <c r="R1204">
        <v>104</v>
      </c>
      <c r="S1204">
        <v>29</v>
      </c>
      <c r="T1204" t="s">
        <v>49</v>
      </c>
      <c r="U1204">
        <f>IF(Cardiac_Table[[#This Row],[Patient Status at Discharge]]="Died", 1,0)</f>
        <v>0</v>
      </c>
      <c r="V1204">
        <f>Cardiac_Table[[#This Row],[Risk of Death % (Model 1)]]/100</f>
        <v>4.8499999999999995E-2</v>
      </c>
      <c r="W1204">
        <f>Cardiac_Table[[#This Row],[Risk of Death % (Model 2)]]/100</f>
        <v>1.2800000000000001E-2</v>
      </c>
      <c r="X1204" s="18">
        <f>Cardiac_Table[[#This Row],[Procedure Start Date and Time]]-Cardiac_Table[[#This Row],[Hospital Admit Date ]]</f>
        <v>10.041666666671517</v>
      </c>
    </row>
    <row r="1205" spans="1:24" x14ac:dyDescent="0.35">
      <c r="A1205">
        <v>1215</v>
      </c>
      <c r="B1205" s="9">
        <v>44144.458333333336</v>
      </c>
      <c r="C1205" s="10">
        <f>INT(Cardiac_Table[[#This Row],[Hospital Admit Date ]])</f>
        <v>44144</v>
      </c>
      <c r="D1205" s="11" t="str">
        <f t="shared" si="18"/>
        <v>11:00</v>
      </c>
      <c r="E1205" s="9">
        <v>44159.333333333336</v>
      </c>
      <c r="F1205" s="10">
        <f>INT(Cardiac_Table[[#This Row],[Procedure Start Date and Time]])</f>
        <v>44159</v>
      </c>
      <c r="G1205" s="12">
        <f>MOD(Cardiac_Table[[#This Row],[Procedure Start Date and Time]],1)</f>
        <v>0.33333333333575865</v>
      </c>
      <c r="H1205">
        <v>4</v>
      </c>
      <c r="I1205" t="s">
        <v>6</v>
      </c>
      <c r="J1205" t="s">
        <v>10</v>
      </c>
      <c r="K1205" t="s">
        <v>26</v>
      </c>
      <c r="L1205">
        <v>60</v>
      </c>
      <c r="M1205">
        <v>0.94</v>
      </c>
      <c r="N1205">
        <v>0.76</v>
      </c>
      <c r="O1205" t="s">
        <v>15</v>
      </c>
      <c r="P1205">
        <v>62</v>
      </c>
      <c r="Q1205">
        <v>170</v>
      </c>
      <c r="R1205">
        <v>75</v>
      </c>
      <c r="S1205">
        <v>50</v>
      </c>
      <c r="T1205" t="s">
        <v>50</v>
      </c>
      <c r="U1205">
        <f>IF(Cardiac_Table[[#This Row],[Patient Status at Discharge]]="Died", 1,0)</f>
        <v>0</v>
      </c>
      <c r="V1205">
        <f>Cardiac_Table[[#This Row],[Risk of Death % (Model 1)]]/100</f>
        <v>9.3999999999999986E-3</v>
      </c>
      <c r="W1205">
        <f>Cardiac_Table[[#This Row],[Risk of Death % (Model 2)]]/100</f>
        <v>7.6E-3</v>
      </c>
      <c r="X1205" s="18">
        <f>Cardiac_Table[[#This Row],[Procedure Start Date and Time]]-Cardiac_Table[[#This Row],[Hospital Admit Date ]]</f>
        <v>14.875</v>
      </c>
    </row>
    <row r="1206" spans="1:24" x14ac:dyDescent="0.35">
      <c r="A1206">
        <v>1216</v>
      </c>
      <c r="B1206" s="9">
        <v>44158.666666666664</v>
      </c>
      <c r="C1206" s="10">
        <f>INT(Cardiac_Table[[#This Row],[Hospital Admit Date ]])</f>
        <v>44158</v>
      </c>
      <c r="D1206" s="11" t="str">
        <f t="shared" si="18"/>
        <v>16:00</v>
      </c>
      <c r="E1206" s="9">
        <v>44159.333333333336</v>
      </c>
      <c r="F1206" s="10">
        <f>INT(Cardiac_Table[[#This Row],[Procedure Start Date and Time]])</f>
        <v>44159</v>
      </c>
      <c r="G1206" s="12">
        <f>MOD(Cardiac_Table[[#This Row],[Procedure Start Date and Time]],1)</f>
        <v>0.33333333333575865</v>
      </c>
      <c r="H1206">
        <v>5</v>
      </c>
      <c r="I1206" t="s">
        <v>4</v>
      </c>
      <c r="J1206" t="s">
        <v>3</v>
      </c>
      <c r="K1206" t="s">
        <v>28</v>
      </c>
      <c r="L1206">
        <v>76</v>
      </c>
      <c r="M1206">
        <v>9.1199999999999992</v>
      </c>
      <c r="N1206">
        <v>3.82</v>
      </c>
      <c r="O1206" t="s">
        <v>15</v>
      </c>
      <c r="P1206">
        <v>93</v>
      </c>
      <c r="Q1206">
        <v>166</v>
      </c>
      <c r="R1206">
        <v>84</v>
      </c>
      <c r="S1206">
        <v>45</v>
      </c>
      <c r="T1206" t="s">
        <v>50</v>
      </c>
      <c r="U1206">
        <f>IF(Cardiac_Table[[#This Row],[Patient Status at Discharge]]="Died", 1,0)</f>
        <v>0</v>
      </c>
      <c r="V1206">
        <f>Cardiac_Table[[#This Row],[Risk of Death % (Model 1)]]/100</f>
        <v>9.1199999999999989E-2</v>
      </c>
      <c r="W1206">
        <f>Cardiac_Table[[#This Row],[Risk of Death % (Model 2)]]/100</f>
        <v>3.8199999999999998E-2</v>
      </c>
      <c r="X1206" s="18">
        <f>Cardiac_Table[[#This Row],[Procedure Start Date and Time]]-Cardiac_Table[[#This Row],[Hospital Admit Date ]]</f>
        <v>0.66666666667151731</v>
      </c>
    </row>
    <row r="1207" spans="1:24" x14ac:dyDescent="0.35">
      <c r="A1207">
        <v>1217</v>
      </c>
      <c r="B1207" s="9">
        <v>44152.541666666664</v>
      </c>
      <c r="C1207" s="10">
        <f>INT(Cardiac_Table[[#This Row],[Hospital Admit Date ]])</f>
        <v>44152</v>
      </c>
      <c r="D1207" s="11" t="str">
        <f t="shared" si="18"/>
        <v>13:00</v>
      </c>
      <c r="E1207" s="9">
        <v>44159.34375</v>
      </c>
      <c r="F1207" s="10">
        <f>INT(Cardiac_Table[[#This Row],[Procedure Start Date and Time]])</f>
        <v>44159</v>
      </c>
      <c r="G1207" s="12">
        <f>MOD(Cardiac_Table[[#This Row],[Procedure Start Date and Time]],1)</f>
        <v>0.34375</v>
      </c>
      <c r="H1207">
        <v>1</v>
      </c>
      <c r="I1207" t="s">
        <v>6</v>
      </c>
      <c r="J1207" t="s">
        <v>10</v>
      </c>
      <c r="K1207" t="s">
        <v>35</v>
      </c>
      <c r="L1207">
        <v>59</v>
      </c>
      <c r="M1207">
        <v>2.4500000000000002</v>
      </c>
      <c r="N1207">
        <v>1.29</v>
      </c>
      <c r="O1207" t="s">
        <v>15</v>
      </c>
      <c r="P1207">
        <v>87</v>
      </c>
      <c r="Q1207">
        <v>179</v>
      </c>
      <c r="R1207">
        <v>85</v>
      </c>
      <c r="S1207">
        <v>40</v>
      </c>
      <c r="T1207" t="s">
        <v>50</v>
      </c>
      <c r="U1207">
        <f>IF(Cardiac_Table[[#This Row],[Patient Status at Discharge]]="Died", 1,0)</f>
        <v>0</v>
      </c>
      <c r="V1207">
        <f>Cardiac_Table[[#This Row],[Risk of Death % (Model 1)]]/100</f>
        <v>2.4500000000000001E-2</v>
      </c>
      <c r="W1207">
        <f>Cardiac_Table[[#This Row],[Risk of Death % (Model 2)]]/100</f>
        <v>1.29E-2</v>
      </c>
      <c r="X1207" s="18">
        <f>Cardiac_Table[[#This Row],[Procedure Start Date and Time]]-Cardiac_Table[[#This Row],[Hospital Admit Date ]]</f>
        <v>6.8020833333357587</v>
      </c>
    </row>
    <row r="1208" spans="1:24" x14ac:dyDescent="0.35">
      <c r="A1208">
        <v>1218</v>
      </c>
      <c r="B1208" s="9">
        <v>44158.666666666664</v>
      </c>
      <c r="C1208" s="10">
        <f>INT(Cardiac_Table[[#This Row],[Hospital Admit Date ]])</f>
        <v>44158</v>
      </c>
      <c r="D1208" s="11" t="str">
        <f t="shared" si="18"/>
        <v>16:00</v>
      </c>
      <c r="E1208" s="9">
        <v>44159.345833333333</v>
      </c>
      <c r="F1208" s="10">
        <f>INT(Cardiac_Table[[#This Row],[Procedure Start Date and Time]])</f>
        <v>44159</v>
      </c>
      <c r="G1208" s="12">
        <f>MOD(Cardiac_Table[[#This Row],[Procedure Start Date and Time]],1)</f>
        <v>0.34583333333284827</v>
      </c>
      <c r="H1208">
        <v>6</v>
      </c>
      <c r="I1208" t="s">
        <v>4</v>
      </c>
      <c r="J1208" t="s">
        <v>1</v>
      </c>
      <c r="K1208" t="s">
        <v>29</v>
      </c>
      <c r="L1208">
        <v>82</v>
      </c>
      <c r="M1208">
        <v>6.61</v>
      </c>
      <c r="N1208">
        <v>2.42</v>
      </c>
      <c r="O1208" t="s">
        <v>15</v>
      </c>
      <c r="P1208">
        <v>107</v>
      </c>
      <c r="Q1208">
        <v>159</v>
      </c>
      <c r="R1208">
        <v>88</v>
      </c>
      <c r="S1208">
        <v>55</v>
      </c>
      <c r="T1208" t="s">
        <v>48</v>
      </c>
      <c r="U1208">
        <f>IF(Cardiac_Table[[#This Row],[Patient Status at Discharge]]="Died", 1,0)</f>
        <v>0</v>
      </c>
      <c r="V1208">
        <f>Cardiac_Table[[#This Row],[Risk of Death % (Model 1)]]/100</f>
        <v>6.6100000000000006E-2</v>
      </c>
      <c r="W1208">
        <f>Cardiac_Table[[#This Row],[Risk of Death % (Model 2)]]/100</f>
        <v>2.4199999999999999E-2</v>
      </c>
      <c r="X1208" s="18">
        <f>Cardiac_Table[[#This Row],[Procedure Start Date and Time]]-Cardiac_Table[[#This Row],[Hospital Admit Date ]]</f>
        <v>0.67916666666860692</v>
      </c>
    </row>
    <row r="1209" spans="1:24" x14ac:dyDescent="0.35">
      <c r="A1209">
        <v>1219</v>
      </c>
      <c r="B1209" s="9">
        <v>44159.303472222222</v>
      </c>
      <c r="C1209" s="10">
        <f>INT(Cardiac_Table[[#This Row],[Hospital Admit Date ]])</f>
        <v>44159</v>
      </c>
      <c r="D1209" s="11" t="str">
        <f t="shared" si="18"/>
        <v>07:17</v>
      </c>
      <c r="E1209" s="9">
        <v>44159.534722222219</v>
      </c>
      <c r="F1209" s="10">
        <f>INT(Cardiac_Table[[#This Row],[Procedure Start Date and Time]])</f>
        <v>44159</v>
      </c>
      <c r="G1209" s="12">
        <f>MOD(Cardiac_Table[[#This Row],[Procedure Start Date and Time]],1)</f>
        <v>0.53472222221898846</v>
      </c>
      <c r="H1209">
        <v>4</v>
      </c>
      <c r="I1209" t="s">
        <v>4</v>
      </c>
      <c r="J1209" t="s">
        <v>11</v>
      </c>
      <c r="K1209" t="s">
        <v>26</v>
      </c>
      <c r="L1209">
        <v>65</v>
      </c>
      <c r="M1209">
        <v>5.85</v>
      </c>
      <c r="N1209">
        <v>4.47</v>
      </c>
      <c r="O1209" t="s">
        <v>15</v>
      </c>
      <c r="P1209">
        <v>83</v>
      </c>
      <c r="Q1209">
        <v>164</v>
      </c>
      <c r="R1209">
        <v>78</v>
      </c>
      <c r="S1209">
        <v>70</v>
      </c>
      <c r="T1209" t="s">
        <v>48</v>
      </c>
      <c r="U1209">
        <f>IF(Cardiac_Table[[#This Row],[Patient Status at Discharge]]="Died", 1,0)</f>
        <v>0</v>
      </c>
      <c r="V1209">
        <f>Cardiac_Table[[#This Row],[Risk of Death % (Model 1)]]/100</f>
        <v>5.8499999999999996E-2</v>
      </c>
      <c r="W1209">
        <f>Cardiac_Table[[#This Row],[Risk of Death % (Model 2)]]/100</f>
        <v>4.4699999999999997E-2</v>
      </c>
      <c r="X1209" s="18">
        <f>Cardiac_Table[[#This Row],[Procedure Start Date and Time]]-Cardiac_Table[[#This Row],[Hospital Admit Date ]]</f>
        <v>0.23124999999708962</v>
      </c>
    </row>
    <row r="1210" spans="1:24" x14ac:dyDescent="0.35">
      <c r="A1210">
        <v>1220</v>
      </c>
      <c r="B1210" s="9">
        <v>44159.302777777775</v>
      </c>
      <c r="C1210" s="10">
        <f>INT(Cardiac_Table[[#This Row],[Hospital Admit Date ]])</f>
        <v>44159</v>
      </c>
      <c r="D1210" s="11" t="str">
        <f t="shared" si="18"/>
        <v>07:16</v>
      </c>
      <c r="E1210" s="9">
        <v>44159.57708333333</v>
      </c>
      <c r="F1210" s="10">
        <f>INT(Cardiac_Table[[#This Row],[Procedure Start Date and Time]])</f>
        <v>44159</v>
      </c>
      <c r="G1210" s="12">
        <f>MOD(Cardiac_Table[[#This Row],[Procedure Start Date and Time]],1)</f>
        <v>0.57708333332993789</v>
      </c>
      <c r="H1210">
        <v>1</v>
      </c>
      <c r="I1210" t="s">
        <v>4</v>
      </c>
      <c r="J1210" t="s">
        <v>11</v>
      </c>
      <c r="K1210" t="s">
        <v>35</v>
      </c>
      <c r="L1210">
        <v>63</v>
      </c>
      <c r="M1210">
        <v>1.96</v>
      </c>
      <c r="N1210">
        <v>1.04</v>
      </c>
      <c r="O1210" t="s">
        <v>15</v>
      </c>
      <c r="P1210">
        <v>67</v>
      </c>
      <c r="Q1210">
        <v>173</v>
      </c>
      <c r="R1210">
        <v>102</v>
      </c>
      <c r="S1210">
        <v>65</v>
      </c>
      <c r="T1210" t="s">
        <v>48</v>
      </c>
      <c r="U1210">
        <f>IF(Cardiac_Table[[#This Row],[Patient Status at Discharge]]="Died", 1,0)</f>
        <v>0</v>
      </c>
      <c r="V1210">
        <f>Cardiac_Table[[#This Row],[Risk of Death % (Model 1)]]/100</f>
        <v>1.9599999999999999E-2</v>
      </c>
      <c r="W1210">
        <f>Cardiac_Table[[#This Row],[Risk of Death % (Model 2)]]/100</f>
        <v>1.04E-2</v>
      </c>
      <c r="X1210" s="18">
        <f>Cardiac_Table[[#This Row],[Procedure Start Date and Time]]-Cardiac_Table[[#This Row],[Hospital Admit Date ]]</f>
        <v>0.27430555555474712</v>
      </c>
    </row>
    <row r="1211" spans="1:24" x14ac:dyDescent="0.35">
      <c r="A1211">
        <v>1221</v>
      </c>
      <c r="B1211" s="9">
        <v>44153.583333333336</v>
      </c>
      <c r="C1211" s="10">
        <f>INT(Cardiac_Table[[#This Row],[Hospital Admit Date ]])</f>
        <v>44153</v>
      </c>
      <c r="D1211" s="11" t="str">
        <f t="shared" si="18"/>
        <v>14:00</v>
      </c>
      <c r="E1211" s="9">
        <v>44159.583333333336</v>
      </c>
      <c r="F1211" s="10">
        <f>INT(Cardiac_Table[[#This Row],[Procedure Start Date and Time]])</f>
        <v>44159</v>
      </c>
      <c r="G1211" s="12">
        <f>MOD(Cardiac_Table[[#This Row],[Procedure Start Date and Time]],1)</f>
        <v>0.58333333333575865</v>
      </c>
      <c r="H1211">
        <v>5</v>
      </c>
      <c r="I1211" t="s">
        <v>6</v>
      </c>
      <c r="J1211" t="s">
        <v>3</v>
      </c>
      <c r="K1211" t="s">
        <v>28</v>
      </c>
      <c r="L1211">
        <v>74</v>
      </c>
      <c r="M1211">
        <v>8.08</v>
      </c>
      <c r="N1211">
        <v>2.59</v>
      </c>
      <c r="O1211" t="s">
        <v>15</v>
      </c>
      <c r="P1211">
        <v>93</v>
      </c>
      <c r="Q1211">
        <v>165</v>
      </c>
      <c r="R1211">
        <v>89</v>
      </c>
      <c r="S1211">
        <v>60</v>
      </c>
      <c r="T1211" t="s">
        <v>48</v>
      </c>
      <c r="U1211">
        <f>IF(Cardiac_Table[[#This Row],[Patient Status at Discharge]]="Died", 1,0)</f>
        <v>0</v>
      </c>
      <c r="V1211">
        <f>Cardiac_Table[[#This Row],[Risk of Death % (Model 1)]]/100</f>
        <v>8.0799999999999997E-2</v>
      </c>
      <c r="W1211">
        <f>Cardiac_Table[[#This Row],[Risk of Death % (Model 2)]]/100</f>
        <v>2.5899999999999999E-2</v>
      </c>
      <c r="X1211" s="18">
        <f>Cardiac_Table[[#This Row],[Procedure Start Date and Time]]-Cardiac_Table[[#This Row],[Hospital Admit Date ]]</f>
        <v>6</v>
      </c>
    </row>
    <row r="1212" spans="1:24" x14ac:dyDescent="0.35">
      <c r="A1212">
        <v>1222</v>
      </c>
      <c r="B1212" s="9">
        <v>44159.289583333331</v>
      </c>
      <c r="C1212" s="10">
        <f>INT(Cardiac_Table[[#This Row],[Hospital Admit Date ]])</f>
        <v>44159</v>
      </c>
      <c r="D1212" s="11" t="str">
        <f t="shared" si="18"/>
        <v>06:57</v>
      </c>
      <c r="E1212" s="9">
        <v>44159.607638888891</v>
      </c>
      <c r="F1212" s="10">
        <f>INT(Cardiac_Table[[#This Row],[Procedure Start Date and Time]])</f>
        <v>44159</v>
      </c>
      <c r="G1212" s="12">
        <f>MOD(Cardiac_Table[[#This Row],[Procedure Start Date and Time]],1)</f>
        <v>0.60763888889050577</v>
      </c>
      <c r="H1212">
        <v>6</v>
      </c>
      <c r="I1212" t="s">
        <v>4</v>
      </c>
      <c r="J1212" t="s">
        <v>10</v>
      </c>
      <c r="K1212" t="s">
        <v>29</v>
      </c>
      <c r="L1212">
        <v>77</v>
      </c>
      <c r="M1212">
        <v>8.1</v>
      </c>
      <c r="N1212">
        <v>1.8</v>
      </c>
      <c r="O1212" t="s">
        <v>15</v>
      </c>
      <c r="P1212">
        <v>72</v>
      </c>
      <c r="Q1212">
        <v>160</v>
      </c>
      <c r="R1212">
        <v>82</v>
      </c>
      <c r="S1212">
        <v>65</v>
      </c>
      <c r="T1212" t="s">
        <v>48</v>
      </c>
      <c r="U1212">
        <f>IF(Cardiac_Table[[#This Row],[Patient Status at Discharge]]="Died", 1,0)</f>
        <v>0</v>
      </c>
      <c r="V1212">
        <f>Cardiac_Table[[#This Row],[Risk of Death % (Model 1)]]/100</f>
        <v>8.1000000000000003E-2</v>
      </c>
      <c r="W1212">
        <f>Cardiac_Table[[#This Row],[Risk of Death % (Model 2)]]/100</f>
        <v>1.8000000000000002E-2</v>
      </c>
      <c r="X1212" s="18">
        <f>Cardiac_Table[[#This Row],[Procedure Start Date and Time]]-Cardiac_Table[[#This Row],[Hospital Admit Date ]]</f>
        <v>0.31805555555911269</v>
      </c>
    </row>
    <row r="1213" spans="1:24" x14ac:dyDescent="0.35">
      <c r="A1213">
        <v>1223</v>
      </c>
      <c r="B1213" s="9">
        <v>44159.625</v>
      </c>
      <c r="C1213" s="10">
        <f>INT(Cardiac_Table[[#This Row],[Hospital Admit Date ]])</f>
        <v>44159</v>
      </c>
      <c r="D1213" s="11" t="str">
        <f t="shared" si="18"/>
        <v>15:00</v>
      </c>
      <c r="E1213" s="9">
        <v>44160.328472222223</v>
      </c>
      <c r="F1213" s="10">
        <f>INT(Cardiac_Table[[#This Row],[Procedure Start Date and Time]])</f>
        <v>44160</v>
      </c>
      <c r="G1213" s="12">
        <f>MOD(Cardiac_Table[[#This Row],[Procedure Start Date and Time]],1)</f>
        <v>0.32847222222335404</v>
      </c>
      <c r="H1213">
        <v>5</v>
      </c>
      <c r="I1213" t="s">
        <v>4</v>
      </c>
      <c r="J1213" t="s">
        <v>3</v>
      </c>
      <c r="K1213" t="s">
        <v>28</v>
      </c>
      <c r="L1213">
        <v>72</v>
      </c>
      <c r="M1213">
        <v>5.24</v>
      </c>
      <c r="N1213">
        <v>2.4900000000000002</v>
      </c>
      <c r="O1213" t="s">
        <v>15</v>
      </c>
      <c r="P1213">
        <v>84</v>
      </c>
      <c r="Q1213">
        <v>182</v>
      </c>
      <c r="R1213">
        <v>82</v>
      </c>
      <c r="S1213">
        <v>51</v>
      </c>
      <c r="T1213" t="s">
        <v>48</v>
      </c>
      <c r="U1213">
        <f>IF(Cardiac_Table[[#This Row],[Patient Status at Discharge]]="Died", 1,0)</f>
        <v>0</v>
      </c>
      <c r="V1213">
        <f>Cardiac_Table[[#This Row],[Risk of Death % (Model 1)]]/100</f>
        <v>5.2400000000000002E-2</v>
      </c>
      <c r="W1213">
        <f>Cardiac_Table[[#This Row],[Risk of Death % (Model 2)]]/100</f>
        <v>2.4900000000000002E-2</v>
      </c>
      <c r="X1213" s="18">
        <f>Cardiac_Table[[#This Row],[Procedure Start Date and Time]]-Cardiac_Table[[#This Row],[Hospital Admit Date ]]</f>
        <v>0.70347222222335404</v>
      </c>
    </row>
    <row r="1214" spans="1:24" x14ac:dyDescent="0.35">
      <c r="A1214">
        <v>1224</v>
      </c>
      <c r="B1214" s="9">
        <v>44159.666666666664</v>
      </c>
      <c r="C1214" s="10">
        <f>INT(Cardiac_Table[[#This Row],[Hospital Admit Date ]])</f>
        <v>44159</v>
      </c>
      <c r="D1214" s="11" t="str">
        <f t="shared" si="18"/>
        <v>16:00</v>
      </c>
      <c r="E1214" s="9">
        <v>44160.333333333336</v>
      </c>
      <c r="F1214" s="10">
        <f>INT(Cardiac_Table[[#This Row],[Procedure Start Date and Time]])</f>
        <v>44160</v>
      </c>
      <c r="G1214" s="12">
        <f>MOD(Cardiac_Table[[#This Row],[Procedure Start Date and Time]],1)</f>
        <v>0.33333333333575865</v>
      </c>
      <c r="H1214">
        <v>4</v>
      </c>
      <c r="I1214" t="s">
        <v>4</v>
      </c>
      <c r="J1214" t="s">
        <v>1</v>
      </c>
      <c r="K1214" t="s">
        <v>23</v>
      </c>
      <c r="L1214">
        <v>58</v>
      </c>
      <c r="M1214">
        <v>4.6500000000000004</v>
      </c>
      <c r="N1214">
        <v>1.64</v>
      </c>
      <c r="O1214" t="s">
        <v>15</v>
      </c>
      <c r="P1214">
        <v>81</v>
      </c>
      <c r="Q1214">
        <v>155</v>
      </c>
      <c r="R1214">
        <v>70</v>
      </c>
      <c r="S1214">
        <v>60</v>
      </c>
      <c r="T1214" t="s">
        <v>48</v>
      </c>
      <c r="U1214">
        <f>IF(Cardiac_Table[[#This Row],[Patient Status at Discharge]]="Died", 1,0)</f>
        <v>0</v>
      </c>
      <c r="V1214">
        <f>Cardiac_Table[[#This Row],[Risk of Death % (Model 1)]]/100</f>
        <v>4.6500000000000007E-2</v>
      </c>
      <c r="W1214">
        <f>Cardiac_Table[[#This Row],[Risk of Death % (Model 2)]]/100</f>
        <v>1.6399999999999998E-2</v>
      </c>
      <c r="X1214" s="18">
        <f>Cardiac_Table[[#This Row],[Procedure Start Date and Time]]-Cardiac_Table[[#This Row],[Hospital Admit Date ]]</f>
        <v>0.66666666667151731</v>
      </c>
    </row>
    <row r="1215" spans="1:24" x14ac:dyDescent="0.35">
      <c r="A1215">
        <v>1225</v>
      </c>
      <c r="B1215" s="9">
        <v>44159.659722222219</v>
      </c>
      <c r="C1215" s="10">
        <f>INT(Cardiac_Table[[#This Row],[Hospital Admit Date ]])</f>
        <v>44159</v>
      </c>
      <c r="D1215" s="11" t="str">
        <f t="shared" si="18"/>
        <v>15:50</v>
      </c>
      <c r="E1215" s="9">
        <v>44160.352777777778</v>
      </c>
      <c r="F1215" s="10">
        <f>INT(Cardiac_Table[[#This Row],[Procedure Start Date and Time]])</f>
        <v>44160</v>
      </c>
      <c r="G1215" s="12">
        <f>MOD(Cardiac_Table[[#This Row],[Procedure Start Date and Time]],1)</f>
        <v>0.35277777777810115</v>
      </c>
      <c r="H1215">
        <v>1</v>
      </c>
      <c r="I1215" t="s">
        <v>4</v>
      </c>
      <c r="J1215" t="s">
        <v>3</v>
      </c>
      <c r="K1215" t="s">
        <v>33</v>
      </c>
      <c r="L1215">
        <v>70</v>
      </c>
      <c r="M1215">
        <v>3.08</v>
      </c>
      <c r="N1215">
        <v>0.67</v>
      </c>
      <c r="O1215" t="s">
        <v>15</v>
      </c>
      <c r="P1215">
        <v>71</v>
      </c>
      <c r="Q1215">
        <v>170</v>
      </c>
      <c r="R1215">
        <v>83</v>
      </c>
      <c r="S1215">
        <v>55</v>
      </c>
      <c r="T1215" t="s">
        <v>48</v>
      </c>
      <c r="U1215">
        <f>IF(Cardiac_Table[[#This Row],[Patient Status at Discharge]]="Died", 1,0)</f>
        <v>0</v>
      </c>
      <c r="V1215">
        <f>Cardiac_Table[[#This Row],[Risk of Death % (Model 1)]]/100</f>
        <v>3.0800000000000001E-2</v>
      </c>
      <c r="W1215">
        <f>Cardiac_Table[[#This Row],[Risk of Death % (Model 2)]]/100</f>
        <v>6.7000000000000002E-3</v>
      </c>
      <c r="X1215" s="18">
        <f>Cardiac_Table[[#This Row],[Procedure Start Date and Time]]-Cardiac_Table[[#This Row],[Hospital Admit Date ]]</f>
        <v>0.69305555555911269</v>
      </c>
    </row>
    <row r="1216" spans="1:24" x14ac:dyDescent="0.35">
      <c r="A1216">
        <v>1226</v>
      </c>
      <c r="B1216" s="9">
        <v>44159.458333333336</v>
      </c>
      <c r="C1216" s="10">
        <f>INT(Cardiac_Table[[#This Row],[Hospital Admit Date ]])</f>
        <v>44159</v>
      </c>
      <c r="D1216" s="11" t="str">
        <f t="shared" si="18"/>
        <v>11:00</v>
      </c>
      <c r="E1216" s="9">
        <v>44160.390277777777</v>
      </c>
      <c r="F1216" s="10">
        <f>INT(Cardiac_Table[[#This Row],[Procedure Start Date and Time]])</f>
        <v>44160</v>
      </c>
      <c r="G1216" s="12">
        <f>MOD(Cardiac_Table[[#This Row],[Procedure Start Date and Time]],1)</f>
        <v>0.39027777777664596</v>
      </c>
      <c r="H1216">
        <v>6</v>
      </c>
      <c r="I1216" t="s">
        <v>6</v>
      </c>
      <c r="J1216" t="s">
        <v>10</v>
      </c>
      <c r="K1216" t="s">
        <v>24</v>
      </c>
      <c r="L1216">
        <v>76</v>
      </c>
      <c r="M1216">
        <v>2.69</v>
      </c>
      <c r="N1216">
        <v>1.46</v>
      </c>
      <c r="O1216" t="s">
        <v>15</v>
      </c>
      <c r="P1216">
        <v>65</v>
      </c>
      <c r="Q1216">
        <v>179</v>
      </c>
      <c r="R1216">
        <v>81</v>
      </c>
      <c r="S1216">
        <v>65</v>
      </c>
      <c r="T1216" t="s">
        <v>48</v>
      </c>
      <c r="U1216">
        <f>IF(Cardiac_Table[[#This Row],[Patient Status at Discharge]]="Died", 1,0)</f>
        <v>0</v>
      </c>
      <c r="V1216">
        <f>Cardiac_Table[[#This Row],[Risk of Death % (Model 1)]]/100</f>
        <v>2.69E-2</v>
      </c>
      <c r="W1216">
        <f>Cardiac_Table[[#This Row],[Risk of Death % (Model 2)]]/100</f>
        <v>1.46E-2</v>
      </c>
      <c r="X1216" s="18">
        <f>Cardiac_Table[[#This Row],[Procedure Start Date and Time]]-Cardiac_Table[[#This Row],[Hospital Admit Date ]]</f>
        <v>0.93194444444088731</v>
      </c>
    </row>
    <row r="1217" spans="1:24" x14ac:dyDescent="0.35">
      <c r="A1217">
        <v>1227</v>
      </c>
      <c r="B1217" s="9">
        <v>44160.293749999997</v>
      </c>
      <c r="C1217" s="10">
        <f>INT(Cardiac_Table[[#This Row],[Hospital Admit Date ]])</f>
        <v>44160</v>
      </c>
      <c r="D1217" s="11" t="str">
        <f t="shared" si="18"/>
        <v>07:03</v>
      </c>
      <c r="E1217" s="9">
        <v>44160.53125</v>
      </c>
      <c r="F1217" s="10">
        <f>INT(Cardiac_Table[[#This Row],[Procedure Start Date and Time]])</f>
        <v>44160</v>
      </c>
      <c r="G1217" s="12">
        <f>MOD(Cardiac_Table[[#This Row],[Procedure Start Date and Time]],1)</f>
        <v>0.53125</v>
      </c>
      <c r="H1217">
        <v>1</v>
      </c>
      <c r="I1217" t="s">
        <v>4</v>
      </c>
      <c r="J1217" t="s">
        <v>3</v>
      </c>
      <c r="K1217" t="s">
        <v>33</v>
      </c>
      <c r="L1217">
        <v>75</v>
      </c>
      <c r="M1217">
        <v>4.25</v>
      </c>
      <c r="N1217">
        <v>1.99</v>
      </c>
      <c r="O1217" t="s">
        <v>15</v>
      </c>
      <c r="P1217">
        <v>69</v>
      </c>
      <c r="Q1217">
        <v>182</v>
      </c>
      <c r="R1217">
        <v>85</v>
      </c>
      <c r="S1217">
        <v>55</v>
      </c>
      <c r="T1217" t="s">
        <v>48</v>
      </c>
      <c r="U1217">
        <f>IF(Cardiac_Table[[#This Row],[Patient Status at Discharge]]="Died", 1,0)</f>
        <v>0</v>
      </c>
      <c r="V1217">
        <f>Cardiac_Table[[#This Row],[Risk of Death % (Model 1)]]/100</f>
        <v>4.2500000000000003E-2</v>
      </c>
      <c r="W1217">
        <f>Cardiac_Table[[#This Row],[Risk of Death % (Model 2)]]/100</f>
        <v>1.9900000000000001E-2</v>
      </c>
      <c r="X1217" s="18">
        <f>Cardiac_Table[[#This Row],[Procedure Start Date and Time]]-Cardiac_Table[[#This Row],[Hospital Admit Date ]]</f>
        <v>0.23750000000291038</v>
      </c>
    </row>
    <row r="1218" spans="1:24" x14ac:dyDescent="0.35">
      <c r="A1218">
        <v>1228</v>
      </c>
      <c r="B1218" s="9">
        <v>44160.297222222223</v>
      </c>
      <c r="C1218" s="10">
        <f>INT(Cardiac_Table[[#This Row],[Hospital Admit Date ]])</f>
        <v>44160</v>
      </c>
      <c r="D1218" s="11" t="str">
        <f t="shared" ref="D1218:D1281" si="19">TEXT(B1218,"HH:MM")</f>
        <v>07:08</v>
      </c>
      <c r="E1218" s="9">
        <v>44160.618055555555</v>
      </c>
      <c r="F1218" s="10">
        <f>INT(Cardiac_Table[[#This Row],[Procedure Start Date and Time]])</f>
        <v>44160</v>
      </c>
      <c r="G1218" s="12">
        <f>MOD(Cardiac_Table[[#This Row],[Procedure Start Date and Time]],1)</f>
        <v>0.61805555555474712</v>
      </c>
      <c r="H1218">
        <v>5</v>
      </c>
      <c r="I1218" t="s">
        <v>4</v>
      </c>
      <c r="J1218" t="s">
        <v>3</v>
      </c>
      <c r="K1218" t="s">
        <v>28</v>
      </c>
      <c r="L1218">
        <v>73</v>
      </c>
      <c r="M1218">
        <v>3.74</v>
      </c>
      <c r="N1218">
        <v>0.73</v>
      </c>
      <c r="O1218" t="s">
        <v>15</v>
      </c>
      <c r="P1218">
        <v>122</v>
      </c>
      <c r="Q1218">
        <v>170</v>
      </c>
      <c r="R1218">
        <v>80</v>
      </c>
      <c r="S1218">
        <v>60</v>
      </c>
      <c r="T1218" t="s">
        <v>48</v>
      </c>
      <c r="U1218">
        <f>IF(Cardiac_Table[[#This Row],[Patient Status at Discharge]]="Died", 1,0)</f>
        <v>0</v>
      </c>
      <c r="V1218">
        <f>Cardiac_Table[[#This Row],[Risk of Death % (Model 1)]]/100</f>
        <v>3.7400000000000003E-2</v>
      </c>
      <c r="W1218">
        <f>Cardiac_Table[[#This Row],[Risk of Death % (Model 2)]]/100</f>
        <v>7.3000000000000001E-3</v>
      </c>
      <c r="X1218" s="18">
        <f>Cardiac_Table[[#This Row],[Procedure Start Date and Time]]-Cardiac_Table[[#This Row],[Hospital Admit Date ]]</f>
        <v>0.32083333333139308</v>
      </c>
    </row>
    <row r="1219" spans="1:24" x14ac:dyDescent="0.35">
      <c r="A1219">
        <v>1229</v>
      </c>
      <c r="B1219" s="9">
        <v>44160.659722222219</v>
      </c>
      <c r="C1219" s="10">
        <f>INT(Cardiac_Table[[#This Row],[Hospital Admit Date ]])</f>
        <v>44160</v>
      </c>
      <c r="D1219" s="11" t="str">
        <f t="shared" si="19"/>
        <v>15:50</v>
      </c>
      <c r="E1219" s="9">
        <v>44161.340277777781</v>
      </c>
      <c r="F1219" s="10">
        <f>INT(Cardiac_Table[[#This Row],[Procedure Start Date and Time]])</f>
        <v>44161</v>
      </c>
      <c r="G1219" s="12">
        <f>MOD(Cardiac_Table[[#This Row],[Procedure Start Date and Time]],1)</f>
        <v>0.34027777778101154</v>
      </c>
      <c r="H1219">
        <v>4</v>
      </c>
      <c r="I1219" t="s">
        <v>4</v>
      </c>
      <c r="J1219" t="s">
        <v>3</v>
      </c>
      <c r="K1219" t="s">
        <v>23</v>
      </c>
      <c r="L1219">
        <v>73</v>
      </c>
      <c r="M1219">
        <v>3.74</v>
      </c>
      <c r="N1219">
        <v>0.81</v>
      </c>
      <c r="O1219" t="s">
        <v>15</v>
      </c>
      <c r="P1219">
        <v>83</v>
      </c>
      <c r="Q1219">
        <v>93</v>
      </c>
      <c r="R1219">
        <v>185</v>
      </c>
      <c r="S1219">
        <v>20</v>
      </c>
      <c r="T1219" t="s">
        <v>51</v>
      </c>
      <c r="U1219">
        <f>IF(Cardiac_Table[[#This Row],[Patient Status at Discharge]]="Died", 1,0)</f>
        <v>0</v>
      </c>
      <c r="V1219">
        <f>Cardiac_Table[[#This Row],[Risk of Death % (Model 1)]]/100</f>
        <v>3.7400000000000003E-2</v>
      </c>
      <c r="W1219">
        <f>Cardiac_Table[[#This Row],[Risk of Death % (Model 2)]]/100</f>
        <v>8.1000000000000013E-3</v>
      </c>
      <c r="X1219" s="18">
        <f>Cardiac_Table[[#This Row],[Procedure Start Date and Time]]-Cardiac_Table[[#This Row],[Hospital Admit Date ]]</f>
        <v>0.68055555556202307</v>
      </c>
    </row>
    <row r="1220" spans="1:24" x14ac:dyDescent="0.35">
      <c r="A1220">
        <v>1230</v>
      </c>
      <c r="B1220" s="9">
        <v>44160.666666666664</v>
      </c>
      <c r="C1220" s="10">
        <f>INT(Cardiac_Table[[#This Row],[Hospital Admit Date ]])</f>
        <v>44160</v>
      </c>
      <c r="D1220" s="11" t="str">
        <f t="shared" si="19"/>
        <v>16:00</v>
      </c>
      <c r="E1220" s="9">
        <v>44161.343055555553</v>
      </c>
      <c r="F1220" s="10">
        <f>INT(Cardiac_Table[[#This Row],[Procedure Start Date and Time]])</f>
        <v>44161</v>
      </c>
      <c r="G1220" s="12">
        <f>MOD(Cardiac_Table[[#This Row],[Procedure Start Date and Time]],1)</f>
        <v>0.34305555555329192</v>
      </c>
      <c r="H1220">
        <v>5</v>
      </c>
      <c r="I1220" t="s">
        <v>4</v>
      </c>
      <c r="J1220" t="s">
        <v>11</v>
      </c>
      <c r="K1220" t="s">
        <v>31</v>
      </c>
      <c r="L1220">
        <v>71</v>
      </c>
      <c r="M1220">
        <v>5.54</v>
      </c>
      <c r="N1220">
        <v>1.85</v>
      </c>
      <c r="O1220" t="s">
        <v>15</v>
      </c>
      <c r="P1220">
        <v>95</v>
      </c>
      <c r="Q1220">
        <v>173</v>
      </c>
      <c r="R1220">
        <v>99</v>
      </c>
      <c r="S1220">
        <v>55</v>
      </c>
      <c r="T1220" t="s">
        <v>48</v>
      </c>
      <c r="U1220">
        <f>IF(Cardiac_Table[[#This Row],[Patient Status at Discharge]]="Died", 1,0)</f>
        <v>0</v>
      </c>
      <c r="V1220">
        <f>Cardiac_Table[[#This Row],[Risk of Death % (Model 1)]]/100</f>
        <v>5.5399999999999998E-2</v>
      </c>
      <c r="W1220">
        <f>Cardiac_Table[[#This Row],[Risk of Death % (Model 2)]]/100</f>
        <v>1.8500000000000003E-2</v>
      </c>
      <c r="X1220" s="18">
        <f>Cardiac_Table[[#This Row],[Procedure Start Date and Time]]-Cardiac_Table[[#This Row],[Hospital Admit Date ]]</f>
        <v>0.67638888888905058</v>
      </c>
    </row>
    <row r="1221" spans="1:24" x14ac:dyDescent="0.35">
      <c r="A1221">
        <v>1231</v>
      </c>
      <c r="B1221" s="9">
        <v>44160.659722222219</v>
      </c>
      <c r="C1221" s="10">
        <f>INT(Cardiac_Table[[#This Row],[Hospital Admit Date ]])</f>
        <v>44160</v>
      </c>
      <c r="D1221" s="11" t="str">
        <f t="shared" si="19"/>
        <v>15:50</v>
      </c>
      <c r="E1221" s="9">
        <v>44161.34375</v>
      </c>
      <c r="F1221" s="10">
        <f>INT(Cardiac_Table[[#This Row],[Procedure Start Date and Time]])</f>
        <v>44161</v>
      </c>
      <c r="G1221" s="12">
        <f>MOD(Cardiac_Table[[#This Row],[Procedure Start Date and Time]],1)</f>
        <v>0.34375</v>
      </c>
      <c r="H1221">
        <v>1</v>
      </c>
      <c r="I1221" t="s">
        <v>4</v>
      </c>
      <c r="J1221" t="s">
        <v>1</v>
      </c>
      <c r="K1221" t="s">
        <v>34</v>
      </c>
      <c r="L1221">
        <v>52</v>
      </c>
      <c r="M1221">
        <v>4.6500000000000004</v>
      </c>
      <c r="N1221">
        <v>2.2000000000000002</v>
      </c>
      <c r="O1221" t="s">
        <v>15</v>
      </c>
      <c r="P1221">
        <v>120</v>
      </c>
      <c r="Q1221">
        <v>167</v>
      </c>
      <c r="R1221">
        <v>73</v>
      </c>
      <c r="S1221">
        <v>60</v>
      </c>
      <c r="T1221" t="s">
        <v>48</v>
      </c>
      <c r="U1221">
        <f>IF(Cardiac_Table[[#This Row],[Patient Status at Discharge]]="Died", 1,0)</f>
        <v>0</v>
      </c>
      <c r="V1221">
        <f>Cardiac_Table[[#This Row],[Risk of Death % (Model 1)]]/100</f>
        <v>4.6500000000000007E-2</v>
      </c>
      <c r="W1221">
        <f>Cardiac_Table[[#This Row],[Risk of Death % (Model 2)]]/100</f>
        <v>2.2000000000000002E-2</v>
      </c>
      <c r="X1221" s="18">
        <f>Cardiac_Table[[#This Row],[Procedure Start Date and Time]]-Cardiac_Table[[#This Row],[Hospital Admit Date ]]</f>
        <v>0.68402777778101154</v>
      </c>
    </row>
    <row r="1222" spans="1:24" x14ac:dyDescent="0.35">
      <c r="A1222">
        <v>1232</v>
      </c>
      <c r="B1222" s="9">
        <v>44161.288194444445</v>
      </c>
      <c r="C1222" s="10">
        <f>INT(Cardiac_Table[[#This Row],[Hospital Admit Date ]])</f>
        <v>44161</v>
      </c>
      <c r="D1222" s="11" t="str">
        <f t="shared" si="19"/>
        <v>06:55</v>
      </c>
      <c r="E1222" s="9">
        <v>44161.576388888891</v>
      </c>
      <c r="F1222" s="10">
        <f>INT(Cardiac_Table[[#This Row],[Procedure Start Date and Time]])</f>
        <v>44161</v>
      </c>
      <c r="G1222" s="12">
        <f>MOD(Cardiac_Table[[#This Row],[Procedure Start Date and Time]],1)</f>
        <v>0.57638888889050577</v>
      </c>
      <c r="H1222">
        <v>1</v>
      </c>
      <c r="I1222" t="s">
        <v>4</v>
      </c>
      <c r="J1222" t="s">
        <v>10</v>
      </c>
      <c r="K1222" t="s">
        <v>34</v>
      </c>
      <c r="L1222">
        <v>73</v>
      </c>
      <c r="M1222">
        <v>2.21</v>
      </c>
      <c r="N1222">
        <v>0.97</v>
      </c>
      <c r="O1222" t="s">
        <v>15</v>
      </c>
      <c r="P1222">
        <v>66</v>
      </c>
      <c r="Q1222">
        <v>177</v>
      </c>
      <c r="R1222">
        <v>94</v>
      </c>
      <c r="S1222">
        <v>41</v>
      </c>
      <c r="T1222" t="s">
        <v>50</v>
      </c>
      <c r="U1222">
        <f>IF(Cardiac_Table[[#This Row],[Patient Status at Discharge]]="Died", 1,0)</f>
        <v>0</v>
      </c>
      <c r="V1222">
        <f>Cardiac_Table[[#This Row],[Risk of Death % (Model 1)]]/100</f>
        <v>2.2099999999999998E-2</v>
      </c>
      <c r="W1222">
        <f>Cardiac_Table[[#This Row],[Risk of Death % (Model 2)]]/100</f>
        <v>9.7000000000000003E-3</v>
      </c>
      <c r="X1222" s="18">
        <f>Cardiac_Table[[#This Row],[Procedure Start Date and Time]]-Cardiac_Table[[#This Row],[Hospital Admit Date ]]</f>
        <v>0.28819444444525288</v>
      </c>
    </row>
    <row r="1223" spans="1:24" x14ac:dyDescent="0.35">
      <c r="A1223">
        <v>1233</v>
      </c>
      <c r="B1223" s="9">
        <v>44155.504166666666</v>
      </c>
      <c r="C1223" s="10">
        <f>INT(Cardiac_Table[[#This Row],[Hospital Admit Date ]])</f>
        <v>44155</v>
      </c>
      <c r="D1223" s="11" t="str">
        <f t="shared" si="19"/>
        <v>12:06</v>
      </c>
      <c r="E1223" s="9">
        <v>44161.581944444442</v>
      </c>
      <c r="F1223" s="10">
        <f>INT(Cardiac_Table[[#This Row],[Procedure Start Date and Time]])</f>
        <v>44161</v>
      </c>
      <c r="G1223" s="12">
        <f>MOD(Cardiac_Table[[#This Row],[Procedure Start Date and Time]],1)</f>
        <v>0.5819444444423425</v>
      </c>
      <c r="H1223">
        <v>5</v>
      </c>
      <c r="I1223" t="s">
        <v>6</v>
      </c>
      <c r="J1223" t="s">
        <v>10</v>
      </c>
      <c r="K1223" t="s">
        <v>31</v>
      </c>
      <c r="L1223">
        <v>81</v>
      </c>
      <c r="M1223">
        <v>7.53</v>
      </c>
      <c r="N1223">
        <v>3.49</v>
      </c>
      <c r="O1223" t="s">
        <v>15</v>
      </c>
      <c r="P1223">
        <v>66</v>
      </c>
      <c r="Q1223">
        <v>172</v>
      </c>
      <c r="R1223">
        <v>92</v>
      </c>
      <c r="S1223">
        <v>58</v>
      </c>
      <c r="T1223" t="s">
        <v>48</v>
      </c>
      <c r="U1223">
        <f>IF(Cardiac_Table[[#This Row],[Patient Status at Discharge]]="Died", 1,0)</f>
        <v>0</v>
      </c>
      <c r="V1223">
        <f>Cardiac_Table[[#This Row],[Risk of Death % (Model 1)]]/100</f>
        <v>7.5300000000000006E-2</v>
      </c>
      <c r="W1223">
        <f>Cardiac_Table[[#This Row],[Risk of Death % (Model 2)]]/100</f>
        <v>3.49E-2</v>
      </c>
      <c r="X1223" s="18">
        <f>Cardiac_Table[[#This Row],[Procedure Start Date and Time]]-Cardiac_Table[[#This Row],[Hospital Admit Date ]]</f>
        <v>6.077777777776646</v>
      </c>
    </row>
    <row r="1224" spans="1:24" x14ac:dyDescent="0.35">
      <c r="A1224">
        <v>1234</v>
      </c>
      <c r="B1224" s="9">
        <v>44160.666666666664</v>
      </c>
      <c r="C1224" s="10">
        <f>INT(Cardiac_Table[[#This Row],[Hospital Admit Date ]])</f>
        <v>44160</v>
      </c>
      <c r="D1224" s="11" t="str">
        <f t="shared" si="19"/>
        <v>16:00</v>
      </c>
      <c r="E1224" s="9">
        <v>44161.595833333333</v>
      </c>
      <c r="F1224" s="10">
        <f>INT(Cardiac_Table[[#This Row],[Procedure Start Date and Time]])</f>
        <v>44161</v>
      </c>
      <c r="G1224" s="12">
        <f>MOD(Cardiac_Table[[#This Row],[Procedure Start Date and Time]],1)</f>
        <v>0.59583333333284827</v>
      </c>
      <c r="H1224">
        <v>4</v>
      </c>
      <c r="I1224" t="s">
        <v>4</v>
      </c>
      <c r="J1224" t="s">
        <v>1</v>
      </c>
      <c r="K1224" t="s">
        <v>23</v>
      </c>
      <c r="L1224">
        <v>62</v>
      </c>
      <c r="M1224">
        <v>7.65</v>
      </c>
      <c r="N1224">
        <v>3.86</v>
      </c>
      <c r="O1224" t="s">
        <v>15</v>
      </c>
      <c r="P1224">
        <v>100</v>
      </c>
      <c r="Q1224">
        <v>172</v>
      </c>
      <c r="R1224">
        <v>85</v>
      </c>
      <c r="S1224">
        <v>60</v>
      </c>
      <c r="T1224" t="s">
        <v>48</v>
      </c>
      <c r="U1224">
        <f>IF(Cardiac_Table[[#This Row],[Patient Status at Discharge]]="Died", 1,0)</f>
        <v>0</v>
      </c>
      <c r="V1224">
        <f>Cardiac_Table[[#This Row],[Risk of Death % (Model 1)]]/100</f>
        <v>7.6499999999999999E-2</v>
      </c>
      <c r="W1224">
        <f>Cardiac_Table[[#This Row],[Risk of Death % (Model 2)]]/100</f>
        <v>3.8599999999999995E-2</v>
      </c>
      <c r="X1224" s="18">
        <f>Cardiac_Table[[#This Row],[Procedure Start Date and Time]]-Cardiac_Table[[#This Row],[Hospital Admit Date ]]</f>
        <v>0.92916666666860692</v>
      </c>
    </row>
    <row r="1225" spans="1:24" x14ac:dyDescent="0.35">
      <c r="A1225">
        <v>1235</v>
      </c>
      <c r="B1225" s="9">
        <v>44160.629166666666</v>
      </c>
      <c r="C1225" s="10">
        <f>INT(Cardiac_Table[[#This Row],[Hospital Admit Date ]])</f>
        <v>44160</v>
      </c>
      <c r="D1225" s="11" t="str">
        <f t="shared" si="19"/>
        <v>15:06</v>
      </c>
      <c r="E1225" s="9">
        <v>44161.70416666667</v>
      </c>
      <c r="F1225" s="10">
        <f>INT(Cardiac_Table[[#This Row],[Procedure Start Date and Time]])</f>
        <v>44161</v>
      </c>
      <c r="G1225" s="12">
        <f>MOD(Cardiac_Table[[#This Row],[Procedure Start Date and Time]],1)</f>
        <v>0.70416666667006211</v>
      </c>
      <c r="H1225">
        <v>3</v>
      </c>
      <c r="I1225" t="s">
        <v>2</v>
      </c>
      <c r="J1225" t="s">
        <v>5</v>
      </c>
      <c r="K1225" t="s">
        <v>33</v>
      </c>
      <c r="L1225">
        <v>60</v>
      </c>
      <c r="M1225">
        <v>42.86</v>
      </c>
      <c r="N1225">
        <v>49.48</v>
      </c>
      <c r="O1225" t="s">
        <v>13</v>
      </c>
      <c r="P1225">
        <v>73</v>
      </c>
      <c r="Q1225">
        <v>170</v>
      </c>
      <c r="R1225">
        <v>123</v>
      </c>
      <c r="S1225">
        <v>45</v>
      </c>
      <c r="T1225" t="s">
        <v>50</v>
      </c>
      <c r="U1225">
        <f>IF(Cardiac_Table[[#This Row],[Patient Status at Discharge]]="Died", 1,0)</f>
        <v>1</v>
      </c>
      <c r="V1225">
        <f>Cardiac_Table[[#This Row],[Risk of Death % (Model 1)]]/100</f>
        <v>0.42859999999999998</v>
      </c>
      <c r="W1225">
        <f>Cardiac_Table[[#This Row],[Risk of Death % (Model 2)]]/100</f>
        <v>0.49479999999999996</v>
      </c>
      <c r="X1225" s="18">
        <f>Cardiac_Table[[#This Row],[Procedure Start Date and Time]]-Cardiac_Table[[#This Row],[Hospital Admit Date ]]</f>
        <v>1.0750000000043656</v>
      </c>
    </row>
    <row r="1226" spans="1:24" x14ac:dyDescent="0.35">
      <c r="A1226">
        <v>1236</v>
      </c>
      <c r="B1226" s="9">
        <v>44162.299305555556</v>
      </c>
      <c r="C1226" s="10">
        <f>INT(Cardiac_Table[[#This Row],[Hospital Admit Date ]])</f>
        <v>44162</v>
      </c>
      <c r="D1226" s="11" t="str">
        <f t="shared" si="19"/>
        <v>07:11</v>
      </c>
      <c r="E1226" s="9">
        <v>44162.38958333333</v>
      </c>
      <c r="F1226" s="10">
        <f>INT(Cardiac_Table[[#This Row],[Procedure Start Date and Time]])</f>
        <v>44162</v>
      </c>
      <c r="G1226" s="12">
        <f>MOD(Cardiac_Table[[#This Row],[Procedure Start Date and Time]],1)</f>
        <v>0.38958333332993789</v>
      </c>
      <c r="H1226">
        <v>1</v>
      </c>
      <c r="I1226" t="s">
        <v>2</v>
      </c>
      <c r="J1226" t="s">
        <v>1</v>
      </c>
      <c r="K1226" t="s">
        <v>23</v>
      </c>
      <c r="L1226">
        <v>78</v>
      </c>
      <c r="M1226">
        <v>26.07</v>
      </c>
      <c r="N1226">
        <v>5.35</v>
      </c>
      <c r="O1226" t="s">
        <v>15</v>
      </c>
      <c r="P1226">
        <v>72</v>
      </c>
      <c r="Q1226">
        <v>170</v>
      </c>
      <c r="R1226">
        <v>76</v>
      </c>
      <c r="S1226">
        <v>47</v>
      </c>
      <c r="T1226" t="s">
        <v>50</v>
      </c>
      <c r="U1226">
        <f>IF(Cardiac_Table[[#This Row],[Patient Status at Discharge]]="Died", 1,0)</f>
        <v>0</v>
      </c>
      <c r="V1226">
        <f>Cardiac_Table[[#This Row],[Risk of Death % (Model 1)]]/100</f>
        <v>0.26069999999999999</v>
      </c>
      <c r="W1226">
        <f>Cardiac_Table[[#This Row],[Risk of Death % (Model 2)]]/100</f>
        <v>5.3499999999999999E-2</v>
      </c>
      <c r="X1226" s="18">
        <f>Cardiac_Table[[#This Row],[Procedure Start Date and Time]]-Cardiac_Table[[#This Row],[Hospital Admit Date ]]</f>
        <v>9.0277777773735579E-2</v>
      </c>
    </row>
    <row r="1227" spans="1:24" x14ac:dyDescent="0.35">
      <c r="A1227">
        <v>1237</v>
      </c>
      <c r="B1227" s="9">
        <v>44161.458333333336</v>
      </c>
      <c r="C1227" s="10">
        <f>INT(Cardiac_Table[[#This Row],[Hospital Admit Date ]])</f>
        <v>44161</v>
      </c>
      <c r="D1227" s="11" t="str">
        <f t="shared" si="19"/>
        <v>11:00</v>
      </c>
      <c r="E1227" s="9">
        <v>44162.513888888891</v>
      </c>
      <c r="F1227" s="10">
        <f>INT(Cardiac_Table[[#This Row],[Procedure Start Date and Time]])</f>
        <v>44162</v>
      </c>
      <c r="G1227" s="12">
        <f>MOD(Cardiac_Table[[#This Row],[Procedure Start Date and Time]],1)</f>
        <v>0.51388888889050577</v>
      </c>
      <c r="H1227">
        <v>3</v>
      </c>
      <c r="I1227" t="s">
        <v>6</v>
      </c>
      <c r="J1227" t="s">
        <v>10</v>
      </c>
      <c r="K1227" t="s">
        <v>30</v>
      </c>
      <c r="L1227">
        <v>76</v>
      </c>
      <c r="M1227">
        <v>4.6399999999999997</v>
      </c>
      <c r="N1227">
        <v>1.35</v>
      </c>
      <c r="O1227" t="s">
        <v>15</v>
      </c>
      <c r="P1227">
        <v>100</v>
      </c>
      <c r="Q1227">
        <v>160</v>
      </c>
      <c r="R1227">
        <v>87</v>
      </c>
      <c r="S1227">
        <v>55</v>
      </c>
      <c r="T1227" t="s">
        <v>48</v>
      </c>
      <c r="U1227">
        <f>IF(Cardiac_Table[[#This Row],[Patient Status at Discharge]]="Died", 1,0)</f>
        <v>0</v>
      </c>
      <c r="V1227">
        <f>Cardiac_Table[[#This Row],[Risk of Death % (Model 1)]]/100</f>
        <v>4.6399999999999997E-2</v>
      </c>
      <c r="W1227">
        <f>Cardiac_Table[[#This Row],[Risk of Death % (Model 2)]]/100</f>
        <v>1.3500000000000002E-2</v>
      </c>
      <c r="X1227" s="18">
        <f>Cardiac_Table[[#This Row],[Procedure Start Date and Time]]-Cardiac_Table[[#This Row],[Hospital Admit Date ]]</f>
        <v>1.0555555555547471</v>
      </c>
    </row>
    <row r="1228" spans="1:24" x14ac:dyDescent="0.35">
      <c r="A1228">
        <v>1238</v>
      </c>
      <c r="B1228" s="9">
        <v>44161.458333333336</v>
      </c>
      <c r="C1228" s="10">
        <f>INT(Cardiac_Table[[#This Row],[Hospital Admit Date ]])</f>
        <v>44161</v>
      </c>
      <c r="D1228" s="11" t="str">
        <f t="shared" si="19"/>
        <v>11:00</v>
      </c>
      <c r="E1228" s="9">
        <v>44162.51458333333</v>
      </c>
      <c r="F1228" s="10">
        <f>INT(Cardiac_Table[[#This Row],[Procedure Start Date and Time]])</f>
        <v>44162</v>
      </c>
      <c r="G1228" s="12">
        <f>MOD(Cardiac_Table[[#This Row],[Procedure Start Date and Time]],1)</f>
        <v>0.51458333332993789</v>
      </c>
      <c r="H1228">
        <v>4</v>
      </c>
      <c r="I1228" t="s">
        <v>6</v>
      </c>
      <c r="J1228" t="s">
        <v>11</v>
      </c>
      <c r="K1228" t="s">
        <v>24</v>
      </c>
      <c r="L1228">
        <v>76</v>
      </c>
      <c r="M1228">
        <v>16.940000000000001</v>
      </c>
      <c r="N1228">
        <v>7.94</v>
      </c>
      <c r="O1228" t="s">
        <v>15</v>
      </c>
      <c r="P1228">
        <v>117</v>
      </c>
      <c r="Q1228">
        <v>180</v>
      </c>
      <c r="R1228">
        <v>98</v>
      </c>
      <c r="S1228">
        <v>47</v>
      </c>
      <c r="T1228" t="s">
        <v>50</v>
      </c>
      <c r="U1228">
        <f>IF(Cardiac_Table[[#This Row],[Patient Status at Discharge]]="Died", 1,0)</f>
        <v>0</v>
      </c>
      <c r="V1228">
        <f>Cardiac_Table[[#This Row],[Risk of Death % (Model 1)]]/100</f>
        <v>0.16940000000000002</v>
      </c>
      <c r="W1228">
        <f>Cardiac_Table[[#This Row],[Risk of Death % (Model 2)]]/100</f>
        <v>7.9399999999999998E-2</v>
      </c>
      <c r="X1228" s="18">
        <f>Cardiac_Table[[#This Row],[Procedure Start Date and Time]]-Cardiac_Table[[#This Row],[Hospital Admit Date ]]</f>
        <v>1.0562499999941792</v>
      </c>
    </row>
    <row r="1229" spans="1:24" x14ac:dyDescent="0.35">
      <c r="A1229">
        <v>1239</v>
      </c>
      <c r="B1229" s="9">
        <v>44162.666666666664</v>
      </c>
      <c r="C1229" s="10">
        <f>INT(Cardiac_Table[[#This Row],[Hospital Admit Date ]])</f>
        <v>44162</v>
      </c>
      <c r="D1229" s="11" t="str">
        <f t="shared" si="19"/>
        <v>16:00</v>
      </c>
      <c r="E1229" s="9">
        <v>44163.339583333334</v>
      </c>
      <c r="F1229" s="10">
        <f>INT(Cardiac_Table[[#This Row],[Procedure Start Date and Time]])</f>
        <v>44163</v>
      </c>
      <c r="G1229" s="12">
        <f>MOD(Cardiac_Table[[#This Row],[Procedure Start Date and Time]],1)</f>
        <v>0.33958333333430346</v>
      </c>
      <c r="H1229">
        <v>5</v>
      </c>
      <c r="I1229" t="s">
        <v>4</v>
      </c>
      <c r="J1229" t="s">
        <v>3</v>
      </c>
      <c r="K1229" t="s">
        <v>35</v>
      </c>
      <c r="L1229">
        <v>34</v>
      </c>
      <c r="M1229">
        <v>2.08</v>
      </c>
      <c r="N1229">
        <v>0.62</v>
      </c>
      <c r="O1229" t="s">
        <v>15</v>
      </c>
      <c r="P1229">
        <v>69</v>
      </c>
      <c r="Q1229">
        <v>172</v>
      </c>
      <c r="R1229">
        <v>79</v>
      </c>
      <c r="S1229">
        <v>42</v>
      </c>
      <c r="T1229" t="s">
        <v>50</v>
      </c>
      <c r="U1229">
        <f>IF(Cardiac_Table[[#This Row],[Patient Status at Discharge]]="Died", 1,0)</f>
        <v>0</v>
      </c>
      <c r="V1229">
        <f>Cardiac_Table[[#This Row],[Risk of Death % (Model 1)]]/100</f>
        <v>2.0799999999999999E-2</v>
      </c>
      <c r="W1229">
        <f>Cardiac_Table[[#This Row],[Risk of Death % (Model 2)]]/100</f>
        <v>6.1999999999999998E-3</v>
      </c>
      <c r="X1229" s="18">
        <f>Cardiac_Table[[#This Row],[Procedure Start Date and Time]]-Cardiac_Table[[#This Row],[Hospital Admit Date ]]</f>
        <v>0.67291666667006211</v>
      </c>
    </row>
    <row r="1230" spans="1:24" x14ac:dyDescent="0.35">
      <c r="A1230">
        <v>1240</v>
      </c>
      <c r="B1230" s="9">
        <v>44163.291666666664</v>
      </c>
      <c r="C1230" s="10">
        <f>INT(Cardiac_Table[[#This Row],[Hospital Admit Date ]])</f>
        <v>44163</v>
      </c>
      <c r="D1230" s="11" t="str">
        <f t="shared" si="19"/>
        <v>07:00</v>
      </c>
      <c r="E1230" s="9">
        <v>44163.541666666664</v>
      </c>
      <c r="F1230" s="10">
        <f>INT(Cardiac_Table[[#This Row],[Procedure Start Date and Time]])</f>
        <v>44163</v>
      </c>
      <c r="G1230" s="12">
        <f>MOD(Cardiac_Table[[#This Row],[Procedure Start Date and Time]],1)</f>
        <v>0.54166666666424135</v>
      </c>
      <c r="H1230">
        <v>5</v>
      </c>
      <c r="I1230" t="s">
        <v>4</v>
      </c>
      <c r="J1230" t="s">
        <v>3</v>
      </c>
      <c r="K1230" t="s">
        <v>35</v>
      </c>
      <c r="L1230">
        <v>88</v>
      </c>
      <c r="M1230">
        <v>9.5500000000000007</v>
      </c>
      <c r="N1230">
        <v>3.43</v>
      </c>
      <c r="O1230" t="s">
        <v>15</v>
      </c>
      <c r="P1230">
        <v>89</v>
      </c>
      <c r="Q1230">
        <v>180</v>
      </c>
      <c r="R1230">
        <v>80</v>
      </c>
      <c r="S1230">
        <v>60</v>
      </c>
      <c r="T1230" t="s">
        <v>48</v>
      </c>
      <c r="U1230">
        <f>IF(Cardiac_Table[[#This Row],[Patient Status at Discharge]]="Died", 1,0)</f>
        <v>0</v>
      </c>
      <c r="V1230">
        <f>Cardiac_Table[[#This Row],[Risk of Death % (Model 1)]]/100</f>
        <v>9.5500000000000002E-2</v>
      </c>
      <c r="W1230">
        <f>Cardiac_Table[[#This Row],[Risk of Death % (Model 2)]]/100</f>
        <v>3.4300000000000004E-2</v>
      </c>
      <c r="X1230" s="18">
        <f>Cardiac_Table[[#This Row],[Procedure Start Date and Time]]-Cardiac_Table[[#This Row],[Hospital Admit Date ]]</f>
        <v>0.25</v>
      </c>
    </row>
    <row r="1231" spans="1:24" x14ac:dyDescent="0.35">
      <c r="A1231">
        <v>1241</v>
      </c>
      <c r="B1231" s="9">
        <v>44164.574305555558</v>
      </c>
      <c r="C1231" s="10">
        <f>INT(Cardiac_Table[[#This Row],[Hospital Admit Date ]])</f>
        <v>44164</v>
      </c>
      <c r="D1231" s="11" t="str">
        <f t="shared" si="19"/>
        <v>13:47</v>
      </c>
      <c r="E1231" s="9">
        <v>44165.336805555555</v>
      </c>
      <c r="F1231" s="10">
        <f>INT(Cardiac_Table[[#This Row],[Procedure Start Date and Time]])</f>
        <v>44165</v>
      </c>
      <c r="G1231" s="12">
        <f>MOD(Cardiac_Table[[#This Row],[Procedure Start Date and Time]],1)</f>
        <v>0.33680555555474712</v>
      </c>
      <c r="H1231">
        <v>1</v>
      </c>
      <c r="I1231" t="s">
        <v>4</v>
      </c>
      <c r="J1231" t="s">
        <v>11</v>
      </c>
      <c r="K1231" t="s">
        <v>33</v>
      </c>
      <c r="L1231">
        <v>74</v>
      </c>
      <c r="M1231">
        <v>6.37</v>
      </c>
      <c r="N1231">
        <v>1.71</v>
      </c>
      <c r="O1231" t="s">
        <v>15</v>
      </c>
      <c r="P1231">
        <v>81</v>
      </c>
      <c r="Q1231">
        <v>166</v>
      </c>
      <c r="R1231">
        <v>75</v>
      </c>
      <c r="S1231">
        <v>45</v>
      </c>
      <c r="T1231" t="s">
        <v>50</v>
      </c>
      <c r="U1231">
        <f>IF(Cardiac_Table[[#This Row],[Patient Status at Discharge]]="Died", 1,0)</f>
        <v>0</v>
      </c>
      <c r="V1231">
        <f>Cardiac_Table[[#This Row],[Risk of Death % (Model 1)]]/100</f>
        <v>6.3700000000000007E-2</v>
      </c>
      <c r="W1231">
        <f>Cardiac_Table[[#This Row],[Risk of Death % (Model 2)]]/100</f>
        <v>1.7100000000000001E-2</v>
      </c>
      <c r="X1231" s="18">
        <f>Cardiac_Table[[#This Row],[Procedure Start Date and Time]]-Cardiac_Table[[#This Row],[Hospital Admit Date ]]</f>
        <v>0.76249999999708962</v>
      </c>
    </row>
    <row r="1232" spans="1:24" x14ac:dyDescent="0.35">
      <c r="A1232">
        <v>1242</v>
      </c>
      <c r="B1232" s="9">
        <v>44164.666666666664</v>
      </c>
      <c r="C1232" s="10">
        <f>INT(Cardiac_Table[[#This Row],[Hospital Admit Date ]])</f>
        <v>44164</v>
      </c>
      <c r="D1232" s="11" t="str">
        <f t="shared" si="19"/>
        <v>16:00</v>
      </c>
      <c r="E1232" s="9">
        <v>44165.342361111114</v>
      </c>
      <c r="F1232" s="10">
        <f>INT(Cardiac_Table[[#This Row],[Procedure Start Date and Time]])</f>
        <v>44165</v>
      </c>
      <c r="G1232" s="12">
        <f>MOD(Cardiac_Table[[#This Row],[Procedure Start Date and Time]],1)</f>
        <v>0.34236111111385981</v>
      </c>
      <c r="H1232">
        <v>5</v>
      </c>
      <c r="I1232" t="s">
        <v>4</v>
      </c>
      <c r="J1232" t="s">
        <v>11</v>
      </c>
      <c r="K1232" t="s">
        <v>31</v>
      </c>
      <c r="L1232">
        <v>77</v>
      </c>
      <c r="M1232">
        <v>19.57</v>
      </c>
      <c r="N1232">
        <v>5.69</v>
      </c>
      <c r="O1232" t="s">
        <v>15</v>
      </c>
      <c r="P1232">
        <v>89</v>
      </c>
      <c r="Q1232">
        <v>168</v>
      </c>
      <c r="R1232">
        <v>78</v>
      </c>
      <c r="S1232">
        <v>45</v>
      </c>
      <c r="T1232" t="s">
        <v>50</v>
      </c>
      <c r="U1232">
        <f>IF(Cardiac_Table[[#This Row],[Patient Status at Discharge]]="Died", 1,0)</f>
        <v>0</v>
      </c>
      <c r="V1232">
        <f>Cardiac_Table[[#This Row],[Risk of Death % (Model 1)]]/100</f>
        <v>0.19570000000000001</v>
      </c>
      <c r="W1232">
        <f>Cardiac_Table[[#This Row],[Risk of Death % (Model 2)]]/100</f>
        <v>5.6900000000000006E-2</v>
      </c>
      <c r="X1232" s="18">
        <f>Cardiac_Table[[#This Row],[Procedure Start Date and Time]]-Cardiac_Table[[#This Row],[Hospital Admit Date ]]</f>
        <v>0.67569444444961846</v>
      </c>
    </row>
    <row r="1233" spans="1:24" x14ac:dyDescent="0.35">
      <c r="A1233">
        <v>1243</v>
      </c>
      <c r="B1233" s="9">
        <v>44164.625</v>
      </c>
      <c r="C1233" s="10">
        <f>INT(Cardiac_Table[[#This Row],[Hospital Admit Date ]])</f>
        <v>44164</v>
      </c>
      <c r="D1233" s="11" t="str">
        <f t="shared" si="19"/>
        <v>15:00</v>
      </c>
      <c r="E1233" s="9">
        <v>44165.353472222225</v>
      </c>
      <c r="F1233" s="10">
        <f>INT(Cardiac_Table[[#This Row],[Procedure Start Date and Time]])</f>
        <v>44165</v>
      </c>
      <c r="G1233" s="12">
        <f>MOD(Cardiac_Table[[#This Row],[Procedure Start Date and Time]],1)</f>
        <v>0.35347222222480923</v>
      </c>
      <c r="H1233">
        <v>6</v>
      </c>
      <c r="I1233" t="s">
        <v>4</v>
      </c>
      <c r="J1233" t="s">
        <v>1</v>
      </c>
      <c r="K1233" t="s">
        <v>23</v>
      </c>
      <c r="L1233">
        <v>73</v>
      </c>
      <c r="M1233">
        <v>11.02</v>
      </c>
      <c r="N1233">
        <v>2.37</v>
      </c>
      <c r="O1233" t="s">
        <v>15</v>
      </c>
      <c r="P1233">
        <v>87</v>
      </c>
      <c r="Q1233">
        <v>166</v>
      </c>
      <c r="R1233">
        <v>79</v>
      </c>
      <c r="S1233">
        <v>60</v>
      </c>
      <c r="T1233" t="s">
        <v>48</v>
      </c>
      <c r="U1233">
        <f>IF(Cardiac_Table[[#This Row],[Patient Status at Discharge]]="Died", 1,0)</f>
        <v>0</v>
      </c>
      <c r="V1233">
        <f>Cardiac_Table[[#This Row],[Risk of Death % (Model 1)]]/100</f>
        <v>0.11019999999999999</v>
      </c>
      <c r="W1233">
        <f>Cardiac_Table[[#This Row],[Risk of Death % (Model 2)]]/100</f>
        <v>2.3700000000000002E-2</v>
      </c>
      <c r="X1233" s="18">
        <f>Cardiac_Table[[#This Row],[Procedure Start Date and Time]]-Cardiac_Table[[#This Row],[Hospital Admit Date ]]</f>
        <v>0.72847222222480923</v>
      </c>
    </row>
    <row r="1234" spans="1:24" x14ac:dyDescent="0.35">
      <c r="A1234">
        <v>1244</v>
      </c>
      <c r="B1234" s="9">
        <v>44161.666666666664</v>
      </c>
      <c r="C1234" s="10">
        <f>INT(Cardiac_Table[[#This Row],[Hospital Admit Date ]])</f>
        <v>44161</v>
      </c>
      <c r="D1234" s="11" t="str">
        <f t="shared" si="19"/>
        <v>16:00</v>
      </c>
      <c r="E1234" s="9">
        <v>44165.612500000003</v>
      </c>
      <c r="F1234" s="10">
        <f>INT(Cardiac_Table[[#This Row],[Procedure Start Date and Time]])</f>
        <v>44165</v>
      </c>
      <c r="G1234" s="12">
        <f>MOD(Cardiac_Table[[#This Row],[Procedure Start Date and Time]],1)</f>
        <v>0.61250000000291038</v>
      </c>
      <c r="H1234">
        <v>5</v>
      </c>
      <c r="I1234" t="s">
        <v>4</v>
      </c>
      <c r="J1234" t="s">
        <v>3</v>
      </c>
      <c r="K1234" t="s">
        <v>27</v>
      </c>
      <c r="L1234">
        <v>79</v>
      </c>
      <c r="M1234">
        <v>33.74</v>
      </c>
      <c r="N1234">
        <v>17.02</v>
      </c>
      <c r="O1234" t="s">
        <v>13</v>
      </c>
      <c r="P1234">
        <v>63</v>
      </c>
      <c r="Q1234">
        <v>173</v>
      </c>
      <c r="R1234">
        <v>73</v>
      </c>
      <c r="S1234">
        <v>87</v>
      </c>
      <c r="T1234" t="s">
        <v>48</v>
      </c>
      <c r="U1234">
        <f>IF(Cardiac_Table[[#This Row],[Patient Status at Discharge]]="Died", 1,0)</f>
        <v>1</v>
      </c>
      <c r="V1234">
        <f>Cardiac_Table[[#This Row],[Risk of Death % (Model 1)]]/100</f>
        <v>0.33740000000000003</v>
      </c>
      <c r="W1234">
        <f>Cardiac_Table[[#This Row],[Risk of Death % (Model 2)]]/100</f>
        <v>0.17019999999999999</v>
      </c>
      <c r="X1234" s="18">
        <f>Cardiac_Table[[#This Row],[Procedure Start Date and Time]]-Cardiac_Table[[#This Row],[Hospital Admit Date ]]</f>
        <v>3.945833333338669</v>
      </c>
    </row>
    <row r="1235" spans="1:24" x14ac:dyDescent="0.35">
      <c r="A1235">
        <v>1245</v>
      </c>
      <c r="B1235" s="9">
        <v>44165.679166666669</v>
      </c>
      <c r="C1235" s="10">
        <f>INT(Cardiac_Table[[#This Row],[Hospital Admit Date ]])</f>
        <v>44165</v>
      </c>
      <c r="D1235" s="11" t="str">
        <f t="shared" si="19"/>
        <v>16:18</v>
      </c>
      <c r="E1235" s="9">
        <v>44166.329861111109</v>
      </c>
      <c r="F1235" s="10">
        <f>INT(Cardiac_Table[[#This Row],[Procedure Start Date and Time]])</f>
        <v>44166</v>
      </c>
      <c r="G1235" s="12">
        <f>MOD(Cardiac_Table[[#This Row],[Procedure Start Date and Time]],1)</f>
        <v>0.32986111110949423</v>
      </c>
      <c r="H1235">
        <v>1</v>
      </c>
      <c r="I1235" t="s">
        <v>4</v>
      </c>
      <c r="J1235" t="s">
        <v>10</v>
      </c>
      <c r="K1235" t="s">
        <v>29</v>
      </c>
      <c r="L1235">
        <v>71</v>
      </c>
      <c r="M1235">
        <v>2.92</v>
      </c>
      <c r="N1235">
        <v>1.4</v>
      </c>
      <c r="O1235" t="s">
        <v>15</v>
      </c>
      <c r="P1235">
        <v>107</v>
      </c>
      <c r="Q1235">
        <v>179</v>
      </c>
      <c r="R1235">
        <v>111</v>
      </c>
      <c r="S1235">
        <v>55</v>
      </c>
      <c r="T1235" t="s">
        <v>48</v>
      </c>
      <c r="U1235">
        <f>IF(Cardiac_Table[[#This Row],[Patient Status at Discharge]]="Died", 1,0)</f>
        <v>0</v>
      </c>
      <c r="V1235">
        <f>Cardiac_Table[[#This Row],[Risk of Death % (Model 1)]]/100</f>
        <v>2.92E-2</v>
      </c>
      <c r="W1235">
        <f>Cardiac_Table[[#This Row],[Risk of Death % (Model 2)]]/100</f>
        <v>1.3999999999999999E-2</v>
      </c>
      <c r="X1235" s="18">
        <f>Cardiac_Table[[#This Row],[Procedure Start Date and Time]]-Cardiac_Table[[#This Row],[Hospital Admit Date ]]</f>
        <v>0.65069444444088731</v>
      </c>
    </row>
    <row r="1236" spans="1:24" x14ac:dyDescent="0.35">
      <c r="A1236">
        <v>1246</v>
      </c>
      <c r="B1236" s="9">
        <v>44163.541666666664</v>
      </c>
      <c r="C1236" s="10">
        <f>INT(Cardiac_Table[[#This Row],[Hospital Admit Date ]])</f>
        <v>44163</v>
      </c>
      <c r="D1236" s="11" t="str">
        <f t="shared" si="19"/>
        <v>13:00</v>
      </c>
      <c r="E1236" s="9">
        <v>44166.340277777781</v>
      </c>
      <c r="F1236" s="10">
        <f>INT(Cardiac_Table[[#This Row],[Procedure Start Date and Time]])</f>
        <v>44166</v>
      </c>
      <c r="G1236" s="12">
        <f>MOD(Cardiac_Table[[#This Row],[Procedure Start Date and Time]],1)</f>
        <v>0.34027777778101154</v>
      </c>
      <c r="H1236">
        <v>5</v>
      </c>
      <c r="I1236" t="s">
        <v>4</v>
      </c>
      <c r="J1236" t="s">
        <v>11</v>
      </c>
      <c r="K1236" t="s">
        <v>28</v>
      </c>
      <c r="L1236">
        <v>77</v>
      </c>
      <c r="M1236">
        <v>8.9</v>
      </c>
      <c r="N1236">
        <v>8.35</v>
      </c>
      <c r="O1236" t="s">
        <v>15</v>
      </c>
      <c r="P1236">
        <v>103</v>
      </c>
      <c r="Q1236">
        <v>180</v>
      </c>
      <c r="R1236">
        <v>96</v>
      </c>
      <c r="S1236">
        <v>60</v>
      </c>
      <c r="T1236" t="s">
        <v>48</v>
      </c>
      <c r="U1236">
        <f>IF(Cardiac_Table[[#This Row],[Patient Status at Discharge]]="Died", 1,0)</f>
        <v>0</v>
      </c>
      <c r="V1236">
        <f>Cardiac_Table[[#This Row],[Risk of Death % (Model 1)]]/100</f>
        <v>8.900000000000001E-2</v>
      </c>
      <c r="W1236">
        <f>Cardiac_Table[[#This Row],[Risk of Death % (Model 2)]]/100</f>
        <v>8.3499999999999991E-2</v>
      </c>
      <c r="X1236" s="18">
        <f>Cardiac_Table[[#This Row],[Procedure Start Date and Time]]-Cardiac_Table[[#This Row],[Hospital Admit Date ]]</f>
        <v>2.7986111111167702</v>
      </c>
    </row>
    <row r="1237" spans="1:24" x14ac:dyDescent="0.35">
      <c r="A1237">
        <v>1247</v>
      </c>
      <c r="B1237" s="9">
        <v>44164.583333333336</v>
      </c>
      <c r="C1237" s="10">
        <f>INT(Cardiac_Table[[#This Row],[Hospital Admit Date ]])</f>
        <v>44164</v>
      </c>
      <c r="D1237" s="11" t="str">
        <f t="shared" si="19"/>
        <v>14:00</v>
      </c>
      <c r="E1237" s="9">
        <v>44166.350694444445</v>
      </c>
      <c r="F1237" s="10">
        <f>INT(Cardiac_Table[[#This Row],[Procedure Start Date and Time]])</f>
        <v>44166</v>
      </c>
      <c r="G1237" s="12">
        <f>MOD(Cardiac_Table[[#This Row],[Procedure Start Date and Time]],1)</f>
        <v>0.35069444444525288</v>
      </c>
      <c r="H1237">
        <v>4</v>
      </c>
      <c r="I1237" t="s">
        <v>6</v>
      </c>
      <c r="J1237" t="s">
        <v>11</v>
      </c>
      <c r="K1237" t="s">
        <v>26</v>
      </c>
      <c r="L1237">
        <v>62</v>
      </c>
      <c r="M1237">
        <v>4.84</v>
      </c>
      <c r="N1237">
        <v>10.3</v>
      </c>
      <c r="O1237" t="s">
        <v>15</v>
      </c>
      <c r="P1237">
        <v>91</v>
      </c>
      <c r="Q1237">
        <v>149</v>
      </c>
      <c r="R1237">
        <v>48</v>
      </c>
      <c r="S1237">
        <v>55</v>
      </c>
      <c r="T1237" t="s">
        <v>48</v>
      </c>
      <c r="U1237">
        <f>IF(Cardiac_Table[[#This Row],[Patient Status at Discharge]]="Died", 1,0)</f>
        <v>0</v>
      </c>
      <c r="V1237">
        <f>Cardiac_Table[[#This Row],[Risk of Death % (Model 1)]]/100</f>
        <v>4.8399999999999999E-2</v>
      </c>
      <c r="W1237">
        <f>Cardiac_Table[[#This Row],[Risk of Death % (Model 2)]]/100</f>
        <v>0.10300000000000001</v>
      </c>
      <c r="X1237" s="18">
        <f>Cardiac_Table[[#This Row],[Procedure Start Date and Time]]-Cardiac_Table[[#This Row],[Hospital Admit Date ]]</f>
        <v>1.7673611111094942</v>
      </c>
    </row>
    <row r="1238" spans="1:24" x14ac:dyDescent="0.35">
      <c r="A1238">
        <v>1248</v>
      </c>
      <c r="B1238" s="9">
        <v>44164.397222222222</v>
      </c>
      <c r="C1238" s="10">
        <f>INT(Cardiac_Table[[#This Row],[Hospital Admit Date ]])</f>
        <v>44164</v>
      </c>
      <c r="D1238" s="11" t="str">
        <f t="shared" si="19"/>
        <v>09:32</v>
      </c>
      <c r="E1238" s="9">
        <v>44166.588888888888</v>
      </c>
      <c r="F1238" s="10">
        <f>INT(Cardiac_Table[[#This Row],[Procedure Start Date and Time]])</f>
        <v>44166</v>
      </c>
      <c r="G1238" s="12">
        <f>MOD(Cardiac_Table[[#This Row],[Procedure Start Date and Time]],1)</f>
        <v>0.58888888888759539</v>
      </c>
      <c r="H1238">
        <v>1</v>
      </c>
      <c r="I1238" t="s">
        <v>6</v>
      </c>
      <c r="J1238" t="s">
        <v>10</v>
      </c>
      <c r="K1238" t="s">
        <v>29</v>
      </c>
      <c r="L1238">
        <v>69</v>
      </c>
      <c r="M1238">
        <v>9.3800000000000008</v>
      </c>
      <c r="N1238">
        <v>2.79</v>
      </c>
      <c r="O1238" t="s">
        <v>15</v>
      </c>
      <c r="P1238">
        <v>82</v>
      </c>
      <c r="Q1238">
        <v>162</v>
      </c>
      <c r="R1238">
        <v>66</v>
      </c>
      <c r="S1238">
        <v>50</v>
      </c>
      <c r="T1238" t="s">
        <v>50</v>
      </c>
      <c r="U1238">
        <f>IF(Cardiac_Table[[#This Row],[Patient Status at Discharge]]="Died", 1,0)</f>
        <v>0</v>
      </c>
      <c r="V1238">
        <f>Cardiac_Table[[#This Row],[Risk of Death % (Model 1)]]/100</f>
        <v>9.3800000000000008E-2</v>
      </c>
      <c r="W1238">
        <f>Cardiac_Table[[#This Row],[Risk of Death % (Model 2)]]/100</f>
        <v>2.7900000000000001E-2</v>
      </c>
      <c r="X1238" s="18">
        <f>Cardiac_Table[[#This Row],[Procedure Start Date and Time]]-Cardiac_Table[[#This Row],[Hospital Admit Date ]]</f>
        <v>2.1916666666656965</v>
      </c>
    </row>
    <row r="1239" spans="1:24" x14ac:dyDescent="0.35">
      <c r="A1239">
        <v>1249</v>
      </c>
      <c r="B1239" s="9">
        <v>44166.291666666664</v>
      </c>
      <c r="C1239" s="10">
        <f>INT(Cardiac_Table[[#This Row],[Hospital Admit Date ]])</f>
        <v>44166</v>
      </c>
      <c r="D1239" s="11" t="str">
        <f t="shared" si="19"/>
        <v>07:00</v>
      </c>
      <c r="E1239" s="9">
        <v>44166.654861111114</v>
      </c>
      <c r="F1239" s="10">
        <f>INT(Cardiac_Table[[#This Row],[Procedure Start Date and Time]])</f>
        <v>44166</v>
      </c>
      <c r="G1239" s="12">
        <f>MOD(Cardiac_Table[[#This Row],[Procedure Start Date and Time]],1)</f>
        <v>0.65486111111385981</v>
      </c>
      <c r="H1239">
        <v>5</v>
      </c>
      <c r="I1239" t="s">
        <v>4</v>
      </c>
      <c r="J1239" t="s">
        <v>3</v>
      </c>
      <c r="K1239" t="s">
        <v>28</v>
      </c>
      <c r="L1239">
        <v>52</v>
      </c>
      <c r="M1239">
        <v>1.51</v>
      </c>
      <c r="N1239">
        <v>0.56000000000000005</v>
      </c>
      <c r="O1239" t="s">
        <v>15</v>
      </c>
      <c r="P1239">
        <v>113</v>
      </c>
      <c r="Q1239">
        <v>163</v>
      </c>
      <c r="R1239">
        <v>53</v>
      </c>
      <c r="S1239">
        <v>60</v>
      </c>
      <c r="T1239" t="s">
        <v>48</v>
      </c>
      <c r="U1239">
        <f>IF(Cardiac_Table[[#This Row],[Patient Status at Discharge]]="Died", 1,0)</f>
        <v>0</v>
      </c>
      <c r="V1239">
        <f>Cardiac_Table[[#This Row],[Risk of Death % (Model 1)]]/100</f>
        <v>1.5100000000000001E-2</v>
      </c>
      <c r="W1239">
        <f>Cardiac_Table[[#This Row],[Risk of Death % (Model 2)]]/100</f>
        <v>5.6000000000000008E-3</v>
      </c>
      <c r="X1239" s="18">
        <f>Cardiac_Table[[#This Row],[Procedure Start Date and Time]]-Cardiac_Table[[#This Row],[Hospital Admit Date ]]</f>
        <v>0.36319444444961846</v>
      </c>
    </row>
    <row r="1240" spans="1:24" x14ac:dyDescent="0.35">
      <c r="A1240">
        <v>1250</v>
      </c>
      <c r="B1240" s="9">
        <v>44166.656944444447</v>
      </c>
      <c r="C1240" s="10">
        <f>INT(Cardiac_Table[[#This Row],[Hospital Admit Date ]])</f>
        <v>44166</v>
      </c>
      <c r="D1240" s="11" t="str">
        <f t="shared" si="19"/>
        <v>15:46</v>
      </c>
      <c r="E1240" s="9">
        <v>44167.333333333336</v>
      </c>
      <c r="F1240" s="10">
        <f>INT(Cardiac_Table[[#This Row],[Procedure Start Date and Time]])</f>
        <v>44167</v>
      </c>
      <c r="G1240" s="12">
        <f>MOD(Cardiac_Table[[#This Row],[Procedure Start Date and Time]],1)</f>
        <v>0.33333333333575865</v>
      </c>
      <c r="H1240">
        <v>4</v>
      </c>
      <c r="I1240" t="s">
        <v>4</v>
      </c>
      <c r="J1240" t="s">
        <v>3</v>
      </c>
      <c r="K1240" t="s">
        <v>35</v>
      </c>
      <c r="L1240">
        <v>76</v>
      </c>
      <c r="M1240">
        <v>2.69</v>
      </c>
      <c r="N1240">
        <v>0.78</v>
      </c>
      <c r="O1240" t="s">
        <v>15</v>
      </c>
      <c r="P1240">
        <v>91</v>
      </c>
      <c r="Q1240">
        <v>177</v>
      </c>
      <c r="R1240">
        <v>111</v>
      </c>
      <c r="S1240">
        <v>33</v>
      </c>
      <c r="T1240" t="s">
        <v>50</v>
      </c>
      <c r="U1240">
        <f>IF(Cardiac_Table[[#This Row],[Patient Status at Discharge]]="Died", 1,0)</f>
        <v>0</v>
      </c>
      <c r="V1240">
        <f>Cardiac_Table[[#This Row],[Risk of Death % (Model 1)]]/100</f>
        <v>2.69E-2</v>
      </c>
      <c r="W1240">
        <f>Cardiac_Table[[#This Row],[Risk of Death % (Model 2)]]/100</f>
        <v>7.8000000000000005E-3</v>
      </c>
      <c r="X1240" s="18">
        <f>Cardiac_Table[[#This Row],[Procedure Start Date and Time]]-Cardiac_Table[[#This Row],[Hospital Admit Date ]]</f>
        <v>0.67638888888905058</v>
      </c>
    </row>
    <row r="1241" spans="1:24" x14ac:dyDescent="0.35">
      <c r="A1241">
        <v>1251</v>
      </c>
      <c r="B1241" s="9">
        <v>44154.5</v>
      </c>
      <c r="C1241" s="10">
        <f>INT(Cardiac_Table[[#This Row],[Hospital Admit Date ]])</f>
        <v>44154</v>
      </c>
      <c r="D1241" s="11" t="str">
        <f t="shared" si="19"/>
        <v>12:00</v>
      </c>
      <c r="E1241" s="9">
        <v>44167.347916666666</v>
      </c>
      <c r="F1241" s="10">
        <f>INT(Cardiac_Table[[#This Row],[Procedure Start Date and Time]])</f>
        <v>44167</v>
      </c>
      <c r="G1241" s="12">
        <f>MOD(Cardiac_Table[[#This Row],[Procedure Start Date and Time]],1)</f>
        <v>0.34791666666569654</v>
      </c>
      <c r="H1241">
        <v>1</v>
      </c>
      <c r="I1241" t="s">
        <v>4</v>
      </c>
      <c r="J1241" t="s">
        <v>1</v>
      </c>
      <c r="K1241" t="s">
        <v>27</v>
      </c>
      <c r="L1241">
        <v>55</v>
      </c>
      <c r="M1241">
        <v>15.6</v>
      </c>
      <c r="N1241">
        <v>8.85</v>
      </c>
      <c r="O1241" t="s">
        <v>15</v>
      </c>
      <c r="P1241">
        <v>93</v>
      </c>
      <c r="Q1241">
        <v>157</v>
      </c>
      <c r="R1241">
        <v>81</v>
      </c>
      <c r="S1241">
        <v>55</v>
      </c>
      <c r="T1241" t="s">
        <v>48</v>
      </c>
      <c r="U1241">
        <f>IF(Cardiac_Table[[#This Row],[Patient Status at Discharge]]="Died", 1,0)</f>
        <v>0</v>
      </c>
      <c r="V1241">
        <f>Cardiac_Table[[#This Row],[Risk of Death % (Model 1)]]/100</f>
        <v>0.156</v>
      </c>
      <c r="W1241">
        <f>Cardiac_Table[[#This Row],[Risk of Death % (Model 2)]]/100</f>
        <v>8.8499999999999995E-2</v>
      </c>
      <c r="X1241" s="18">
        <f>Cardiac_Table[[#This Row],[Procedure Start Date and Time]]-Cardiac_Table[[#This Row],[Hospital Admit Date ]]</f>
        <v>12.847916666665697</v>
      </c>
    </row>
    <row r="1242" spans="1:24" x14ac:dyDescent="0.35">
      <c r="A1242">
        <v>1252</v>
      </c>
      <c r="B1242" s="9">
        <v>44166.5625</v>
      </c>
      <c r="C1242" s="10">
        <f>INT(Cardiac_Table[[#This Row],[Hospital Admit Date ]])</f>
        <v>44166</v>
      </c>
      <c r="D1242" s="11" t="str">
        <f t="shared" si="19"/>
        <v>13:30</v>
      </c>
      <c r="E1242" s="9">
        <v>44167.375</v>
      </c>
      <c r="F1242" s="10">
        <f>INT(Cardiac_Table[[#This Row],[Procedure Start Date and Time]])</f>
        <v>44167</v>
      </c>
      <c r="G1242" s="12">
        <f>MOD(Cardiac_Table[[#This Row],[Procedure Start Date and Time]],1)</f>
        <v>0.375</v>
      </c>
      <c r="H1242">
        <v>5</v>
      </c>
      <c r="I1242" t="s">
        <v>6</v>
      </c>
      <c r="J1242" t="s">
        <v>10</v>
      </c>
      <c r="K1242" t="s">
        <v>28</v>
      </c>
      <c r="L1242">
        <v>77</v>
      </c>
      <c r="M1242">
        <v>2.87</v>
      </c>
      <c r="N1242">
        <v>1.5</v>
      </c>
      <c r="O1242" t="s">
        <v>15</v>
      </c>
      <c r="P1242">
        <v>73</v>
      </c>
      <c r="Q1242">
        <v>183</v>
      </c>
      <c r="R1242">
        <v>54</v>
      </c>
      <c r="S1242">
        <v>60</v>
      </c>
      <c r="T1242" t="s">
        <v>48</v>
      </c>
      <c r="U1242">
        <f>IF(Cardiac_Table[[#This Row],[Patient Status at Discharge]]="Died", 1,0)</f>
        <v>0</v>
      </c>
      <c r="V1242">
        <f>Cardiac_Table[[#This Row],[Risk of Death % (Model 1)]]/100</f>
        <v>2.87E-2</v>
      </c>
      <c r="W1242">
        <f>Cardiac_Table[[#This Row],[Risk of Death % (Model 2)]]/100</f>
        <v>1.4999999999999999E-2</v>
      </c>
      <c r="X1242" s="18">
        <f>Cardiac_Table[[#This Row],[Procedure Start Date and Time]]-Cardiac_Table[[#This Row],[Hospital Admit Date ]]</f>
        <v>0.8125</v>
      </c>
    </row>
    <row r="1243" spans="1:24" x14ac:dyDescent="0.35">
      <c r="A1243">
        <v>1253</v>
      </c>
      <c r="B1243" s="9">
        <v>44167.291666666664</v>
      </c>
      <c r="C1243" s="10">
        <f>INT(Cardiac_Table[[#This Row],[Hospital Admit Date ]])</f>
        <v>44167</v>
      </c>
      <c r="D1243" s="11" t="str">
        <f t="shared" si="19"/>
        <v>07:00</v>
      </c>
      <c r="E1243" s="9">
        <v>44167.597222222219</v>
      </c>
      <c r="F1243" s="10">
        <f>INT(Cardiac_Table[[#This Row],[Procedure Start Date and Time]])</f>
        <v>44167</v>
      </c>
      <c r="G1243" s="12">
        <f>MOD(Cardiac_Table[[#This Row],[Procedure Start Date and Time]],1)</f>
        <v>0.59722222221898846</v>
      </c>
      <c r="H1243">
        <v>5</v>
      </c>
      <c r="I1243" t="s">
        <v>4</v>
      </c>
      <c r="J1243" t="s">
        <v>3</v>
      </c>
      <c r="K1243" t="s">
        <v>28</v>
      </c>
      <c r="L1243">
        <v>69</v>
      </c>
      <c r="M1243">
        <v>2.89</v>
      </c>
      <c r="N1243">
        <v>3.19</v>
      </c>
      <c r="O1243" t="s">
        <v>15</v>
      </c>
      <c r="P1243">
        <v>74</v>
      </c>
      <c r="Q1243">
        <v>174</v>
      </c>
      <c r="R1243">
        <v>80</v>
      </c>
      <c r="S1243">
        <v>60</v>
      </c>
      <c r="T1243" t="s">
        <v>48</v>
      </c>
      <c r="U1243">
        <f>IF(Cardiac_Table[[#This Row],[Patient Status at Discharge]]="Died", 1,0)</f>
        <v>0</v>
      </c>
      <c r="V1243">
        <f>Cardiac_Table[[#This Row],[Risk of Death % (Model 1)]]/100</f>
        <v>2.8900000000000002E-2</v>
      </c>
      <c r="W1243">
        <f>Cardiac_Table[[#This Row],[Risk of Death % (Model 2)]]/100</f>
        <v>3.1899999999999998E-2</v>
      </c>
      <c r="X1243" s="18">
        <f>Cardiac_Table[[#This Row],[Procedure Start Date and Time]]-Cardiac_Table[[#This Row],[Hospital Admit Date ]]</f>
        <v>0.30555555555474712</v>
      </c>
    </row>
    <row r="1244" spans="1:24" x14ac:dyDescent="0.35">
      <c r="A1244">
        <v>1254</v>
      </c>
      <c r="B1244" s="9">
        <v>44166.563194444447</v>
      </c>
      <c r="C1244" s="10">
        <f>INT(Cardiac_Table[[#This Row],[Hospital Admit Date ]])</f>
        <v>44166</v>
      </c>
      <c r="D1244" s="11" t="str">
        <f t="shared" si="19"/>
        <v>13:31</v>
      </c>
      <c r="E1244" s="9">
        <v>44167.611111111109</v>
      </c>
      <c r="F1244" s="10">
        <f>INT(Cardiac_Table[[#This Row],[Procedure Start Date and Time]])</f>
        <v>44167</v>
      </c>
      <c r="G1244" s="12">
        <f>MOD(Cardiac_Table[[#This Row],[Procedure Start Date and Time]],1)</f>
        <v>0.61111111110949423</v>
      </c>
      <c r="H1244">
        <v>4</v>
      </c>
      <c r="I1244" t="s">
        <v>4</v>
      </c>
      <c r="J1244" t="s">
        <v>3</v>
      </c>
      <c r="K1244" t="s">
        <v>35</v>
      </c>
      <c r="L1244">
        <v>77</v>
      </c>
      <c r="M1244">
        <v>2.87</v>
      </c>
      <c r="N1244">
        <v>0.9</v>
      </c>
      <c r="O1244" t="s">
        <v>15</v>
      </c>
      <c r="P1244">
        <v>80</v>
      </c>
      <c r="Q1244">
        <v>170</v>
      </c>
      <c r="R1244">
        <v>96</v>
      </c>
      <c r="S1244">
        <v>60</v>
      </c>
      <c r="T1244" t="s">
        <v>48</v>
      </c>
      <c r="U1244">
        <f>IF(Cardiac_Table[[#This Row],[Patient Status at Discharge]]="Died", 1,0)</f>
        <v>0</v>
      </c>
      <c r="V1244">
        <f>Cardiac_Table[[#This Row],[Risk of Death % (Model 1)]]/100</f>
        <v>2.87E-2</v>
      </c>
      <c r="W1244">
        <f>Cardiac_Table[[#This Row],[Risk of Death % (Model 2)]]/100</f>
        <v>9.0000000000000011E-3</v>
      </c>
      <c r="X1244" s="18">
        <f>Cardiac_Table[[#This Row],[Procedure Start Date and Time]]-Cardiac_Table[[#This Row],[Hospital Admit Date ]]</f>
        <v>1.0479166666627862</v>
      </c>
    </row>
    <row r="1245" spans="1:24" x14ac:dyDescent="0.35">
      <c r="A1245">
        <v>1255</v>
      </c>
      <c r="B1245" s="9">
        <v>44167.617361111108</v>
      </c>
      <c r="C1245" s="10">
        <f>INT(Cardiac_Table[[#This Row],[Hospital Admit Date ]])</f>
        <v>44167</v>
      </c>
      <c r="D1245" s="11" t="str">
        <f t="shared" si="19"/>
        <v>14:49</v>
      </c>
      <c r="E1245" s="9">
        <v>44168.333333333336</v>
      </c>
      <c r="F1245" s="10">
        <f>INT(Cardiac_Table[[#This Row],[Procedure Start Date and Time]])</f>
        <v>44168</v>
      </c>
      <c r="G1245" s="12">
        <f>MOD(Cardiac_Table[[#This Row],[Procedure Start Date and Time]],1)</f>
        <v>0.33333333333575865</v>
      </c>
      <c r="H1245">
        <v>1</v>
      </c>
      <c r="I1245" t="s">
        <v>4</v>
      </c>
      <c r="J1245" t="s">
        <v>3</v>
      </c>
      <c r="K1245" t="s">
        <v>23</v>
      </c>
      <c r="L1245">
        <v>53</v>
      </c>
      <c r="M1245">
        <v>1.43</v>
      </c>
      <c r="N1245">
        <v>0.81</v>
      </c>
      <c r="O1245" t="s">
        <v>15</v>
      </c>
      <c r="P1245">
        <v>119</v>
      </c>
      <c r="Q1245">
        <v>181</v>
      </c>
      <c r="R1245">
        <v>82</v>
      </c>
      <c r="S1245">
        <v>55</v>
      </c>
      <c r="T1245" t="s">
        <v>48</v>
      </c>
      <c r="U1245">
        <f>IF(Cardiac_Table[[#This Row],[Patient Status at Discharge]]="Died", 1,0)</f>
        <v>0</v>
      </c>
      <c r="V1245">
        <f>Cardiac_Table[[#This Row],[Risk of Death % (Model 1)]]/100</f>
        <v>1.43E-2</v>
      </c>
      <c r="W1245">
        <f>Cardiac_Table[[#This Row],[Risk of Death % (Model 2)]]/100</f>
        <v>8.1000000000000013E-3</v>
      </c>
      <c r="X1245" s="18">
        <f>Cardiac_Table[[#This Row],[Procedure Start Date and Time]]-Cardiac_Table[[#This Row],[Hospital Admit Date ]]</f>
        <v>0.71597222222771961</v>
      </c>
    </row>
    <row r="1246" spans="1:24" x14ac:dyDescent="0.35">
      <c r="A1246">
        <v>1256</v>
      </c>
      <c r="B1246" s="9">
        <v>44159.399305555555</v>
      </c>
      <c r="C1246" s="10">
        <f>INT(Cardiac_Table[[#This Row],[Hospital Admit Date ]])</f>
        <v>44159</v>
      </c>
      <c r="D1246" s="11" t="str">
        <f t="shared" si="19"/>
        <v>09:35</v>
      </c>
      <c r="E1246" s="9">
        <v>44168.333333333336</v>
      </c>
      <c r="F1246" s="10">
        <f>INT(Cardiac_Table[[#This Row],[Procedure Start Date and Time]])</f>
        <v>44168</v>
      </c>
      <c r="G1246" s="12">
        <f>MOD(Cardiac_Table[[#This Row],[Procedure Start Date and Time]],1)</f>
        <v>0.33333333333575865</v>
      </c>
      <c r="H1246">
        <v>4</v>
      </c>
      <c r="I1246" t="s">
        <v>6</v>
      </c>
      <c r="J1246" t="s">
        <v>10</v>
      </c>
      <c r="K1246" t="s">
        <v>21</v>
      </c>
      <c r="L1246">
        <v>80</v>
      </c>
      <c r="M1246">
        <v>5.85</v>
      </c>
      <c r="N1246">
        <v>1.38</v>
      </c>
      <c r="O1246" t="s">
        <v>15</v>
      </c>
      <c r="P1246">
        <v>65</v>
      </c>
      <c r="Q1246">
        <v>151</v>
      </c>
      <c r="R1246">
        <v>53</v>
      </c>
      <c r="S1246">
        <v>65</v>
      </c>
      <c r="T1246" t="s">
        <v>48</v>
      </c>
      <c r="U1246">
        <f>IF(Cardiac_Table[[#This Row],[Patient Status at Discharge]]="Died", 1,0)</f>
        <v>0</v>
      </c>
      <c r="V1246">
        <f>Cardiac_Table[[#This Row],[Risk of Death % (Model 1)]]/100</f>
        <v>5.8499999999999996E-2</v>
      </c>
      <c r="W1246">
        <f>Cardiac_Table[[#This Row],[Risk of Death % (Model 2)]]/100</f>
        <v>1.38E-2</v>
      </c>
      <c r="X1246" s="18">
        <f>Cardiac_Table[[#This Row],[Procedure Start Date and Time]]-Cardiac_Table[[#This Row],[Hospital Admit Date ]]</f>
        <v>8.9340277777810115</v>
      </c>
    </row>
    <row r="1247" spans="1:24" x14ac:dyDescent="0.35">
      <c r="A1247">
        <v>1257</v>
      </c>
      <c r="B1247" s="9">
        <v>44167.648611111108</v>
      </c>
      <c r="C1247" s="10">
        <f>INT(Cardiac_Table[[#This Row],[Hospital Admit Date ]])</f>
        <v>44167</v>
      </c>
      <c r="D1247" s="11" t="str">
        <f t="shared" si="19"/>
        <v>15:34</v>
      </c>
      <c r="E1247" s="9">
        <v>44168.339583333334</v>
      </c>
      <c r="F1247" s="10">
        <f>INT(Cardiac_Table[[#This Row],[Procedure Start Date and Time]])</f>
        <v>44168</v>
      </c>
      <c r="G1247" s="12">
        <f>MOD(Cardiac_Table[[#This Row],[Procedure Start Date and Time]],1)</f>
        <v>0.33958333333430346</v>
      </c>
      <c r="H1247">
        <v>3</v>
      </c>
      <c r="I1247" t="s">
        <v>4</v>
      </c>
      <c r="J1247" t="s">
        <v>3</v>
      </c>
      <c r="K1247" t="s">
        <v>33</v>
      </c>
      <c r="L1247">
        <v>74</v>
      </c>
      <c r="M1247">
        <v>12.58</v>
      </c>
      <c r="N1247">
        <v>2.2799999999999998</v>
      </c>
      <c r="O1247" t="s">
        <v>15</v>
      </c>
      <c r="P1247">
        <v>90</v>
      </c>
      <c r="Q1247">
        <v>174</v>
      </c>
      <c r="R1247">
        <v>80</v>
      </c>
      <c r="S1247">
        <v>29</v>
      </c>
      <c r="T1247" t="s">
        <v>49</v>
      </c>
      <c r="U1247">
        <f>IF(Cardiac_Table[[#This Row],[Patient Status at Discharge]]="Died", 1,0)</f>
        <v>0</v>
      </c>
      <c r="V1247">
        <f>Cardiac_Table[[#This Row],[Risk of Death % (Model 1)]]/100</f>
        <v>0.1258</v>
      </c>
      <c r="W1247">
        <f>Cardiac_Table[[#This Row],[Risk of Death % (Model 2)]]/100</f>
        <v>2.2799999999999997E-2</v>
      </c>
      <c r="X1247" s="18">
        <f>Cardiac_Table[[#This Row],[Procedure Start Date and Time]]-Cardiac_Table[[#This Row],[Hospital Admit Date ]]</f>
        <v>0.69097222222626442</v>
      </c>
    </row>
    <row r="1248" spans="1:24" x14ac:dyDescent="0.35">
      <c r="A1248">
        <v>1258</v>
      </c>
      <c r="B1248" s="9">
        <v>44166.541666666664</v>
      </c>
      <c r="C1248" s="10">
        <f>INT(Cardiac_Table[[#This Row],[Hospital Admit Date ]])</f>
        <v>44166</v>
      </c>
      <c r="D1248" s="11" t="str">
        <f t="shared" si="19"/>
        <v>13:00</v>
      </c>
      <c r="E1248" s="9">
        <v>44168.340277777781</v>
      </c>
      <c r="F1248" s="10">
        <f>INT(Cardiac_Table[[#This Row],[Procedure Start Date and Time]])</f>
        <v>44168</v>
      </c>
      <c r="G1248" s="12">
        <f>MOD(Cardiac_Table[[#This Row],[Procedure Start Date and Time]],1)</f>
        <v>0.34027777778101154</v>
      </c>
      <c r="H1248">
        <v>5</v>
      </c>
      <c r="I1248" t="s">
        <v>6</v>
      </c>
      <c r="J1248" t="s">
        <v>10</v>
      </c>
      <c r="K1248" t="s">
        <v>31</v>
      </c>
      <c r="L1248">
        <v>70</v>
      </c>
      <c r="M1248">
        <v>4.26</v>
      </c>
      <c r="N1248">
        <v>1.98</v>
      </c>
      <c r="O1248" t="s">
        <v>15</v>
      </c>
      <c r="P1248">
        <v>80</v>
      </c>
      <c r="Q1248">
        <v>166</v>
      </c>
      <c r="R1248">
        <v>70</v>
      </c>
      <c r="S1248">
        <v>68</v>
      </c>
      <c r="T1248" t="s">
        <v>48</v>
      </c>
      <c r="U1248">
        <f>IF(Cardiac_Table[[#This Row],[Patient Status at Discharge]]="Died", 1,0)</f>
        <v>0</v>
      </c>
      <c r="V1248">
        <f>Cardiac_Table[[#This Row],[Risk of Death % (Model 1)]]/100</f>
        <v>4.2599999999999999E-2</v>
      </c>
      <c r="W1248">
        <f>Cardiac_Table[[#This Row],[Risk of Death % (Model 2)]]/100</f>
        <v>1.9799999999999998E-2</v>
      </c>
      <c r="X1248" s="18">
        <f>Cardiac_Table[[#This Row],[Procedure Start Date and Time]]-Cardiac_Table[[#This Row],[Hospital Admit Date ]]</f>
        <v>1.7986111111167702</v>
      </c>
    </row>
    <row r="1249" spans="1:24" x14ac:dyDescent="0.35">
      <c r="A1249">
        <v>1259</v>
      </c>
      <c r="B1249" s="9">
        <v>44168.305555555555</v>
      </c>
      <c r="C1249" s="10">
        <f>INT(Cardiac_Table[[#This Row],[Hospital Admit Date ]])</f>
        <v>44168</v>
      </c>
      <c r="D1249" s="11" t="str">
        <f t="shared" si="19"/>
        <v>07:20</v>
      </c>
      <c r="E1249" s="9">
        <v>44168.544444444444</v>
      </c>
      <c r="F1249" s="10">
        <f>INT(Cardiac_Table[[#This Row],[Procedure Start Date and Time]])</f>
        <v>44168</v>
      </c>
      <c r="G1249" s="12">
        <f>MOD(Cardiac_Table[[#This Row],[Procedure Start Date and Time]],1)</f>
        <v>0.54444444444379769</v>
      </c>
      <c r="H1249">
        <v>1</v>
      </c>
      <c r="I1249" t="s">
        <v>4</v>
      </c>
      <c r="J1249" t="s">
        <v>10</v>
      </c>
      <c r="K1249" t="s">
        <v>23</v>
      </c>
      <c r="L1249">
        <v>62</v>
      </c>
      <c r="M1249">
        <v>1.07</v>
      </c>
      <c r="N1249">
        <v>0.59</v>
      </c>
      <c r="O1249" t="s">
        <v>15</v>
      </c>
      <c r="P1249">
        <v>77</v>
      </c>
      <c r="Q1249">
        <v>160</v>
      </c>
      <c r="R1249">
        <v>64</v>
      </c>
      <c r="S1249">
        <v>35</v>
      </c>
      <c r="T1249" t="s">
        <v>50</v>
      </c>
      <c r="U1249">
        <f>IF(Cardiac_Table[[#This Row],[Patient Status at Discharge]]="Died", 1,0)</f>
        <v>0</v>
      </c>
      <c r="V1249">
        <f>Cardiac_Table[[#This Row],[Risk of Death % (Model 1)]]/100</f>
        <v>1.0700000000000001E-2</v>
      </c>
      <c r="W1249">
        <f>Cardiac_Table[[#This Row],[Risk of Death % (Model 2)]]/100</f>
        <v>5.8999999999999999E-3</v>
      </c>
      <c r="X1249" s="18">
        <f>Cardiac_Table[[#This Row],[Procedure Start Date and Time]]-Cardiac_Table[[#This Row],[Hospital Admit Date ]]</f>
        <v>0.23888888888905058</v>
      </c>
    </row>
    <row r="1250" spans="1:24" x14ac:dyDescent="0.35">
      <c r="A1250">
        <v>1260</v>
      </c>
      <c r="B1250" s="9">
        <v>44168.667361111111</v>
      </c>
      <c r="C1250" s="10">
        <f>INT(Cardiac_Table[[#This Row],[Hospital Admit Date ]])</f>
        <v>44168</v>
      </c>
      <c r="D1250" s="11" t="str">
        <f t="shared" si="19"/>
        <v>16:01</v>
      </c>
      <c r="E1250" s="9">
        <v>44169.333333333336</v>
      </c>
      <c r="F1250" s="10">
        <f>INT(Cardiac_Table[[#This Row],[Procedure Start Date and Time]])</f>
        <v>44169</v>
      </c>
      <c r="G1250" s="12">
        <f>MOD(Cardiac_Table[[#This Row],[Procedure Start Date and Time]],1)</f>
        <v>0.33333333333575865</v>
      </c>
      <c r="H1250">
        <v>5</v>
      </c>
      <c r="I1250" t="s">
        <v>4</v>
      </c>
      <c r="J1250" t="s">
        <v>11</v>
      </c>
      <c r="K1250" t="s">
        <v>35</v>
      </c>
      <c r="L1250">
        <v>78</v>
      </c>
      <c r="M1250">
        <v>3.06</v>
      </c>
      <c r="N1250">
        <v>1.31</v>
      </c>
      <c r="O1250" t="s">
        <v>15</v>
      </c>
      <c r="P1250">
        <v>82</v>
      </c>
      <c r="Q1250">
        <v>160</v>
      </c>
      <c r="R1250">
        <v>87</v>
      </c>
      <c r="S1250">
        <v>49</v>
      </c>
      <c r="T1250" t="s">
        <v>50</v>
      </c>
      <c r="U1250">
        <f>IF(Cardiac_Table[[#This Row],[Patient Status at Discharge]]="Died", 1,0)</f>
        <v>0</v>
      </c>
      <c r="V1250">
        <f>Cardiac_Table[[#This Row],[Risk of Death % (Model 1)]]/100</f>
        <v>3.0600000000000002E-2</v>
      </c>
      <c r="W1250">
        <f>Cardiac_Table[[#This Row],[Risk of Death % (Model 2)]]/100</f>
        <v>1.3100000000000001E-2</v>
      </c>
      <c r="X1250" s="18">
        <f>Cardiac_Table[[#This Row],[Procedure Start Date and Time]]-Cardiac_Table[[#This Row],[Hospital Admit Date ]]</f>
        <v>0.66597222222480923</v>
      </c>
    </row>
    <row r="1251" spans="1:24" x14ac:dyDescent="0.35">
      <c r="A1251">
        <v>1261</v>
      </c>
      <c r="B1251" s="9">
        <v>44168.672222222223</v>
      </c>
      <c r="C1251" s="10">
        <f>INT(Cardiac_Table[[#This Row],[Hospital Admit Date ]])</f>
        <v>44168</v>
      </c>
      <c r="D1251" s="11" t="str">
        <f t="shared" si="19"/>
        <v>16:08</v>
      </c>
      <c r="E1251" s="9">
        <v>44169.340277777781</v>
      </c>
      <c r="F1251" s="10">
        <f>INT(Cardiac_Table[[#This Row],[Procedure Start Date and Time]])</f>
        <v>44169</v>
      </c>
      <c r="G1251" s="12">
        <f>MOD(Cardiac_Table[[#This Row],[Procedure Start Date and Time]],1)</f>
        <v>0.34027777778101154</v>
      </c>
      <c r="H1251">
        <v>1</v>
      </c>
      <c r="I1251" t="s">
        <v>4</v>
      </c>
      <c r="J1251" t="s">
        <v>10</v>
      </c>
      <c r="K1251" t="s">
        <v>27</v>
      </c>
      <c r="L1251">
        <v>65</v>
      </c>
      <c r="M1251">
        <v>3.2</v>
      </c>
      <c r="N1251">
        <v>1.28</v>
      </c>
      <c r="O1251" t="s">
        <v>15</v>
      </c>
      <c r="P1251">
        <v>79</v>
      </c>
      <c r="Q1251">
        <v>153</v>
      </c>
      <c r="R1251">
        <v>59</v>
      </c>
      <c r="S1251">
        <v>43</v>
      </c>
      <c r="T1251" t="s">
        <v>50</v>
      </c>
      <c r="U1251">
        <f>IF(Cardiac_Table[[#This Row],[Patient Status at Discharge]]="Died", 1,0)</f>
        <v>0</v>
      </c>
      <c r="V1251">
        <f>Cardiac_Table[[#This Row],[Risk of Death % (Model 1)]]/100</f>
        <v>3.2000000000000001E-2</v>
      </c>
      <c r="W1251">
        <f>Cardiac_Table[[#This Row],[Risk of Death % (Model 2)]]/100</f>
        <v>1.2800000000000001E-2</v>
      </c>
      <c r="X1251" s="18">
        <f>Cardiac_Table[[#This Row],[Procedure Start Date and Time]]-Cardiac_Table[[#This Row],[Hospital Admit Date ]]</f>
        <v>0.6680555555576575</v>
      </c>
    </row>
    <row r="1252" spans="1:24" x14ac:dyDescent="0.35">
      <c r="A1252">
        <v>1262</v>
      </c>
      <c r="B1252" s="9">
        <v>44162.429166666669</v>
      </c>
      <c r="C1252" s="10">
        <f>INT(Cardiac_Table[[#This Row],[Hospital Admit Date ]])</f>
        <v>44162</v>
      </c>
      <c r="D1252" s="11" t="str">
        <f t="shared" si="19"/>
        <v>10:18</v>
      </c>
      <c r="E1252" s="9">
        <v>44169.345833333333</v>
      </c>
      <c r="F1252" s="10">
        <f>INT(Cardiac_Table[[#This Row],[Procedure Start Date and Time]])</f>
        <v>44169</v>
      </c>
      <c r="G1252" s="12">
        <f>MOD(Cardiac_Table[[#This Row],[Procedure Start Date and Time]],1)</f>
        <v>0.34583333333284827</v>
      </c>
      <c r="H1252">
        <v>3</v>
      </c>
      <c r="I1252" t="s">
        <v>6</v>
      </c>
      <c r="J1252" t="s">
        <v>10</v>
      </c>
      <c r="K1252" t="s">
        <v>25</v>
      </c>
      <c r="L1252">
        <v>41</v>
      </c>
      <c r="M1252">
        <v>1.51</v>
      </c>
      <c r="N1252">
        <v>0.89</v>
      </c>
      <c r="O1252" t="s">
        <v>15</v>
      </c>
      <c r="P1252">
        <v>87</v>
      </c>
      <c r="Q1252">
        <v>169</v>
      </c>
      <c r="R1252">
        <v>75</v>
      </c>
      <c r="S1252">
        <v>44</v>
      </c>
      <c r="T1252" t="s">
        <v>50</v>
      </c>
      <c r="U1252">
        <f>IF(Cardiac_Table[[#This Row],[Patient Status at Discharge]]="Died", 1,0)</f>
        <v>0</v>
      </c>
      <c r="V1252">
        <f>Cardiac_Table[[#This Row],[Risk of Death % (Model 1)]]/100</f>
        <v>1.5100000000000001E-2</v>
      </c>
      <c r="W1252">
        <f>Cardiac_Table[[#This Row],[Risk of Death % (Model 2)]]/100</f>
        <v>8.8999999999999999E-3</v>
      </c>
      <c r="X1252" s="18">
        <f>Cardiac_Table[[#This Row],[Procedure Start Date and Time]]-Cardiac_Table[[#This Row],[Hospital Admit Date ]]</f>
        <v>6.9166666666642413</v>
      </c>
    </row>
    <row r="1253" spans="1:24" x14ac:dyDescent="0.35">
      <c r="A1253">
        <v>1263</v>
      </c>
      <c r="B1253" s="9">
        <v>44168.568055555559</v>
      </c>
      <c r="C1253" s="10">
        <f>INT(Cardiac_Table[[#This Row],[Hospital Admit Date ]])</f>
        <v>44168</v>
      </c>
      <c r="D1253" s="11" t="str">
        <f t="shared" si="19"/>
        <v>13:38</v>
      </c>
      <c r="E1253" s="9">
        <v>44169.480555555558</v>
      </c>
      <c r="F1253" s="10">
        <f>INT(Cardiac_Table[[#This Row],[Procedure Start Date and Time]])</f>
        <v>44169</v>
      </c>
      <c r="G1253" s="12">
        <f>MOD(Cardiac_Table[[#This Row],[Procedure Start Date and Time]],1)</f>
        <v>0.4805555555576575</v>
      </c>
      <c r="H1253">
        <v>6</v>
      </c>
      <c r="I1253" t="s">
        <v>4</v>
      </c>
      <c r="J1253" t="s">
        <v>10</v>
      </c>
      <c r="K1253" t="s">
        <v>21</v>
      </c>
      <c r="L1253">
        <v>69</v>
      </c>
      <c r="M1253">
        <v>3.23</v>
      </c>
      <c r="N1253">
        <v>1.22</v>
      </c>
      <c r="O1253" t="s">
        <v>15</v>
      </c>
      <c r="P1253">
        <v>87</v>
      </c>
      <c r="Q1253">
        <v>170</v>
      </c>
      <c r="R1253">
        <v>88</v>
      </c>
      <c r="S1253">
        <v>66</v>
      </c>
      <c r="T1253" t="s">
        <v>48</v>
      </c>
      <c r="U1253">
        <f>IF(Cardiac_Table[[#This Row],[Patient Status at Discharge]]="Died", 1,0)</f>
        <v>0</v>
      </c>
      <c r="V1253">
        <f>Cardiac_Table[[#This Row],[Risk of Death % (Model 1)]]/100</f>
        <v>3.2300000000000002E-2</v>
      </c>
      <c r="W1253">
        <f>Cardiac_Table[[#This Row],[Risk of Death % (Model 2)]]/100</f>
        <v>1.2199999999999999E-2</v>
      </c>
      <c r="X1253" s="18">
        <f>Cardiac_Table[[#This Row],[Procedure Start Date and Time]]-Cardiac_Table[[#This Row],[Hospital Admit Date ]]</f>
        <v>0.91249999999854481</v>
      </c>
    </row>
    <row r="1254" spans="1:24" x14ac:dyDescent="0.35">
      <c r="A1254">
        <v>1264</v>
      </c>
      <c r="B1254" s="9">
        <v>44167.536805555559</v>
      </c>
      <c r="C1254" s="10">
        <f>INT(Cardiac_Table[[#This Row],[Hospital Admit Date ]])</f>
        <v>44167</v>
      </c>
      <c r="D1254" s="11" t="str">
        <f t="shared" si="19"/>
        <v>12:53</v>
      </c>
      <c r="E1254" s="9">
        <v>44169.57708333333</v>
      </c>
      <c r="F1254" s="10">
        <f>INT(Cardiac_Table[[#This Row],[Procedure Start Date and Time]])</f>
        <v>44169</v>
      </c>
      <c r="G1254" s="12">
        <f>MOD(Cardiac_Table[[#This Row],[Procedure Start Date and Time]],1)</f>
        <v>0.57708333332993789</v>
      </c>
      <c r="H1254">
        <v>3</v>
      </c>
      <c r="I1254" t="s">
        <v>6</v>
      </c>
      <c r="J1254" t="s">
        <v>10</v>
      </c>
      <c r="K1254" t="s">
        <v>25</v>
      </c>
      <c r="L1254">
        <v>73</v>
      </c>
      <c r="M1254">
        <v>5.6</v>
      </c>
      <c r="N1254">
        <v>1.58</v>
      </c>
      <c r="O1254" t="s">
        <v>15</v>
      </c>
      <c r="P1254">
        <v>105</v>
      </c>
      <c r="Q1254">
        <v>176</v>
      </c>
      <c r="R1254">
        <v>70</v>
      </c>
      <c r="S1254">
        <v>66</v>
      </c>
      <c r="T1254" t="s">
        <v>48</v>
      </c>
      <c r="U1254">
        <f>IF(Cardiac_Table[[#This Row],[Patient Status at Discharge]]="Died", 1,0)</f>
        <v>0</v>
      </c>
      <c r="V1254">
        <f>Cardiac_Table[[#This Row],[Risk of Death % (Model 1)]]/100</f>
        <v>5.5999999999999994E-2</v>
      </c>
      <c r="W1254">
        <f>Cardiac_Table[[#This Row],[Risk of Death % (Model 2)]]/100</f>
        <v>1.5800000000000002E-2</v>
      </c>
      <c r="X1254" s="18">
        <f>Cardiac_Table[[#This Row],[Procedure Start Date and Time]]-Cardiac_Table[[#This Row],[Hospital Admit Date ]]</f>
        <v>2.0402777777708252</v>
      </c>
    </row>
    <row r="1255" spans="1:24" x14ac:dyDescent="0.35">
      <c r="A1255">
        <v>1265</v>
      </c>
      <c r="B1255" s="9">
        <v>44167.429166666669</v>
      </c>
      <c r="C1255" s="10">
        <f>INT(Cardiac_Table[[#This Row],[Hospital Admit Date ]])</f>
        <v>44167</v>
      </c>
      <c r="D1255" s="11" t="str">
        <f t="shared" si="19"/>
        <v>10:18</v>
      </c>
      <c r="E1255" s="9">
        <v>44169.611111111109</v>
      </c>
      <c r="F1255" s="10">
        <f>INT(Cardiac_Table[[#This Row],[Procedure Start Date and Time]])</f>
        <v>44169</v>
      </c>
      <c r="G1255" s="12">
        <f>MOD(Cardiac_Table[[#This Row],[Procedure Start Date and Time]],1)</f>
        <v>0.61111111110949423</v>
      </c>
      <c r="H1255">
        <v>1</v>
      </c>
      <c r="I1255" t="s">
        <v>4</v>
      </c>
      <c r="J1255" t="s">
        <v>10</v>
      </c>
      <c r="K1255" t="s">
        <v>27</v>
      </c>
      <c r="L1255">
        <v>62</v>
      </c>
      <c r="M1255">
        <v>1.07</v>
      </c>
      <c r="N1255">
        <v>0.71</v>
      </c>
      <c r="O1255" t="s">
        <v>15</v>
      </c>
      <c r="P1255">
        <v>68</v>
      </c>
      <c r="Q1255">
        <v>160</v>
      </c>
      <c r="R1255">
        <v>80</v>
      </c>
      <c r="S1255">
        <v>52</v>
      </c>
      <c r="T1255" t="s">
        <v>48</v>
      </c>
      <c r="U1255">
        <f>IF(Cardiac_Table[[#This Row],[Patient Status at Discharge]]="Died", 1,0)</f>
        <v>0</v>
      </c>
      <c r="V1255">
        <f>Cardiac_Table[[#This Row],[Risk of Death % (Model 1)]]/100</f>
        <v>1.0700000000000001E-2</v>
      </c>
      <c r="W1255">
        <f>Cardiac_Table[[#This Row],[Risk of Death % (Model 2)]]/100</f>
        <v>7.0999999999999995E-3</v>
      </c>
      <c r="X1255" s="18">
        <f>Cardiac_Table[[#This Row],[Procedure Start Date and Time]]-Cardiac_Table[[#This Row],[Hospital Admit Date ]]</f>
        <v>2.1819444444408873</v>
      </c>
    </row>
    <row r="1256" spans="1:24" x14ac:dyDescent="0.35">
      <c r="A1256">
        <v>1266</v>
      </c>
      <c r="B1256" s="9">
        <v>44169.299305555556</v>
      </c>
      <c r="C1256" s="10">
        <f>INT(Cardiac_Table[[#This Row],[Hospital Admit Date ]])</f>
        <v>44169</v>
      </c>
      <c r="D1256" s="11" t="str">
        <f t="shared" si="19"/>
        <v>07:11</v>
      </c>
      <c r="E1256" s="9">
        <v>44169.618750000001</v>
      </c>
      <c r="F1256" s="10">
        <f>INT(Cardiac_Table[[#This Row],[Procedure Start Date and Time]])</f>
        <v>44169</v>
      </c>
      <c r="G1256" s="12">
        <f>MOD(Cardiac_Table[[#This Row],[Procedure Start Date and Time]],1)</f>
        <v>0.61875000000145519</v>
      </c>
      <c r="H1256">
        <v>5</v>
      </c>
      <c r="I1256" t="s">
        <v>4</v>
      </c>
      <c r="J1256" t="s">
        <v>3</v>
      </c>
      <c r="K1256" t="s">
        <v>35</v>
      </c>
      <c r="L1256">
        <v>67</v>
      </c>
      <c r="M1256">
        <v>2.06</v>
      </c>
      <c r="N1256">
        <v>1.37</v>
      </c>
      <c r="O1256" t="s">
        <v>15</v>
      </c>
      <c r="P1256">
        <v>85</v>
      </c>
      <c r="Q1256">
        <v>185</v>
      </c>
      <c r="R1256">
        <v>109</v>
      </c>
      <c r="S1256">
        <v>49</v>
      </c>
      <c r="T1256" t="s">
        <v>50</v>
      </c>
      <c r="U1256">
        <f>IF(Cardiac_Table[[#This Row],[Patient Status at Discharge]]="Died", 1,0)</f>
        <v>0</v>
      </c>
      <c r="V1256">
        <f>Cardiac_Table[[#This Row],[Risk of Death % (Model 1)]]/100</f>
        <v>2.06E-2</v>
      </c>
      <c r="W1256">
        <f>Cardiac_Table[[#This Row],[Risk of Death % (Model 2)]]/100</f>
        <v>1.37E-2</v>
      </c>
      <c r="X1256" s="18">
        <f>Cardiac_Table[[#This Row],[Procedure Start Date and Time]]-Cardiac_Table[[#This Row],[Hospital Admit Date ]]</f>
        <v>0.31944444444525288</v>
      </c>
    </row>
    <row r="1257" spans="1:24" x14ac:dyDescent="0.35">
      <c r="A1257">
        <v>1267</v>
      </c>
      <c r="B1257" s="9">
        <v>44169.65</v>
      </c>
      <c r="C1257" s="10">
        <f>INT(Cardiac_Table[[#This Row],[Hospital Admit Date ]])</f>
        <v>44169</v>
      </c>
      <c r="D1257" s="11" t="str">
        <f t="shared" si="19"/>
        <v>15:36</v>
      </c>
      <c r="E1257" s="9">
        <v>44170.336805555555</v>
      </c>
      <c r="F1257" s="10">
        <f>INT(Cardiac_Table[[#This Row],[Procedure Start Date and Time]])</f>
        <v>44170</v>
      </c>
      <c r="G1257" s="12">
        <f>MOD(Cardiac_Table[[#This Row],[Procedure Start Date and Time]],1)</f>
        <v>0.33680555555474712</v>
      </c>
      <c r="H1257">
        <v>4</v>
      </c>
      <c r="I1257" t="s">
        <v>4</v>
      </c>
      <c r="J1257" t="s">
        <v>1</v>
      </c>
      <c r="K1257" t="s">
        <v>27</v>
      </c>
      <c r="L1257">
        <v>54</v>
      </c>
      <c r="M1257">
        <v>6.35</v>
      </c>
      <c r="N1257">
        <v>2.27</v>
      </c>
      <c r="O1257" t="s">
        <v>15</v>
      </c>
      <c r="P1257">
        <v>76</v>
      </c>
      <c r="Q1257">
        <v>171</v>
      </c>
      <c r="R1257">
        <v>72</v>
      </c>
      <c r="S1257">
        <v>60</v>
      </c>
      <c r="T1257" t="s">
        <v>48</v>
      </c>
      <c r="U1257">
        <f>IF(Cardiac_Table[[#This Row],[Patient Status at Discharge]]="Died", 1,0)</f>
        <v>0</v>
      </c>
      <c r="V1257">
        <f>Cardiac_Table[[#This Row],[Risk of Death % (Model 1)]]/100</f>
        <v>6.3500000000000001E-2</v>
      </c>
      <c r="W1257">
        <f>Cardiac_Table[[#This Row],[Risk of Death % (Model 2)]]/100</f>
        <v>2.2700000000000001E-2</v>
      </c>
      <c r="X1257" s="18">
        <f>Cardiac_Table[[#This Row],[Procedure Start Date and Time]]-Cardiac_Table[[#This Row],[Hospital Admit Date ]]</f>
        <v>0.68680555555329192</v>
      </c>
    </row>
    <row r="1258" spans="1:24" x14ac:dyDescent="0.35">
      <c r="A1258">
        <v>1268</v>
      </c>
      <c r="B1258" s="9">
        <v>44169.54583333333</v>
      </c>
      <c r="C1258" s="10">
        <f>INT(Cardiac_Table[[#This Row],[Hospital Admit Date ]])</f>
        <v>44169</v>
      </c>
      <c r="D1258" s="11" t="str">
        <f t="shared" si="19"/>
        <v>13:06</v>
      </c>
      <c r="E1258" s="9">
        <v>44170.340277777781</v>
      </c>
      <c r="F1258" s="10">
        <f>INT(Cardiac_Table[[#This Row],[Procedure Start Date and Time]])</f>
        <v>44170</v>
      </c>
      <c r="G1258" s="12">
        <f>MOD(Cardiac_Table[[#This Row],[Procedure Start Date and Time]],1)</f>
        <v>0.34027777778101154</v>
      </c>
      <c r="H1258">
        <v>5</v>
      </c>
      <c r="I1258" t="s">
        <v>4</v>
      </c>
      <c r="J1258" t="s">
        <v>10</v>
      </c>
      <c r="K1258" t="s">
        <v>34</v>
      </c>
      <c r="L1258">
        <v>77</v>
      </c>
      <c r="M1258">
        <v>2.87</v>
      </c>
      <c r="N1258">
        <v>0.81</v>
      </c>
      <c r="O1258" t="s">
        <v>15</v>
      </c>
      <c r="P1258">
        <v>69</v>
      </c>
      <c r="Q1258">
        <v>167</v>
      </c>
      <c r="R1258">
        <v>74</v>
      </c>
      <c r="S1258">
        <v>15</v>
      </c>
      <c r="T1258" t="s">
        <v>51</v>
      </c>
      <c r="U1258">
        <f>IF(Cardiac_Table[[#This Row],[Patient Status at Discharge]]="Died", 1,0)</f>
        <v>0</v>
      </c>
      <c r="V1258">
        <f>Cardiac_Table[[#This Row],[Risk of Death % (Model 1)]]/100</f>
        <v>2.87E-2</v>
      </c>
      <c r="W1258">
        <f>Cardiac_Table[[#This Row],[Risk of Death % (Model 2)]]/100</f>
        <v>8.1000000000000013E-3</v>
      </c>
      <c r="X1258" s="18">
        <f>Cardiac_Table[[#This Row],[Procedure Start Date and Time]]-Cardiac_Table[[#This Row],[Hospital Admit Date ]]</f>
        <v>0.79444444445107365</v>
      </c>
    </row>
    <row r="1259" spans="1:24" x14ac:dyDescent="0.35">
      <c r="A1259">
        <v>1269</v>
      </c>
      <c r="B1259" s="9">
        <v>44171.666666666664</v>
      </c>
      <c r="C1259" s="10">
        <f>INT(Cardiac_Table[[#This Row],[Hospital Admit Date ]])</f>
        <v>44171</v>
      </c>
      <c r="D1259" s="11" t="str">
        <f t="shared" si="19"/>
        <v>16:00</v>
      </c>
      <c r="E1259" s="9">
        <v>44172.342361111114</v>
      </c>
      <c r="F1259" s="10">
        <f>INT(Cardiac_Table[[#This Row],[Procedure Start Date and Time]])</f>
        <v>44172</v>
      </c>
      <c r="G1259" s="12">
        <f>MOD(Cardiac_Table[[#This Row],[Procedure Start Date and Time]],1)</f>
        <v>0.34236111111385981</v>
      </c>
      <c r="H1259">
        <v>4</v>
      </c>
      <c r="I1259" t="s">
        <v>4</v>
      </c>
      <c r="J1259" t="s">
        <v>1</v>
      </c>
      <c r="K1259" t="s">
        <v>23</v>
      </c>
      <c r="L1259">
        <v>75</v>
      </c>
      <c r="M1259">
        <v>18.82</v>
      </c>
      <c r="N1259">
        <v>7.91</v>
      </c>
      <c r="O1259" t="s">
        <v>15</v>
      </c>
      <c r="P1259">
        <v>63</v>
      </c>
      <c r="Q1259">
        <v>165</v>
      </c>
      <c r="R1259">
        <v>75</v>
      </c>
      <c r="S1259">
        <v>55</v>
      </c>
      <c r="T1259" t="s">
        <v>48</v>
      </c>
      <c r="U1259">
        <f>IF(Cardiac_Table[[#This Row],[Patient Status at Discharge]]="Died", 1,0)</f>
        <v>0</v>
      </c>
      <c r="V1259">
        <f>Cardiac_Table[[#This Row],[Risk of Death % (Model 1)]]/100</f>
        <v>0.18820000000000001</v>
      </c>
      <c r="W1259">
        <f>Cardiac_Table[[#This Row],[Risk of Death % (Model 2)]]/100</f>
        <v>7.9100000000000004E-2</v>
      </c>
      <c r="X1259" s="18">
        <f>Cardiac_Table[[#This Row],[Procedure Start Date and Time]]-Cardiac_Table[[#This Row],[Hospital Admit Date ]]</f>
        <v>0.67569444444961846</v>
      </c>
    </row>
    <row r="1260" spans="1:24" x14ac:dyDescent="0.35">
      <c r="A1260">
        <v>1270</v>
      </c>
      <c r="B1260" s="9">
        <v>44171.659722222219</v>
      </c>
      <c r="C1260" s="10">
        <f>INT(Cardiac_Table[[#This Row],[Hospital Admit Date ]])</f>
        <v>44171</v>
      </c>
      <c r="D1260" s="11" t="str">
        <f t="shared" si="19"/>
        <v>15:50</v>
      </c>
      <c r="E1260" s="9">
        <v>44172.343055555553</v>
      </c>
      <c r="F1260" s="10">
        <f>INT(Cardiac_Table[[#This Row],[Procedure Start Date and Time]])</f>
        <v>44172</v>
      </c>
      <c r="G1260" s="12">
        <f>MOD(Cardiac_Table[[#This Row],[Procedure Start Date and Time]],1)</f>
        <v>0.34305555555329192</v>
      </c>
      <c r="H1260">
        <v>5</v>
      </c>
      <c r="I1260" t="s">
        <v>4</v>
      </c>
      <c r="J1260" t="s">
        <v>10</v>
      </c>
      <c r="K1260" t="s">
        <v>31</v>
      </c>
      <c r="L1260">
        <v>49</v>
      </c>
      <c r="M1260">
        <v>2.2799999999999998</v>
      </c>
      <c r="N1260">
        <v>0.89</v>
      </c>
      <c r="O1260" t="s">
        <v>15</v>
      </c>
      <c r="P1260">
        <v>75</v>
      </c>
      <c r="Q1260">
        <v>184</v>
      </c>
      <c r="R1260">
        <v>88</v>
      </c>
      <c r="S1260">
        <v>40</v>
      </c>
      <c r="T1260" t="s">
        <v>50</v>
      </c>
      <c r="U1260">
        <f>IF(Cardiac_Table[[#This Row],[Patient Status at Discharge]]="Died", 1,0)</f>
        <v>0</v>
      </c>
      <c r="V1260">
        <f>Cardiac_Table[[#This Row],[Risk of Death % (Model 1)]]/100</f>
        <v>2.2799999999999997E-2</v>
      </c>
      <c r="W1260">
        <f>Cardiac_Table[[#This Row],[Risk of Death % (Model 2)]]/100</f>
        <v>8.8999999999999999E-3</v>
      </c>
      <c r="X1260" s="18">
        <f>Cardiac_Table[[#This Row],[Procedure Start Date and Time]]-Cardiac_Table[[#This Row],[Hospital Admit Date ]]</f>
        <v>0.68333333333430346</v>
      </c>
    </row>
    <row r="1261" spans="1:24" x14ac:dyDescent="0.35">
      <c r="A1261">
        <v>1271</v>
      </c>
      <c r="B1261" s="9">
        <v>44170.472222222219</v>
      </c>
      <c r="C1261" s="10">
        <f>INT(Cardiac_Table[[#This Row],[Hospital Admit Date ]])</f>
        <v>44170</v>
      </c>
      <c r="D1261" s="11" t="str">
        <f t="shared" si="19"/>
        <v>11:20</v>
      </c>
      <c r="E1261" s="9">
        <v>44172.350694444445</v>
      </c>
      <c r="F1261" s="10">
        <f>INT(Cardiac_Table[[#This Row],[Procedure Start Date and Time]])</f>
        <v>44172</v>
      </c>
      <c r="G1261" s="12">
        <f>MOD(Cardiac_Table[[#This Row],[Procedure Start Date and Time]],1)</f>
        <v>0.35069444444525288</v>
      </c>
      <c r="H1261">
        <v>1</v>
      </c>
      <c r="I1261" t="s">
        <v>6</v>
      </c>
      <c r="J1261" t="s">
        <v>11</v>
      </c>
      <c r="K1261" t="s">
        <v>33</v>
      </c>
      <c r="L1261">
        <v>85</v>
      </c>
      <c r="M1261">
        <v>55.81</v>
      </c>
      <c r="N1261">
        <v>20.329999999999998</v>
      </c>
      <c r="O1261" t="s">
        <v>15</v>
      </c>
      <c r="P1261">
        <v>181</v>
      </c>
      <c r="Q1261">
        <v>166</v>
      </c>
      <c r="R1261">
        <v>83</v>
      </c>
      <c r="S1261">
        <v>60</v>
      </c>
      <c r="T1261" t="s">
        <v>48</v>
      </c>
      <c r="U1261">
        <f>IF(Cardiac_Table[[#This Row],[Patient Status at Discharge]]="Died", 1,0)</f>
        <v>0</v>
      </c>
      <c r="V1261">
        <f>Cardiac_Table[[#This Row],[Risk of Death % (Model 1)]]/100</f>
        <v>0.55810000000000004</v>
      </c>
      <c r="W1261">
        <f>Cardiac_Table[[#This Row],[Risk of Death % (Model 2)]]/100</f>
        <v>0.20329999999999998</v>
      </c>
      <c r="X1261" s="18">
        <f>Cardiac_Table[[#This Row],[Procedure Start Date and Time]]-Cardiac_Table[[#This Row],[Hospital Admit Date ]]</f>
        <v>1.8784722222262644</v>
      </c>
    </row>
    <row r="1262" spans="1:24" x14ac:dyDescent="0.35">
      <c r="A1262">
        <v>1272</v>
      </c>
      <c r="B1262" s="9">
        <v>44171.541666666664</v>
      </c>
      <c r="C1262" s="10">
        <f>INT(Cardiac_Table[[#This Row],[Hospital Admit Date ]])</f>
        <v>44171</v>
      </c>
      <c r="D1262" s="11" t="str">
        <f t="shared" si="19"/>
        <v>13:00</v>
      </c>
      <c r="E1262" s="9">
        <v>44172.513888888891</v>
      </c>
      <c r="F1262" s="10">
        <f>INT(Cardiac_Table[[#This Row],[Procedure Start Date and Time]])</f>
        <v>44172</v>
      </c>
      <c r="G1262" s="12">
        <f>MOD(Cardiac_Table[[#This Row],[Procedure Start Date and Time]],1)</f>
        <v>0.51388888889050577</v>
      </c>
      <c r="H1262">
        <v>4</v>
      </c>
      <c r="I1262" t="s">
        <v>4</v>
      </c>
      <c r="J1262" t="s">
        <v>10</v>
      </c>
      <c r="K1262" t="s">
        <v>23</v>
      </c>
      <c r="L1262">
        <v>72</v>
      </c>
      <c r="M1262">
        <v>5.64</v>
      </c>
      <c r="N1262">
        <v>1.33</v>
      </c>
      <c r="O1262" t="s">
        <v>15</v>
      </c>
      <c r="P1262">
        <v>65</v>
      </c>
      <c r="Q1262">
        <v>165</v>
      </c>
      <c r="R1262">
        <v>80</v>
      </c>
      <c r="S1262">
        <v>55</v>
      </c>
      <c r="T1262" t="s">
        <v>48</v>
      </c>
      <c r="U1262">
        <f>IF(Cardiac_Table[[#This Row],[Patient Status at Discharge]]="Died", 1,0)</f>
        <v>0</v>
      </c>
      <c r="V1262">
        <f>Cardiac_Table[[#This Row],[Risk of Death % (Model 1)]]/100</f>
        <v>5.6399999999999999E-2</v>
      </c>
      <c r="W1262">
        <f>Cardiac_Table[[#This Row],[Risk of Death % (Model 2)]]/100</f>
        <v>1.3300000000000001E-2</v>
      </c>
      <c r="X1262" s="18">
        <f>Cardiac_Table[[#This Row],[Procedure Start Date and Time]]-Cardiac_Table[[#This Row],[Hospital Admit Date ]]</f>
        <v>0.97222222222626442</v>
      </c>
    </row>
    <row r="1263" spans="1:24" x14ac:dyDescent="0.35">
      <c r="A1263">
        <v>1273</v>
      </c>
      <c r="B1263" s="9">
        <v>44172.298611111109</v>
      </c>
      <c r="C1263" s="10">
        <f>INT(Cardiac_Table[[#This Row],[Hospital Admit Date ]])</f>
        <v>44172</v>
      </c>
      <c r="D1263" s="11" t="str">
        <f t="shared" si="19"/>
        <v>07:10</v>
      </c>
      <c r="E1263" s="9">
        <v>44172.584722222222</v>
      </c>
      <c r="F1263" s="10">
        <f>INT(Cardiac_Table[[#This Row],[Procedure Start Date and Time]])</f>
        <v>44172</v>
      </c>
      <c r="G1263" s="12">
        <f>MOD(Cardiac_Table[[#This Row],[Procedure Start Date and Time]],1)</f>
        <v>0.58472222222189885</v>
      </c>
      <c r="H1263">
        <v>1</v>
      </c>
      <c r="I1263" t="s">
        <v>4</v>
      </c>
      <c r="J1263" t="s">
        <v>3</v>
      </c>
      <c r="K1263" t="s">
        <v>33</v>
      </c>
      <c r="L1263">
        <v>61</v>
      </c>
      <c r="M1263">
        <v>1.72</v>
      </c>
      <c r="N1263">
        <v>0.89</v>
      </c>
      <c r="O1263" t="s">
        <v>15</v>
      </c>
      <c r="P1263">
        <v>91</v>
      </c>
      <c r="Q1263">
        <v>164</v>
      </c>
      <c r="R1263">
        <v>76</v>
      </c>
      <c r="S1263">
        <v>60</v>
      </c>
      <c r="T1263" t="s">
        <v>48</v>
      </c>
      <c r="U1263">
        <f>IF(Cardiac_Table[[#This Row],[Patient Status at Discharge]]="Died", 1,0)</f>
        <v>0</v>
      </c>
      <c r="V1263">
        <f>Cardiac_Table[[#This Row],[Risk of Death % (Model 1)]]/100</f>
        <v>1.72E-2</v>
      </c>
      <c r="W1263">
        <f>Cardiac_Table[[#This Row],[Risk of Death % (Model 2)]]/100</f>
        <v>8.8999999999999999E-3</v>
      </c>
      <c r="X1263" s="18">
        <f>Cardiac_Table[[#This Row],[Procedure Start Date and Time]]-Cardiac_Table[[#This Row],[Hospital Admit Date ]]</f>
        <v>0.28611111111240461</v>
      </c>
    </row>
    <row r="1264" spans="1:24" x14ac:dyDescent="0.35">
      <c r="A1264">
        <v>1274</v>
      </c>
      <c r="B1264" s="9">
        <v>44170.583333333336</v>
      </c>
      <c r="C1264" s="10">
        <f>INT(Cardiac_Table[[#This Row],[Hospital Admit Date ]])</f>
        <v>44170</v>
      </c>
      <c r="D1264" s="11" t="str">
        <f t="shared" si="19"/>
        <v>14:00</v>
      </c>
      <c r="E1264" s="9">
        <v>44172.644444444442</v>
      </c>
      <c r="F1264" s="10">
        <f>INT(Cardiac_Table[[#This Row],[Procedure Start Date and Time]])</f>
        <v>44172</v>
      </c>
      <c r="G1264" s="12">
        <f>MOD(Cardiac_Table[[#This Row],[Procedure Start Date and Time]],1)</f>
        <v>0.6444444444423425</v>
      </c>
      <c r="H1264">
        <v>5</v>
      </c>
      <c r="I1264" t="s">
        <v>6</v>
      </c>
      <c r="J1264" t="s">
        <v>3</v>
      </c>
      <c r="K1264" t="s">
        <v>31</v>
      </c>
      <c r="L1264">
        <v>73</v>
      </c>
      <c r="M1264">
        <v>5.13</v>
      </c>
      <c r="N1264">
        <v>1.65</v>
      </c>
      <c r="O1264" t="s">
        <v>15</v>
      </c>
      <c r="P1264">
        <v>94</v>
      </c>
      <c r="Q1264">
        <v>166</v>
      </c>
      <c r="R1264">
        <v>67</v>
      </c>
      <c r="S1264">
        <v>58</v>
      </c>
      <c r="T1264" t="s">
        <v>48</v>
      </c>
      <c r="U1264">
        <f>IF(Cardiac_Table[[#This Row],[Patient Status at Discharge]]="Died", 1,0)</f>
        <v>0</v>
      </c>
      <c r="V1264">
        <f>Cardiac_Table[[#This Row],[Risk of Death % (Model 1)]]/100</f>
        <v>5.1299999999999998E-2</v>
      </c>
      <c r="W1264">
        <f>Cardiac_Table[[#This Row],[Risk of Death % (Model 2)]]/100</f>
        <v>1.6500000000000001E-2</v>
      </c>
      <c r="X1264" s="18">
        <f>Cardiac_Table[[#This Row],[Procedure Start Date and Time]]-Cardiac_Table[[#This Row],[Hospital Admit Date ]]</f>
        <v>2.0611111111065838</v>
      </c>
    </row>
    <row r="1265" spans="1:24" x14ac:dyDescent="0.35">
      <c r="A1265">
        <v>1275</v>
      </c>
      <c r="B1265" s="9">
        <v>44171.544444444444</v>
      </c>
      <c r="C1265" s="10">
        <f>INT(Cardiac_Table[[#This Row],[Hospital Admit Date ]])</f>
        <v>44171</v>
      </c>
      <c r="D1265" s="11" t="str">
        <f t="shared" si="19"/>
        <v>13:04</v>
      </c>
      <c r="E1265" s="9">
        <v>44173.329861111109</v>
      </c>
      <c r="F1265" s="10">
        <f>INT(Cardiac_Table[[#This Row],[Procedure Start Date and Time]])</f>
        <v>44173</v>
      </c>
      <c r="G1265" s="12">
        <f>MOD(Cardiac_Table[[#This Row],[Procedure Start Date and Time]],1)</f>
        <v>0.32986111110949423</v>
      </c>
      <c r="H1265">
        <v>1</v>
      </c>
      <c r="I1265" t="s">
        <v>4</v>
      </c>
      <c r="J1265" t="s">
        <v>10</v>
      </c>
      <c r="K1265" t="s">
        <v>35</v>
      </c>
      <c r="L1265">
        <v>70</v>
      </c>
      <c r="M1265">
        <v>3.08</v>
      </c>
      <c r="N1265">
        <v>1.73</v>
      </c>
      <c r="O1265" t="s">
        <v>15</v>
      </c>
      <c r="P1265">
        <v>80</v>
      </c>
      <c r="Q1265">
        <v>161</v>
      </c>
      <c r="R1265">
        <v>64</v>
      </c>
      <c r="S1265">
        <v>40</v>
      </c>
      <c r="T1265" t="s">
        <v>50</v>
      </c>
      <c r="U1265">
        <f>IF(Cardiac_Table[[#This Row],[Patient Status at Discharge]]="Died", 1,0)</f>
        <v>0</v>
      </c>
      <c r="V1265">
        <f>Cardiac_Table[[#This Row],[Risk of Death % (Model 1)]]/100</f>
        <v>3.0800000000000001E-2</v>
      </c>
      <c r="W1265">
        <f>Cardiac_Table[[#This Row],[Risk of Death % (Model 2)]]/100</f>
        <v>1.7299999999999999E-2</v>
      </c>
      <c r="X1265" s="18">
        <f>Cardiac_Table[[#This Row],[Procedure Start Date and Time]]-Cardiac_Table[[#This Row],[Hospital Admit Date ]]</f>
        <v>1.7854166666656965</v>
      </c>
    </row>
    <row r="1266" spans="1:24" x14ac:dyDescent="0.35">
      <c r="A1266">
        <v>1276</v>
      </c>
      <c r="B1266" s="9">
        <v>44172.6875</v>
      </c>
      <c r="C1266" s="10">
        <f>INT(Cardiac_Table[[#This Row],[Hospital Admit Date ]])</f>
        <v>44172</v>
      </c>
      <c r="D1266" s="11" t="str">
        <f t="shared" si="19"/>
        <v>16:30</v>
      </c>
      <c r="E1266" s="9">
        <v>44173.333333333336</v>
      </c>
      <c r="F1266" s="10">
        <f>INT(Cardiac_Table[[#This Row],[Procedure Start Date and Time]])</f>
        <v>44173</v>
      </c>
      <c r="G1266" s="12">
        <f>MOD(Cardiac_Table[[#This Row],[Procedure Start Date and Time]],1)</f>
        <v>0.33333333333575865</v>
      </c>
      <c r="H1266">
        <v>4</v>
      </c>
      <c r="I1266" t="s">
        <v>4</v>
      </c>
      <c r="J1266" t="s">
        <v>5</v>
      </c>
      <c r="K1266" t="s">
        <v>26</v>
      </c>
      <c r="L1266">
        <v>73</v>
      </c>
      <c r="M1266">
        <v>10.4</v>
      </c>
      <c r="N1266">
        <v>9.82</v>
      </c>
      <c r="O1266" t="s">
        <v>15</v>
      </c>
      <c r="P1266">
        <v>160</v>
      </c>
      <c r="Q1266">
        <v>182</v>
      </c>
      <c r="R1266">
        <v>90</v>
      </c>
      <c r="S1266">
        <v>29</v>
      </c>
      <c r="T1266" t="s">
        <v>49</v>
      </c>
      <c r="U1266">
        <f>IF(Cardiac_Table[[#This Row],[Patient Status at Discharge]]="Died", 1,0)</f>
        <v>0</v>
      </c>
      <c r="V1266">
        <f>Cardiac_Table[[#This Row],[Risk of Death % (Model 1)]]/100</f>
        <v>0.10400000000000001</v>
      </c>
      <c r="W1266">
        <f>Cardiac_Table[[#This Row],[Risk of Death % (Model 2)]]/100</f>
        <v>9.820000000000001E-2</v>
      </c>
      <c r="X1266" s="18">
        <f>Cardiac_Table[[#This Row],[Procedure Start Date and Time]]-Cardiac_Table[[#This Row],[Hospital Admit Date ]]</f>
        <v>0.64583333333575865</v>
      </c>
    </row>
    <row r="1267" spans="1:24" x14ac:dyDescent="0.35">
      <c r="A1267">
        <v>1277</v>
      </c>
      <c r="B1267" s="9">
        <v>44172.666666666664</v>
      </c>
      <c r="C1267" s="10">
        <f>INT(Cardiac_Table[[#This Row],[Hospital Admit Date ]])</f>
        <v>44172</v>
      </c>
      <c r="D1267" s="11" t="str">
        <f t="shared" si="19"/>
        <v>16:00</v>
      </c>
      <c r="E1267" s="9">
        <v>44173.335416666669</v>
      </c>
      <c r="F1267" s="10">
        <f>INT(Cardiac_Table[[#This Row],[Procedure Start Date and Time]])</f>
        <v>44173</v>
      </c>
      <c r="G1267" s="12">
        <f>MOD(Cardiac_Table[[#This Row],[Procedure Start Date and Time]],1)</f>
        <v>0.33541666666860692</v>
      </c>
      <c r="H1267">
        <v>5</v>
      </c>
      <c r="I1267" t="s">
        <v>4</v>
      </c>
      <c r="J1267" t="s">
        <v>3</v>
      </c>
      <c r="K1267" t="s">
        <v>29</v>
      </c>
      <c r="L1267">
        <v>77</v>
      </c>
      <c r="M1267">
        <v>13.2</v>
      </c>
      <c r="N1267">
        <v>2.68</v>
      </c>
      <c r="O1267" t="s">
        <v>15</v>
      </c>
      <c r="P1267">
        <v>129</v>
      </c>
      <c r="Q1267">
        <v>168</v>
      </c>
      <c r="R1267">
        <v>89</v>
      </c>
      <c r="S1267">
        <v>55</v>
      </c>
      <c r="T1267" t="s">
        <v>48</v>
      </c>
      <c r="U1267">
        <f>IF(Cardiac_Table[[#This Row],[Patient Status at Discharge]]="Died", 1,0)</f>
        <v>0</v>
      </c>
      <c r="V1267">
        <f>Cardiac_Table[[#This Row],[Risk of Death % (Model 1)]]/100</f>
        <v>0.13200000000000001</v>
      </c>
      <c r="W1267">
        <f>Cardiac_Table[[#This Row],[Risk of Death % (Model 2)]]/100</f>
        <v>2.6800000000000001E-2</v>
      </c>
      <c r="X1267" s="18">
        <f>Cardiac_Table[[#This Row],[Procedure Start Date and Time]]-Cardiac_Table[[#This Row],[Hospital Admit Date ]]</f>
        <v>0.66875000000436557</v>
      </c>
    </row>
    <row r="1268" spans="1:24" x14ac:dyDescent="0.35">
      <c r="A1268">
        <v>1278</v>
      </c>
      <c r="B1268" s="9">
        <v>44173.296527777777</v>
      </c>
      <c r="C1268" s="10">
        <f>INT(Cardiac_Table[[#This Row],[Hospital Admit Date ]])</f>
        <v>44173</v>
      </c>
      <c r="D1268" s="11" t="str">
        <f t="shared" si="19"/>
        <v>07:07</v>
      </c>
      <c r="E1268" s="9">
        <v>44173.53125</v>
      </c>
      <c r="F1268" s="10">
        <f>INT(Cardiac_Table[[#This Row],[Procedure Start Date and Time]])</f>
        <v>44173</v>
      </c>
      <c r="G1268" s="12">
        <f>MOD(Cardiac_Table[[#This Row],[Procedure Start Date and Time]],1)</f>
        <v>0.53125</v>
      </c>
      <c r="H1268">
        <v>4</v>
      </c>
      <c r="I1268" t="s">
        <v>4</v>
      </c>
      <c r="J1268" t="s">
        <v>11</v>
      </c>
      <c r="K1268" t="s">
        <v>26</v>
      </c>
      <c r="L1268">
        <v>76</v>
      </c>
      <c r="M1268">
        <v>4.53</v>
      </c>
      <c r="N1268">
        <v>1.51</v>
      </c>
      <c r="O1268" t="s">
        <v>15</v>
      </c>
      <c r="P1268">
        <v>106</v>
      </c>
      <c r="Q1268">
        <v>150</v>
      </c>
      <c r="R1268">
        <v>51</v>
      </c>
      <c r="S1268">
        <v>40</v>
      </c>
      <c r="T1268" t="s">
        <v>50</v>
      </c>
      <c r="U1268">
        <f>IF(Cardiac_Table[[#This Row],[Patient Status at Discharge]]="Died", 1,0)</f>
        <v>0</v>
      </c>
      <c r="V1268">
        <f>Cardiac_Table[[#This Row],[Risk of Death % (Model 1)]]/100</f>
        <v>4.53E-2</v>
      </c>
      <c r="W1268">
        <f>Cardiac_Table[[#This Row],[Risk of Death % (Model 2)]]/100</f>
        <v>1.5100000000000001E-2</v>
      </c>
      <c r="X1268" s="18">
        <f>Cardiac_Table[[#This Row],[Procedure Start Date and Time]]-Cardiac_Table[[#This Row],[Hospital Admit Date ]]</f>
        <v>0.23472222222335404</v>
      </c>
    </row>
    <row r="1269" spans="1:24" x14ac:dyDescent="0.35">
      <c r="A1269">
        <v>1279</v>
      </c>
      <c r="B1269" s="9">
        <v>44173.30972222222</v>
      </c>
      <c r="C1269" s="10">
        <f>INT(Cardiac_Table[[#This Row],[Hospital Admit Date ]])</f>
        <v>44173</v>
      </c>
      <c r="D1269" s="11" t="str">
        <f t="shared" si="19"/>
        <v>07:26</v>
      </c>
      <c r="E1269" s="9">
        <v>44173.552083333336</v>
      </c>
      <c r="F1269" s="10">
        <f>INT(Cardiac_Table[[#This Row],[Procedure Start Date and Time]])</f>
        <v>44173</v>
      </c>
      <c r="G1269" s="12">
        <f>MOD(Cardiac_Table[[#This Row],[Procedure Start Date and Time]],1)</f>
        <v>0.55208333333575865</v>
      </c>
      <c r="H1269">
        <v>1</v>
      </c>
      <c r="I1269" t="s">
        <v>4</v>
      </c>
      <c r="J1269" t="s">
        <v>3</v>
      </c>
      <c r="K1269" t="s">
        <v>35</v>
      </c>
      <c r="L1269">
        <v>63</v>
      </c>
      <c r="M1269">
        <v>2.19</v>
      </c>
      <c r="N1269">
        <v>1.03</v>
      </c>
      <c r="O1269" t="s">
        <v>15</v>
      </c>
      <c r="P1269">
        <v>85</v>
      </c>
      <c r="Q1269">
        <v>174</v>
      </c>
      <c r="R1269">
        <v>74</v>
      </c>
      <c r="S1269">
        <v>53</v>
      </c>
      <c r="T1269" t="s">
        <v>48</v>
      </c>
      <c r="U1269">
        <f>IF(Cardiac_Table[[#This Row],[Patient Status at Discharge]]="Died", 1,0)</f>
        <v>0</v>
      </c>
      <c r="V1269">
        <f>Cardiac_Table[[#This Row],[Risk of Death % (Model 1)]]/100</f>
        <v>2.1899999999999999E-2</v>
      </c>
      <c r="W1269">
        <f>Cardiac_Table[[#This Row],[Risk of Death % (Model 2)]]/100</f>
        <v>1.03E-2</v>
      </c>
      <c r="X1269" s="18">
        <f>Cardiac_Table[[#This Row],[Procedure Start Date and Time]]-Cardiac_Table[[#This Row],[Hospital Admit Date ]]</f>
        <v>0.242361111115315</v>
      </c>
    </row>
    <row r="1270" spans="1:24" x14ac:dyDescent="0.35">
      <c r="A1270">
        <v>1280</v>
      </c>
      <c r="B1270" s="9">
        <v>44173.295138888891</v>
      </c>
      <c r="C1270" s="10">
        <f>INT(Cardiac_Table[[#This Row],[Hospital Admit Date ]])</f>
        <v>44173</v>
      </c>
      <c r="D1270" s="11" t="str">
        <f t="shared" si="19"/>
        <v>07:05</v>
      </c>
      <c r="E1270" s="9">
        <v>44173.574999999997</v>
      </c>
      <c r="F1270" s="10">
        <f>INT(Cardiac_Table[[#This Row],[Procedure Start Date and Time]])</f>
        <v>44173</v>
      </c>
      <c r="G1270" s="12">
        <f>MOD(Cardiac_Table[[#This Row],[Procedure Start Date and Time]],1)</f>
        <v>0.57499999999708962</v>
      </c>
      <c r="H1270">
        <v>5</v>
      </c>
      <c r="I1270" t="s">
        <v>6</v>
      </c>
      <c r="J1270" t="s">
        <v>3</v>
      </c>
      <c r="K1270" t="s">
        <v>29</v>
      </c>
      <c r="L1270">
        <v>57</v>
      </c>
      <c r="M1270">
        <v>1.51</v>
      </c>
      <c r="N1270">
        <v>2.39</v>
      </c>
      <c r="O1270" t="s">
        <v>15</v>
      </c>
      <c r="P1270">
        <v>124</v>
      </c>
      <c r="Q1270">
        <v>182</v>
      </c>
      <c r="R1270">
        <v>132</v>
      </c>
      <c r="S1270">
        <v>60</v>
      </c>
      <c r="T1270" t="s">
        <v>48</v>
      </c>
      <c r="U1270">
        <f>IF(Cardiac_Table[[#This Row],[Patient Status at Discharge]]="Died", 1,0)</f>
        <v>0</v>
      </c>
      <c r="V1270">
        <f>Cardiac_Table[[#This Row],[Risk of Death % (Model 1)]]/100</f>
        <v>1.5100000000000001E-2</v>
      </c>
      <c r="W1270">
        <f>Cardiac_Table[[#This Row],[Risk of Death % (Model 2)]]/100</f>
        <v>2.3900000000000001E-2</v>
      </c>
      <c r="X1270" s="18">
        <f>Cardiac_Table[[#This Row],[Procedure Start Date and Time]]-Cardiac_Table[[#This Row],[Hospital Admit Date ]]</f>
        <v>0.27986111110658385</v>
      </c>
    </row>
    <row r="1271" spans="1:24" x14ac:dyDescent="0.35">
      <c r="A1271">
        <v>1281</v>
      </c>
      <c r="B1271" s="9">
        <v>44163.385416666664</v>
      </c>
      <c r="C1271" s="10">
        <f>INT(Cardiac_Table[[#This Row],[Hospital Admit Date ]])</f>
        <v>44163</v>
      </c>
      <c r="D1271" s="11" t="str">
        <f t="shared" si="19"/>
        <v>09:15</v>
      </c>
      <c r="E1271" s="9">
        <v>44174.341666666667</v>
      </c>
      <c r="F1271" s="10">
        <f>INT(Cardiac_Table[[#This Row],[Procedure Start Date and Time]])</f>
        <v>44174</v>
      </c>
      <c r="G1271" s="12">
        <f>MOD(Cardiac_Table[[#This Row],[Procedure Start Date and Time]],1)</f>
        <v>0.34166666666715173</v>
      </c>
      <c r="H1271">
        <v>5</v>
      </c>
      <c r="I1271" t="s">
        <v>6</v>
      </c>
      <c r="J1271" t="s">
        <v>10</v>
      </c>
      <c r="K1271" t="s">
        <v>28</v>
      </c>
      <c r="L1271">
        <v>80</v>
      </c>
      <c r="M1271">
        <v>9.89</v>
      </c>
      <c r="N1271">
        <v>5.36</v>
      </c>
      <c r="O1271" t="s">
        <v>15</v>
      </c>
      <c r="P1271">
        <v>73</v>
      </c>
      <c r="Q1271">
        <v>175</v>
      </c>
      <c r="R1271">
        <v>93</v>
      </c>
      <c r="S1271">
        <v>60</v>
      </c>
      <c r="T1271" t="s">
        <v>48</v>
      </c>
      <c r="U1271">
        <f>IF(Cardiac_Table[[#This Row],[Patient Status at Discharge]]="Died", 1,0)</f>
        <v>0</v>
      </c>
      <c r="V1271">
        <f>Cardiac_Table[[#This Row],[Risk of Death % (Model 1)]]/100</f>
        <v>9.8900000000000002E-2</v>
      </c>
      <c r="W1271">
        <f>Cardiac_Table[[#This Row],[Risk of Death % (Model 2)]]/100</f>
        <v>5.3600000000000002E-2</v>
      </c>
      <c r="X1271" s="18">
        <f>Cardiac_Table[[#This Row],[Procedure Start Date and Time]]-Cardiac_Table[[#This Row],[Hospital Admit Date ]]</f>
        <v>10.95625000000291</v>
      </c>
    </row>
    <row r="1272" spans="1:24" x14ac:dyDescent="0.35">
      <c r="A1272">
        <v>1282</v>
      </c>
      <c r="B1272" s="9">
        <v>44173.666666666664</v>
      </c>
      <c r="C1272" s="10">
        <f>INT(Cardiac_Table[[#This Row],[Hospital Admit Date ]])</f>
        <v>44173</v>
      </c>
      <c r="D1272" s="11" t="str">
        <f t="shared" si="19"/>
        <v>16:00</v>
      </c>
      <c r="E1272" s="9">
        <v>44174.355555555558</v>
      </c>
      <c r="F1272" s="10">
        <f>INT(Cardiac_Table[[#This Row],[Procedure Start Date and Time]])</f>
        <v>44174</v>
      </c>
      <c r="G1272" s="12">
        <f>MOD(Cardiac_Table[[#This Row],[Procedure Start Date and Time]],1)</f>
        <v>0.3555555555576575</v>
      </c>
      <c r="H1272">
        <v>1</v>
      </c>
      <c r="I1272" t="s">
        <v>4</v>
      </c>
      <c r="J1272" t="s">
        <v>3</v>
      </c>
      <c r="K1272" t="s">
        <v>35</v>
      </c>
      <c r="L1272">
        <v>66</v>
      </c>
      <c r="M1272">
        <v>5.26</v>
      </c>
      <c r="N1272">
        <v>2.79</v>
      </c>
      <c r="O1272" t="s">
        <v>15</v>
      </c>
      <c r="P1272">
        <v>64</v>
      </c>
      <c r="Q1272">
        <v>167</v>
      </c>
      <c r="R1272">
        <v>92</v>
      </c>
      <c r="S1272">
        <v>60</v>
      </c>
      <c r="T1272" t="s">
        <v>48</v>
      </c>
      <c r="U1272">
        <f>IF(Cardiac_Table[[#This Row],[Patient Status at Discharge]]="Died", 1,0)</f>
        <v>0</v>
      </c>
      <c r="V1272">
        <f>Cardiac_Table[[#This Row],[Risk of Death % (Model 1)]]/100</f>
        <v>5.2600000000000001E-2</v>
      </c>
      <c r="W1272">
        <f>Cardiac_Table[[#This Row],[Risk of Death % (Model 2)]]/100</f>
        <v>2.7900000000000001E-2</v>
      </c>
      <c r="X1272" s="18">
        <f>Cardiac_Table[[#This Row],[Procedure Start Date and Time]]-Cardiac_Table[[#This Row],[Hospital Admit Date ]]</f>
        <v>0.68888888889341615</v>
      </c>
    </row>
    <row r="1273" spans="1:24" x14ac:dyDescent="0.35">
      <c r="A1273">
        <v>1283</v>
      </c>
      <c r="B1273" s="9">
        <v>44173.586111111108</v>
      </c>
      <c r="C1273" s="10">
        <f>INT(Cardiac_Table[[#This Row],[Hospital Admit Date ]])</f>
        <v>44173</v>
      </c>
      <c r="D1273" s="11" t="str">
        <f t="shared" si="19"/>
        <v>14:04</v>
      </c>
      <c r="E1273" s="9">
        <v>44174.586805555555</v>
      </c>
      <c r="F1273" s="10">
        <f>INT(Cardiac_Table[[#This Row],[Procedure Start Date and Time]])</f>
        <v>44174</v>
      </c>
      <c r="G1273" s="12">
        <f>MOD(Cardiac_Table[[#This Row],[Procedure Start Date and Time]],1)</f>
        <v>0.58680555555474712</v>
      </c>
      <c r="H1273">
        <v>5</v>
      </c>
      <c r="I1273" t="s">
        <v>4</v>
      </c>
      <c r="J1273" t="s">
        <v>3</v>
      </c>
      <c r="K1273" t="s">
        <v>28</v>
      </c>
      <c r="L1273">
        <v>65</v>
      </c>
      <c r="M1273">
        <v>2.23</v>
      </c>
      <c r="N1273">
        <v>1.05</v>
      </c>
      <c r="O1273" t="s">
        <v>15</v>
      </c>
      <c r="P1273">
        <v>71</v>
      </c>
      <c r="Q1273">
        <v>160</v>
      </c>
      <c r="R1273">
        <v>55</v>
      </c>
      <c r="S1273">
        <v>63</v>
      </c>
      <c r="T1273" t="s">
        <v>48</v>
      </c>
      <c r="U1273">
        <f>IF(Cardiac_Table[[#This Row],[Patient Status at Discharge]]="Died", 1,0)</f>
        <v>0</v>
      </c>
      <c r="V1273">
        <f>Cardiac_Table[[#This Row],[Risk of Death % (Model 1)]]/100</f>
        <v>2.23E-2</v>
      </c>
      <c r="W1273">
        <f>Cardiac_Table[[#This Row],[Risk of Death % (Model 2)]]/100</f>
        <v>1.0500000000000001E-2</v>
      </c>
      <c r="X1273" s="18">
        <f>Cardiac_Table[[#This Row],[Procedure Start Date and Time]]-Cardiac_Table[[#This Row],[Hospital Admit Date ]]</f>
        <v>1.0006944444467081</v>
      </c>
    </row>
    <row r="1274" spans="1:24" x14ac:dyDescent="0.35">
      <c r="A1274">
        <v>1284</v>
      </c>
      <c r="B1274" s="9">
        <v>44174.654861111114</v>
      </c>
      <c r="C1274" s="10">
        <f>INT(Cardiac_Table[[#This Row],[Hospital Admit Date ]])</f>
        <v>44174</v>
      </c>
      <c r="D1274" s="11" t="str">
        <f t="shared" si="19"/>
        <v>15:43</v>
      </c>
      <c r="E1274" s="9">
        <v>44175.340277777781</v>
      </c>
      <c r="F1274" s="10">
        <f>INT(Cardiac_Table[[#This Row],[Procedure Start Date and Time]])</f>
        <v>44175</v>
      </c>
      <c r="G1274" s="12">
        <f>MOD(Cardiac_Table[[#This Row],[Procedure Start Date and Time]],1)</f>
        <v>0.34027777778101154</v>
      </c>
      <c r="H1274">
        <v>1</v>
      </c>
      <c r="I1274" t="s">
        <v>4</v>
      </c>
      <c r="J1274" t="s">
        <v>11</v>
      </c>
      <c r="K1274" t="s">
        <v>34</v>
      </c>
      <c r="L1274">
        <v>72</v>
      </c>
      <c r="M1274">
        <v>3.51</v>
      </c>
      <c r="N1274">
        <v>1.81</v>
      </c>
      <c r="O1274" t="s">
        <v>15</v>
      </c>
      <c r="P1274">
        <v>102</v>
      </c>
      <c r="Q1274">
        <v>170</v>
      </c>
      <c r="R1274">
        <v>112</v>
      </c>
      <c r="S1274">
        <v>55</v>
      </c>
      <c r="T1274" t="s">
        <v>48</v>
      </c>
      <c r="U1274">
        <f>IF(Cardiac_Table[[#This Row],[Patient Status at Discharge]]="Died", 1,0)</f>
        <v>0</v>
      </c>
      <c r="V1274">
        <f>Cardiac_Table[[#This Row],[Risk of Death % (Model 1)]]/100</f>
        <v>3.5099999999999999E-2</v>
      </c>
      <c r="W1274">
        <f>Cardiac_Table[[#This Row],[Risk of Death % (Model 2)]]/100</f>
        <v>1.8100000000000002E-2</v>
      </c>
      <c r="X1274" s="18">
        <f>Cardiac_Table[[#This Row],[Procedure Start Date and Time]]-Cardiac_Table[[#This Row],[Hospital Admit Date ]]</f>
        <v>0.68541666666715173</v>
      </c>
    </row>
    <row r="1275" spans="1:24" x14ac:dyDescent="0.35">
      <c r="A1275">
        <v>1285</v>
      </c>
      <c r="B1275" s="9">
        <v>44174.665972222225</v>
      </c>
      <c r="C1275" s="10">
        <f>INT(Cardiac_Table[[#This Row],[Hospital Admit Date ]])</f>
        <v>44174</v>
      </c>
      <c r="D1275" s="11" t="str">
        <f t="shared" si="19"/>
        <v>15:59</v>
      </c>
      <c r="E1275" s="9">
        <v>44175.34375</v>
      </c>
      <c r="F1275" s="10">
        <f>INT(Cardiac_Table[[#This Row],[Procedure Start Date and Time]])</f>
        <v>44175</v>
      </c>
      <c r="G1275" s="12">
        <f>MOD(Cardiac_Table[[#This Row],[Procedure Start Date and Time]],1)</f>
        <v>0.34375</v>
      </c>
      <c r="H1275">
        <v>5</v>
      </c>
      <c r="I1275" t="s">
        <v>4</v>
      </c>
      <c r="J1275" t="s">
        <v>3</v>
      </c>
      <c r="K1275" t="s">
        <v>23</v>
      </c>
      <c r="L1275">
        <v>56</v>
      </c>
      <c r="M1275">
        <v>1.51</v>
      </c>
      <c r="N1275">
        <v>0.56000000000000005</v>
      </c>
      <c r="O1275" t="s">
        <v>15</v>
      </c>
      <c r="P1275">
        <v>90</v>
      </c>
      <c r="Q1275">
        <v>167</v>
      </c>
      <c r="R1275">
        <v>98</v>
      </c>
      <c r="S1275">
        <v>55</v>
      </c>
      <c r="T1275" t="s">
        <v>48</v>
      </c>
      <c r="U1275">
        <f>IF(Cardiac_Table[[#This Row],[Patient Status at Discharge]]="Died", 1,0)</f>
        <v>0</v>
      </c>
      <c r="V1275">
        <f>Cardiac_Table[[#This Row],[Risk of Death % (Model 1)]]/100</f>
        <v>1.5100000000000001E-2</v>
      </c>
      <c r="W1275">
        <f>Cardiac_Table[[#This Row],[Risk of Death % (Model 2)]]/100</f>
        <v>5.6000000000000008E-3</v>
      </c>
      <c r="X1275" s="18">
        <f>Cardiac_Table[[#This Row],[Procedure Start Date and Time]]-Cardiac_Table[[#This Row],[Hospital Admit Date ]]</f>
        <v>0.67777777777519077</v>
      </c>
    </row>
    <row r="1276" spans="1:24" x14ac:dyDescent="0.35">
      <c r="A1276">
        <v>1286</v>
      </c>
      <c r="B1276" s="9">
        <v>44175.25</v>
      </c>
      <c r="C1276" s="10">
        <f>INT(Cardiac_Table[[#This Row],[Hospital Admit Date ]])</f>
        <v>44175</v>
      </c>
      <c r="D1276" s="11" t="str">
        <f t="shared" si="19"/>
        <v>06:00</v>
      </c>
      <c r="E1276" s="9">
        <v>44175.364583333336</v>
      </c>
      <c r="F1276" s="10">
        <f>INT(Cardiac_Table[[#This Row],[Procedure Start Date and Time]])</f>
        <v>44175</v>
      </c>
      <c r="G1276" s="12">
        <f>MOD(Cardiac_Table[[#This Row],[Procedure Start Date and Time]],1)</f>
        <v>0.36458333333575865</v>
      </c>
      <c r="H1276">
        <v>4</v>
      </c>
      <c r="I1276" t="s">
        <v>6</v>
      </c>
      <c r="J1276" t="s">
        <v>10</v>
      </c>
      <c r="K1276" t="s">
        <v>21</v>
      </c>
      <c r="L1276">
        <v>76</v>
      </c>
      <c r="M1276">
        <v>3.7</v>
      </c>
      <c r="N1276">
        <v>1.81</v>
      </c>
      <c r="O1276" t="s">
        <v>15</v>
      </c>
      <c r="P1276">
        <v>101</v>
      </c>
      <c r="Q1276">
        <v>174</v>
      </c>
      <c r="R1276">
        <v>81</v>
      </c>
      <c r="S1276">
        <v>70</v>
      </c>
      <c r="T1276" t="s">
        <v>48</v>
      </c>
      <c r="U1276">
        <f>IF(Cardiac_Table[[#This Row],[Patient Status at Discharge]]="Died", 1,0)</f>
        <v>0</v>
      </c>
      <c r="V1276">
        <f>Cardiac_Table[[#This Row],[Risk of Death % (Model 1)]]/100</f>
        <v>3.7000000000000005E-2</v>
      </c>
      <c r="W1276">
        <f>Cardiac_Table[[#This Row],[Risk of Death % (Model 2)]]/100</f>
        <v>1.8100000000000002E-2</v>
      </c>
      <c r="X1276" s="18">
        <f>Cardiac_Table[[#This Row],[Procedure Start Date and Time]]-Cardiac_Table[[#This Row],[Hospital Admit Date ]]</f>
        <v>0.11458333333575865</v>
      </c>
    </row>
    <row r="1277" spans="1:24" x14ac:dyDescent="0.35">
      <c r="A1277">
        <v>1287</v>
      </c>
      <c r="B1277" s="9">
        <v>44154.453472222223</v>
      </c>
      <c r="C1277" s="10">
        <f>INT(Cardiac_Table[[#This Row],[Hospital Admit Date ]])</f>
        <v>44154</v>
      </c>
      <c r="D1277" s="11" t="str">
        <f t="shared" si="19"/>
        <v>10:53</v>
      </c>
      <c r="E1277" s="9">
        <v>44175.5625</v>
      </c>
      <c r="F1277" s="10">
        <f>INT(Cardiac_Table[[#This Row],[Procedure Start Date and Time]])</f>
        <v>44175</v>
      </c>
      <c r="G1277" s="12">
        <f>MOD(Cardiac_Table[[#This Row],[Procedure Start Date and Time]],1)</f>
        <v>0.5625</v>
      </c>
      <c r="H1277">
        <v>4</v>
      </c>
      <c r="I1277" t="s">
        <v>6</v>
      </c>
      <c r="J1277" t="s">
        <v>3</v>
      </c>
      <c r="K1277" t="s">
        <v>21</v>
      </c>
      <c r="L1277">
        <v>56</v>
      </c>
      <c r="M1277">
        <v>1.51</v>
      </c>
      <c r="N1277">
        <v>1.31</v>
      </c>
      <c r="O1277" t="s">
        <v>15</v>
      </c>
      <c r="P1277">
        <v>86</v>
      </c>
      <c r="Q1277">
        <v>177</v>
      </c>
      <c r="R1277">
        <v>92</v>
      </c>
      <c r="S1277">
        <v>60</v>
      </c>
      <c r="T1277" t="s">
        <v>48</v>
      </c>
      <c r="U1277">
        <f>IF(Cardiac_Table[[#This Row],[Patient Status at Discharge]]="Died", 1,0)</f>
        <v>0</v>
      </c>
      <c r="V1277">
        <f>Cardiac_Table[[#This Row],[Risk of Death % (Model 1)]]/100</f>
        <v>1.5100000000000001E-2</v>
      </c>
      <c r="W1277">
        <f>Cardiac_Table[[#This Row],[Risk of Death % (Model 2)]]/100</f>
        <v>1.3100000000000001E-2</v>
      </c>
      <c r="X1277" s="18">
        <f>Cardiac_Table[[#This Row],[Procedure Start Date and Time]]-Cardiac_Table[[#This Row],[Hospital Admit Date ]]</f>
        <v>21.109027777776646</v>
      </c>
    </row>
    <row r="1278" spans="1:24" x14ac:dyDescent="0.35">
      <c r="A1278">
        <v>1288</v>
      </c>
      <c r="B1278" s="9">
        <v>44175.291666666664</v>
      </c>
      <c r="C1278" s="10">
        <f>INT(Cardiac_Table[[#This Row],[Hospital Admit Date ]])</f>
        <v>44175</v>
      </c>
      <c r="D1278" s="11" t="str">
        <f t="shared" si="19"/>
        <v>07:00</v>
      </c>
      <c r="E1278" s="9">
        <v>44175.618055555555</v>
      </c>
      <c r="F1278" s="10">
        <f>INT(Cardiac_Table[[#This Row],[Procedure Start Date and Time]])</f>
        <v>44175</v>
      </c>
      <c r="G1278" s="12">
        <f>MOD(Cardiac_Table[[#This Row],[Procedure Start Date and Time]],1)</f>
        <v>0.61805555555474712</v>
      </c>
      <c r="H1278">
        <v>5</v>
      </c>
      <c r="I1278" t="s">
        <v>4</v>
      </c>
      <c r="J1278" t="s">
        <v>10</v>
      </c>
      <c r="K1278" t="s">
        <v>23</v>
      </c>
      <c r="L1278">
        <v>70</v>
      </c>
      <c r="M1278">
        <v>1.82</v>
      </c>
      <c r="N1278">
        <v>0.66</v>
      </c>
      <c r="O1278" t="s">
        <v>15</v>
      </c>
      <c r="P1278">
        <v>84</v>
      </c>
      <c r="Q1278">
        <v>172</v>
      </c>
      <c r="R1278">
        <v>85</v>
      </c>
      <c r="S1278">
        <v>70</v>
      </c>
      <c r="T1278" t="s">
        <v>48</v>
      </c>
      <c r="U1278">
        <f>IF(Cardiac_Table[[#This Row],[Patient Status at Discharge]]="Died", 1,0)</f>
        <v>0</v>
      </c>
      <c r="V1278">
        <f>Cardiac_Table[[#This Row],[Risk of Death % (Model 1)]]/100</f>
        <v>1.8200000000000001E-2</v>
      </c>
      <c r="W1278">
        <f>Cardiac_Table[[#This Row],[Risk of Death % (Model 2)]]/100</f>
        <v>6.6E-3</v>
      </c>
      <c r="X1278" s="18">
        <f>Cardiac_Table[[#This Row],[Procedure Start Date and Time]]-Cardiac_Table[[#This Row],[Hospital Admit Date ]]</f>
        <v>0.32638888889050577</v>
      </c>
    </row>
    <row r="1279" spans="1:24" x14ac:dyDescent="0.35">
      <c r="A1279">
        <v>1289</v>
      </c>
      <c r="B1279" s="9">
        <v>44174.717361111114</v>
      </c>
      <c r="C1279" s="10">
        <f>INT(Cardiac_Table[[#This Row],[Hospital Admit Date ]])</f>
        <v>44174</v>
      </c>
      <c r="D1279" s="11" t="str">
        <f t="shared" si="19"/>
        <v>17:13</v>
      </c>
      <c r="E1279" s="9">
        <v>44175.791666666664</v>
      </c>
      <c r="F1279" s="10">
        <f>INT(Cardiac_Table[[#This Row],[Procedure Start Date and Time]])</f>
        <v>44175</v>
      </c>
      <c r="G1279" s="12">
        <f>MOD(Cardiac_Table[[#This Row],[Procedure Start Date and Time]],1)</f>
        <v>0.79166666666424135</v>
      </c>
      <c r="H1279">
        <v>1</v>
      </c>
      <c r="I1279" t="s">
        <v>2</v>
      </c>
      <c r="J1279" t="s">
        <v>3</v>
      </c>
      <c r="K1279" t="s">
        <v>23</v>
      </c>
      <c r="L1279">
        <v>53</v>
      </c>
      <c r="M1279">
        <v>11.54</v>
      </c>
      <c r="N1279">
        <v>2.2999999999999998</v>
      </c>
      <c r="O1279" t="s">
        <v>15</v>
      </c>
      <c r="P1279">
        <v>124</v>
      </c>
      <c r="Q1279">
        <v>179</v>
      </c>
      <c r="R1279">
        <v>93</v>
      </c>
      <c r="S1279">
        <v>40</v>
      </c>
      <c r="T1279" t="s">
        <v>50</v>
      </c>
      <c r="U1279">
        <f>IF(Cardiac_Table[[#This Row],[Patient Status at Discharge]]="Died", 1,0)</f>
        <v>0</v>
      </c>
      <c r="V1279">
        <f>Cardiac_Table[[#This Row],[Risk of Death % (Model 1)]]/100</f>
        <v>0.11539999999999999</v>
      </c>
      <c r="W1279">
        <f>Cardiac_Table[[#This Row],[Risk of Death % (Model 2)]]/100</f>
        <v>2.3E-2</v>
      </c>
      <c r="X1279" s="18">
        <f>Cardiac_Table[[#This Row],[Procedure Start Date and Time]]-Cardiac_Table[[#This Row],[Hospital Admit Date ]]</f>
        <v>1.0743055555503815</v>
      </c>
    </row>
    <row r="1280" spans="1:24" x14ac:dyDescent="0.35">
      <c r="A1280">
        <v>1290</v>
      </c>
      <c r="B1280" s="9">
        <v>44174.407638888886</v>
      </c>
      <c r="C1280" s="10">
        <f>INT(Cardiac_Table[[#This Row],[Hospital Admit Date ]])</f>
        <v>44174</v>
      </c>
      <c r="D1280" s="11" t="str">
        <f t="shared" si="19"/>
        <v>09:47</v>
      </c>
      <c r="E1280" s="9">
        <v>44176.333333333336</v>
      </c>
      <c r="F1280" s="10">
        <f>INT(Cardiac_Table[[#This Row],[Procedure Start Date and Time]])</f>
        <v>44176</v>
      </c>
      <c r="G1280" s="12">
        <f>MOD(Cardiac_Table[[#This Row],[Procedure Start Date and Time]],1)</f>
        <v>0.33333333333575865</v>
      </c>
      <c r="H1280">
        <v>5</v>
      </c>
      <c r="I1280" t="s">
        <v>6</v>
      </c>
      <c r="J1280" t="s">
        <v>10</v>
      </c>
      <c r="K1280" t="s">
        <v>24</v>
      </c>
      <c r="L1280">
        <v>65</v>
      </c>
      <c r="M1280">
        <v>2.4900000000000002</v>
      </c>
      <c r="N1280">
        <v>1.8</v>
      </c>
      <c r="O1280" t="s">
        <v>15</v>
      </c>
      <c r="P1280">
        <v>67</v>
      </c>
      <c r="Q1280">
        <v>174</v>
      </c>
      <c r="R1280">
        <v>85</v>
      </c>
      <c r="S1280">
        <v>54</v>
      </c>
      <c r="T1280" t="s">
        <v>48</v>
      </c>
      <c r="U1280">
        <f>IF(Cardiac_Table[[#This Row],[Patient Status at Discharge]]="Died", 1,0)</f>
        <v>0</v>
      </c>
      <c r="V1280">
        <f>Cardiac_Table[[#This Row],[Risk of Death % (Model 1)]]/100</f>
        <v>2.4900000000000002E-2</v>
      </c>
      <c r="W1280">
        <f>Cardiac_Table[[#This Row],[Risk of Death % (Model 2)]]/100</f>
        <v>1.8000000000000002E-2</v>
      </c>
      <c r="X1280" s="18">
        <f>Cardiac_Table[[#This Row],[Procedure Start Date and Time]]-Cardiac_Table[[#This Row],[Hospital Admit Date ]]</f>
        <v>1.9256944444496185</v>
      </c>
    </row>
    <row r="1281" spans="1:24" x14ac:dyDescent="0.35">
      <c r="A1281">
        <v>1291</v>
      </c>
      <c r="B1281" s="9">
        <v>44175.681944444441</v>
      </c>
      <c r="C1281" s="10">
        <f>INT(Cardiac_Table[[#This Row],[Hospital Admit Date ]])</f>
        <v>44175</v>
      </c>
      <c r="D1281" s="11" t="str">
        <f t="shared" si="19"/>
        <v>16:22</v>
      </c>
      <c r="E1281" s="9">
        <v>44176.336805555555</v>
      </c>
      <c r="F1281" s="10">
        <f>INT(Cardiac_Table[[#This Row],[Procedure Start Date and Time]])</f>
        <v>44176</v>
      </c>
      <c r="G1281" s="12">
        <f>MOD(Cardiac_Table[[#This Row],[Procedure Start Date and Time]],1)</f>
        <v>0.33680555555474712</v>
      </c>
      <c r="H1281">
        <v>3</v>
      </c>
      <c r="I1281" t="s">
        <v>6</v>
      </c>
      <c r="J1281" t="s">
        <v>10</v>
      </c>
      <c r="K1281" t="s">
        <v>30</v>
      </c>
      <c r="L1281">
        <v>70</v>
      </c>
      <c r="M1281">
        <v>1.82</v>
      </c>
      <c r="N1281">
        <v>1.22</v>
      </c>
      <c r="O1281" t="s">
        <v>15</v>
      </c>
      <c r="P1281">
        <v>83</v>
      </c>
      <c r="Q1281">
        <v>174</v>
      </c>
      <c r="R1281">
        <v>72</v>
      </c>
      <c r="S1281">
        <v>24</v>
      </c>
      <c r="T1281" t="s">
        <v>49</v>
      </c>
      <c r="U1281">
        <f>IF(Cardiac_Table[[#This Row],[Patient Status at Discharge]]="Died", 1,0)</f>
        <v>0</v>
      </c>
      <c r="V1281">
        <f>Cardiac_Table[[#This Row],[Risk of Death % (Model 1)]]/100</f>
        <v>1.8200000000000001E-2</v>
      </c>
      <c r="W1281">
        <f>Cardiac_Table[[#This Row],[Risk of Death % (Model 2)]]/100</f>
        <v>1.2199999999999999E-2</v>
      </c>
      <c r="X1281" s="18">
        <f>Cardiac_Table[[#This Row],[Procedure Start Date and Time]]-Cardiac_Table[[#This Row],[Hospital Admit Date ]]</f>
        <v>0.65486111111385981</v>
      </c>
    </row>
    <row r="1282" spans="1:24" x14ac:dyDescent="0.35">
      <c r="A1282">
        <v>1292</v>
      </c>
      <c r="B1282" s="9">
        <v>44175.666666666664</v>
      </c>
      <c r="C1282" s="10">
        <f>INT(Cardiac_Table[[#This Row],[Hospital Admit Date ]])</f>
        <v>44175</v>
      </c>
      <c r="D1282" s="11" t="str">
        <f t="shared" ref="D1282:D1336" si="20">TEXT(B1282,"HH:MM")</f>
        <v>16:00</v>
      </c>
      <c r="E1282" s="9">
        <v>44176.338194444441</v>
      </c>
      <c r="F1282" s="10">
        <f>INT(Cardiac_Table[[#This Row],[Procedure Start Date and Time]])</f>
        <v>44176</v>
      </c>
      <c r="G1282" s="12">
        <f>MOD(Cardiac_Table[[#This Row],[Procedure Start Date and Time]],1)</f>
        <v>0.33819444444088731</v>
      </c>
      <c r="H1282">
        <v>1</v>
      </c>
      <c r="I1282" t="s">
        <v>4</v>
      </c>
      <c r="J1282" t="s">
        <v>11</v>
      </c>
      <c r="K1282" t="s">
        <v>35</v>
      </c>
      <c r="L1282">
        <v>84</v>
      </c>
      <c r="M1282">
        <v>11.69</v>
      </c>
      <c r="N1282">
        <v>5.46</v>
      </c>
      <c r="O1282" t="s">
        <v>15</v>
      </c>
      <c r="P1282">
        <v>90</v>
      </c>
      <c r="Q1282">
        <v>178</v>
      </c>
      <c r="R1282">
        <v>80</v>
      </c>
      <c r="S1282">
        <v>55</v>
      </c>
      <c r="T1282" t="s">
        <v>48</v>
      </c>
      <c r="U1282">
        <f>IF(Cardiac_Table[[#This Row],[Patient Status at Discharge]]="Died", 1,0)</f>
        <v>0</v>
      </c>
      <c r="V1282">
        <f>Cardiac_Table[[#This Row],[Risk of Death % (Model 1)]]/100</f>
        <v>0.11689999999999999</v>
      </c>
      <c r="W1282">
        <f>Cardiac_Table[[#This Row],[Risk of Death % (Model 2)]]/100</f>
        <v>5.4600000000000003E-2</v>
      </c>
      <c r="X1282" s="18">
        <f>Cardiac_Table[[#This Row],[Procedure Start Date and Time]]-Cardiac_Table[[#This Row],[Hospital Admit Date ]]</f>
        <v>0.67152777777664596</v>
      </c>
    </row>
    <row r="1283" spans="1:24" x14ac:dyDescent="0.35">
      <c r="A1283">
        <v>1293</v>
      </c>
      <c r="B1283" s="9">
        <v>44174.602083333331</v>
      </c>
      <c r="C1283" s="10">
        <f>INT(Cardiac_Table[[#This Row],[Hospital Admit Date ]])</f>
        <v>44174</v>
      </c>
      <c r="D1283" s="11" t="str">
        <f t="shared" si="20"/>
        <v>14:27</v>
      </c>
      <c r="E1283" s="9">
        <v>44176.34375</v>
      </c>
      <c r="F1283" s="10">
        <f>INT(Cardiac_Table[[#This Row],[Procedure Start Date and Time]])</f>
        <v>44176</v>
      </c>
      <c r="G1283" s="12">
        <f>MOD(Cardiac_Table[[#This Row],[Procedure Start Date and Time]],1)</f>
        <v>0.34375</v>
      </c>
      <c r="H1283">
        <v>4</v>
      </c>
      <c r="I1283" t="s">
        <v>6</v>
      </c>
      <c r="J1283" t="s">
        <v>10</v>
      </c>
      <c r="K1283" t="s">
        <v>21</v>
      </c>
      <c r="L1283">
        <v>66</v>
      </c>
      <c r="M1283">
        <v>1.93</v>
      </c>
      <c r="N1283">
        <v>0.74</v>
      </c>
      <c r="O1283" t="s">
        <v>15</v>
      </c>
      <c r="P1283">
        <v>76</v>
      </c>
      <c r="Q1283">
        <v>160</v>
      </c>
      <c r="R1283">
        <v>67</v>
      </c>
      <c r="S1283">
        <v>34</v>
      </c>
      <c r="T1283" t="s">
        <v>50</v>
      </c>
      <c r="U1283">
        <f>IF(Cardiac_Table[[#This Row],[Patient Status at Discharge]]="Died", 1,0)</f>
        <v>0</v>
      </c>
      <c r="V1283">
        <f>Cardiac_Table[[#This Row],[Risk of Death % (Model 1)]]/100</f>
        <v>1.9299999999999998E-2</v>
      </c>
      <c r="W1283">
        <f>Cardiac_Table[[#This Row],[Risk of Death % (Model 2)]]/100</f>
        <v>7.4000000000000003E-3</v>
      </c>
      <c r="X1283" s="18">
        <f>Cardiac_Table[[#This Row],[Procedure Start Date and Time]]-Cardiac_Table[[#This Row],[Hospital Admit Date ]]</f>
        <v>1.7416666666686069</v>
      </c>
    </row>
    <row r="1284" spans="1:24" x14ac:dyDescent="0.35">
      <c r="A1284">
        <v>1294</v>
      </c>
      <c r="B1284" s="9">
        <v>44176.293749999997</v>
      </c>
      <c r="C1284" s="10">
        <f>INT(Cardiac_Table[[#This Row],[Hospital Admit Date ]])</f>
        <v>44176</v>
      </c>
      <c r="D1284" s="11" t="str">
        <f t="shared" si="20"/>
        <v>07:03</v>
      </c>
      <c r="E1284" s="9">
        <v>44176.527777777781</v>
      </c>
      <c r="F1284" s="10">
        <f>INT(Cardiac_Table[[#This Row],[Procedure Start Date and Time]])</f>
        <v>44176</v>
      </c>
      <c r="G1284" s="12">
        <f>MOD(Cardiac_Table[[#This Row],[Procedure Start Date and Time]],1)</f>
        <v>0.52777777778101154</v>
      </c>
      <c r="H1284">
        <v>3</v>
      </c>
      <c r="I1284" t="s">
        <v>4</v>
      </c>
      <c r="J1284" t="s">
        <v>11</v>
      </c>
      <c r="K1284" t="s">
        <v>30</v>
      </c>
      <c r="L1284">
        <v>73</v>
      </c>
      <c r="M1284">
        <v>3.74</v>
      </c>
      <c r="N1284">
        <v>1.38</v>
      </c>
      <c r="O1284" t="s">
        <v>15</v>
      </c>
      <c r="P1284">
        <v>83</v>
      </c>
      <c r="Q1284">
        <v>175</v>
      </c>
      <c r="R1284">
        <v>73</v>
      </c>
      <c r="S1284">
        <v>55</v>
      </c>
      <c r="T1284" t="s">
        <v>48</v>
      </c>
      <c r="U1284">
        <f>IF(Cardiac_Table[[#This Row],[Patient Status at Discharge]]="Died", 1,0)</f>
        <v>0</v>
      </c>
      <c r="V1284">
        <f>Cardiac_Table[[#This Row],[Risk of Death % (Model 1)]]/100</f>
        <v>3.7400000000000003E-2</v>
      </c>
      <c r="W1284">
        <f>Cardiac_Table[[#This Row],[Risk of Death % (Model 2)]]/100</f>
        <v>1.38E-2</v>
      </c>
      <c r="X1284" s="18">
        <f>Cardiac_Table[[#This Row],[Procedure Start Date and Time]]-Cardiac_Table[[#This Row],[Hospital Admit Date ]]</f>
        <v>0.23402777778392192</v>
      </c>
    </row>
    <row r="1285" spans="1:24" x14ac:dyDescent="0.35">
      <c r="A1285">
        <v>1295</v>
      </c>
      <c r="B1285" s="9">
        <v>44176.295138888891</v>
      </c>
      <c r="C1285" s="10">
        <f>INT(Cardiac_Table[[#This Row],[Hospital Admit Date ]])</f>
        <v>44176</v>
      </c>
      <c r="D1285" s="11" t="str">
        <f t="shared" si="20"/>
        <v>07:05</v>
      </c>
      <c r="E1285" s="9">
        <v>44176.559027777781</v>
      </c>
      <c r="F1285" s="10">
        <f>INT(Cardiac_Table[[#This Row],[Procedure Start Date and Time]])</f>
        <v>44176</v>
      </c>
      <c r="G1285" s="12">
        <f>MOD(Cardiac_Table[[#This Row],[Procedure Start Date and Time]],1)</f>
        <v>0.55902777778101154</v>
      </c>
      <c r="H1285">
        <v>4</v>
      </c>
      <c r="I1285" t="s">
        <v>4</v>
      </c>
      <c r="J1285" t="s">
        <v>3</v>
      </c>
      <c r="K1285" t="s">
        <v>21</v>
      </c>
      <c r="L1285">
        <v>68</v>
      </c>
      <c r="M1285">
        <v>2.71</v>
      </c>
      <c r="N1285">
        <v>0.63</v>
      </c>
      <c r="O1285" t="s">
        <v>15</v>
      </c>
      <c r="P1285">
        <v>86</v>
      </c>
      <c r="Q1285">
        <v>168</v>
      </c>
      <c r="R1285">
        <v>80</v>
      </c>
      <c r="S1285">
        <v>41</v>
      </c>
      <c r="T1285" t="s">
        <v>50</v>
      </c>
      <c r="U1285">
        <f>IF(Cardiac_Table[[#This Row],[Patient Status at Discharge]]="Died", 1,0)</f>
        <v>0</v>
      </c>
      <c r="V1285">
        <f>Cardiac_Table[[#This Row],[Risk of Death % (Model 1)]]/100</f>
        <v>2.7099999999999999E-2</v>
      </c>
      <c r="W1285">
        <f>Cardiac_Table[[#This Row],[Risk of Death % (Model 2)]]/100</f>
        <v>6.3E-3</v>
      </c>
      <c r="X1285" s="18">
        <f>Cardiac_Table[[#This Row],[Procedure Start Date and Time]]-Cardiac_Table[[#This Row],[Hospital Admit Date ]]</f>
        <v>0.26388888889050577</v>
      </c>
    </row>
    <row r="1286" spans="1:24" x14ac:dyDescent="0.35">
      <c r="A1286">
        <v>1296</v>
      </c>
      <c r="B1286" s="9">
        <v>44176.332638888889</v>
      </c>
      <c r="C1286" s="10">
        <f>INT(Cardiac_Table[[#This Row],[Hospital Admit Date ]])</f>
        <v>44176</v>
      </c>
      <c r="D1286" s="11" t="str">
        <f t="shared" si="20"/>
        <v>07:59</v>
      </c>
      <c r="E1286" s="9">
        <v>44176.583333333336</v>
      </c>
      <c r="F1286" s="10">
        <f>INT(Cardiac_Table[[#This Row],[Procedure Start Date and Time]])</f>
        <v>44176</v>
      </c>
      <c r="G1286" s="12">
        <f>MOD(Cardiac_Table[[#This Row],[Procedure Start Date and Time]],1)</f>
        <v>0.58333333333575865</v>
      </c>
      <c r="H1286">
        <v>1</v>
      </c>
      <c r="I1286" t="s">
        <v>4</v>
      </c>
      <c r="J1286" t="s">
        <v>3</v>
      </c>
      <c r="K1286" t="s">
        <v>35</v>
      </c>
      <c r="L1286">
        <v>67</v>
      </c>
      <c r="M1286">
        <v>3.5</v>
      </c>
      <c r="N1286">
        <v>2.19</v>
      </c>
      <c r="O1286" t="s">
        <v>15</v>
      </c>
      <c r="P1286">
        <v>70</v>
      </c>
      <c r="Q1286">
        <v>165</v>
      </c>
      <c r="R1286">
        <v>66</v>
      </c>
      <c r="S1286">
        <v>55</v>
      </c>
      <c r="T1286" t="s">
        <v>48</v>
      </c>
      <c r="U1286">
        <f>IF(Cardiac_Table[[#This Row],[Patient Status at Discharge]]="Died", 1,0)</f>
        <v>0</v>
      </c>
      <c r="V1286">
        <f>Cardiac_Table[[#This Row],[Risk of Death % (Model 1)]]/100</f>
        <v>3.5000000000000003E-2</v>
      </c>
      <c r="W1286">
        <f>Cardiac_Table[[#This Row],[Risk of Death % (Model 2)]]/100</f>
        <v>2.1899999999999999E-2</v>
      </c>
      <c r="X1286" s="18">
        <f>Cardiac_Table[[#This Row],[Procedure Start Date and Time]]-Cardiac_Table[[#This Row],[Hospital Admit Date ]]</f>
        <v>0.25069444444670808</v>
      </c>
    </row>
    <row r="1287" spans="1:24" x14ac:dyDescent="0.35">
      <c r="A1287">
        <v>1297</v>
      </c>
      <c r="B1287" s="9">
        <v>44176.305555555555</v>
      </c>
      <c r="C1287" s="10">
        <f>INT(Cardiac_Table[[#This Row],[Hospital Admit Date ]])</f>
        <v>44176</v>
      </c>
      <c r="D1287" s="11" t="str">
        <f t="shared" si="20"/>
        <v>07:20</v>
      </c>
      <c r="E1287" s="9">
        <v>44176.635416666664</v>
      </c>
      <c r="F1287" s="10">
        <f>INT(Cardiac_Table[[#This Row],[Procedure Start Date and Time]])</f>
        <v>44176</v>
      </c>
      <c r="G1287" s="12">
        <f>MOD(Cardiac_Table[[#This Row],[Procedure Start Date and Time]],1)</f>
        <v>0.63541666666424135</v>
      </c>
      <c r="H1287">
        <v>5</v>
      </c>
      <c r="I1287" t="s">
        <v>4</v>
      </c>
      <c r="J1287" t="s">
        <v>10</v>
      </c>
      <c r="K1287" t="s">
        <v>24</v>
      </c>
      <c r="L1287">
        <v>64</v>
      </c>
      <c r="M1287">
        <v>3</v>
      </c>
      <c r="N1287">
        <v>1.76</v>
      </c>
      <c r="O1287" t="s">
        <v>15</v>
      </c>
      <c r="P1287">
        <v>96</v>
      </c>
      <c r="Q1287">
        <v>184</v>
      </c>
      <c r="R1287">
        <v>73</v>
      </c>
      <c r="S1287">
        <v>29</v>
      </c>
      <c r="T1287" t="s">
        <v>49</v>
      </c>
      <c r="U1287">
        <f>IF(Cardiac_Table[[#This Row],[Patient Status at Discharge]]="Died", 1,0)</f>
        <v>0</v>
      </c>
      <c r="V1287">
        <f>Cardiac_Table[[#This Row],[Risk of Death % (Model 1)]]/100</f>
        <v>0.03</v>
      </c>
      <c r="W1287">
        <f>Cardiac_Table[[#This Row],[Risk of Death % (Model 2)]]/100</f>
        <v>1.7600000000000001E-2</v>
      </c>
      <c r="X1287" s="18">
        <f>Cardiac_Table[[#This Row],[Procedure Start Date and Time]]-Cardiac_Table[[#This Row],[Hospital Admit Date ]]</f>
        <v>0.32986111110949423</v>
      </c>
    </row>
    <row r="1288" spans="1:24" x14ac:dyDescent="0.35">
      <c r="A1288">
        <v>1298</v>
      </c>
      <c r="B1288" s="9">
        <v>44176.663194444445</v>
      </c>
      <c r="C1288" s="10">
        <f>INT(Cardiac_Table[[#This Row],[Hospital Admit Date ]])</f>
        <v>44176</v>
      </c>
      <c r="D1288" s="11" t="str">
        <f t="shared" si="20"/>
        <v>15:55</v>
      </c>
      <c r="E1288" s="9">
        <v>44177.336805555555</v>
      </c>
      <c r="F1288" s="10">
        <f>INT(Cardiac_Table[[#This Row],[Procedure Start Date and Time]])</f>
        <v>44177</v>
      </c>
      <c r="G1288" s="12">
        <f>MOD(Cardiac_Table[[#This Row],[Procedure Start Date and Time]],1)</f>
        <v>0.33680555555474712</v>
      </c>
      <c r="H1288">
        <v>5</v>
      </c>
      <c r="I1288" t="s">
        <v>4</v>
      </c>
      <c r="J1288" t="s">
        <v>10</v>
      </c>
      <c r="K1288" t="s">
        <v>26</v>
      </c>
      <c r="L1288">
        <v>52</v>
      </c>
      <c r="M1288">
        <v>0.88</v>
      </c>
      <c r="N1288">
        <v>0.56000000000000005</v>
      </c>
      <c r="O1288" t="s">
        <v>15</v>
      </c>
      <c r="P1288">
        <v>86</v>
      </c>
      <c r="Q1288">
        <v>174</v>
      </c>
      <c r="R1288">
        <v>89</v>
      </c>
      <c r="S1288">
        <v>45</v>
      </c>
      <c r="T1288" t="s">
        <v>50</v>
      </c>
      <c r="U1288">
        <f>IF(Cardiac_Table[[#This Row],[Patient Status at Discharge]]="Died", 1,0)</f>
        <v>0</v>
      </c>
      <c r="V1288">
        <f>Cardiac_Table[[#This Row],[Risk of Death % (Model 1)]]/100</f>
        <v>8.8000000000000005E-3</v>
      </c>
      <c r="W1288">
        <f>Cardiac_Table[[#This Row],[Risk of Death % (Model 2)]]/100</f>
        <v>5.6000000000000008E-3</v>
      </c>
      <c r="X1288" s="18">
        <f>Cardiac_Table[[#This Row],[Procedure Start Date and Time]]-Cardiac_Table[[#This Row],[Hospital Admit Date ]]</f>
        <v>0.67361111110949423</v>
      </c>
    </row>
    <row r="1289" spans="1:24" x14ac:dyDescent="0.35">
      <c r="A1289">
        <v>1299</v>
      </c>
      <c r="B1289" s="9">
        <v>44174.5</v>
      </c>
      <c r="C1289" s="10">
        <f>INT(Cardiac_Table[[#This Row],[Hospital Admit Date ]])</f>
        <v>44174</v>
      </c>
      <c r="D1289" s="11" t="str">
        <f t="shared" si="20"/>
        <v>12:00</v>
      </c>
      <c r="E1289" s="9">
        <v>44177.336805555555</v>
      </c>
      <c r="F1289" s="10">
        <f>INT(Cardiac_Table[[#This Row],[Procedure Start Date and Time]])</f>
        <v>44177</v>
      </c>
      <c r="G1289" s="12">
        <f>MOD(Cardiac_Table[[#This Row],[Procedure Start Date and Time]],1)</f>
        <v>0.33680555555474712</v>
      </c>
      <c r="H1289">
        <v>4</v>
      </c>
      <c r="I1289" t="s">
        <v>4</v>
      </c>
      <c r="J1289" t="s">
        <v>3</v>
      </c>
      <c r="K1289" t="s">
        <v>35</v>
      </c>
      <c r="L1289">
        <v>71</v>
      </c>
      <c r="M1289">
        <v>21.8</v>
      </c>
      <c r="N1289">
        <v>6.34</v>
      </c>
      <c r="O1289" t="s">
        <v>15</v>
      </c>
      <c r="P1289">
        <v>100</v>
      </c>
      <c r="Q1289">
        <v>165</v>
      </c>
      <c r="R1289">
        <v>49</v>
      </c>
      <c r="S1289">
        <v>25</v>
      </c>
      <c r="T1289" t="s">
        <v>49</v>
      </c>
      <c r="U1289">
        <f>IF(Cardiac_Table[[#This Row],[Patient Status at Discharge]]="Died", 1,0)</f>
        <v>0</v>
      </c>
      <c r="V1289">
        <f>Cardiac_Table[[#This Row],[Risk of Death % (Model 1)]]/100</f>
        <v>0.218</v>
      </c>
      <c r="W1289">
        <f>Cardiac_Table[[#This Row],[Risk of Death % (Model 2)]]/100</f>
        <v>6.3399999999999998E-2</v>
      </c>
      <c r="X1289" s="18">
        <f>Cardiac_Table[[#This Row],[Procedure Start Date and Time]]-Cardiac_Table[[#This Row],[Hospital Admit Date ]]</f>
        <v>2.8368055555547471</v>
      </c>
    </row>
    <row r="1290" spans="1:24" x14ac:dyDescent="0.35">
      <c r="A1290">
        <v>1300</v>
      </c>
      <c r="B1290" s="9">
        <v>44177.32708333333</v>
      </c>
      <c r="C1290" s="10">
        <f>INT(Cardiac_Table[[#This Row],[Hospital Admit Date ]])</f>
        <v>44177</v>
      </c>
      <c r="D1290" s="11" t="str">
        <f t="shared" si="20"/>
        <v>07:51</v>
      </c>
      <c r="E1290" s="9">
        <v>44177.506944444445</v>
      </c>
      <c r="F1290" s="10">
        <f>INT(Cardiac_Table[[#This Row],[Procedure Start Date and Time]])</f>
        <v>44177</v>
      </c>
      <c r="G1290" s="12">
        <f>MOD(Cardiac_Table[[#This Row],[Procedure Start Date and Time]],1)</f>
        <v>0.50694444444525288</v>
      </c>
      <c r="H1290">
        <v>5</v>
      </c>
      <c r="I1290" t="s">
        <v>4</v>
      </c>
      <c r="J1290" t="s">
        <v>11</v>
      </c>
      <c r="K1290" t="s">
        <v>26</v>
      </c>
      <c r="L1290">
        <v>88</v>
      </c>
      <c r="M1290">
        <v>13.83</v>
      </c>
      <c r="N1290">
        <v>2.87</v>
      </c>
      <c r="O1290" t="s">
        <v>15</v>
      </c>
      <c r="P1290">
        <v>84</v>
      </c>
      <c r="Q1290">
        <v>174</v>
      </c>
      <c r="R1290">
        <v>92</v>
      </c>
      <c r="S1290">
        <v>50</v>
      </c>
      <c r="T1290" t="s">
        <v>50</v>
      </c>
      <c r="U1290">
        <f>IF(Cardiac_Table[[#This Row],[Patient Status at Discharge]]="Died", 1,0)</f>
        <v>0</v>
      </c>
      <c r="V1290">
        <f>Cardiac_Table[[#This Row],[Risk of Death % (Model 1)]]/100</f>
        <v>0.13830000000000001</v>
      </c>
      <c r="W1290">
        <f>Cardiac_Table[[#This Row],[Risk of Death % (Model 2)]]/100</f>
        <v>2.87E-2</v>
      </c>
      <c r="X1290" s="18">
        <f>Cardiac_Table[[#This Row],[Procedure Start Date and Time]]-Cardiac_Table[[#This Row],[Hospital Admit Date ]]</f>
        <v>0.179861111115315</v>
      </c>
    </row>
    <row r="1291" spans="1:24" x14ac:dyDescent="0.35">
      <c r="A1291">
        <v>1302</v>
      </c>
      <c r="B1291" s="9">
        <v>44178.666666666664</v>
      </c>
      <c r="C1291" s="10">
        <f>INT(Cardiac_Table[[#This Row],[Hospital Admit Date ]])</f>
        <v>44178</v>
      </c>
      <c r="D1291" s="11" t="str">
        <f t="shared" si="20"/>
        <v>16:00</v>
      </c>
      <c r="E1291" s="9">
        <v>44179.342361111114</v>
      </c>
      <c r="F1291" s="10">
        <f>INT(Cardiac_Table[[#This Row],[Procedure Start Date and Time]])</f>
        <v>44179</v>
      </c>
      <c r="G1291" s="12">
        <f>MOD(Cardiac_Table[[#This Row],[Procedure Start Date and Time]],1)</f>
        <v>0.34236111111385981</v>
      </c>
      <c r="H1291">
        <v>3</v>
      </c>
      <c r="I1291" t="s">
        <v>4</v>
      </c>
      <c r="J1291" t="s">
        <v>3</v>
      </c>
      <c r="K1291" t="s">
        <v>30</v>
      </c>
      <c r="L1291">
        <v>74</v>
      </c>
      <c r="M1291">
        <v>3.25</v>
      </c>
      <c r="N1291">
        <v>1.24</v>
      </c>
      <c r="O1291" t="s">
        <v>15</v>
      </c>
      <c r="P1291">
        <v>78</v>
      </c>
      <c r="Q1291">
        <v>183</v>
      </c>
      <c r="R1291">
        <v>121</v>
      </c>
      <c r="S1291">
        <v>72</v>
      </c>
      <c r="T1291" t="s">
        <v>48</v>
      </c>
      <c r="U1291">
        <f>IF(Cardiac_Table[[#This Row],[Patient Status at Discharge]]="Died", 1,0)</f>
        <v>0</v>
      </c>
      <c r="V1291">
        <f>Cardiac_Table[[#This Row],[Risk of Death % (Model 1)]]/100</f>
        <v>3.2500000000000001E-2</v>
      </c>
      <c r="W1291">
        <f>Cardiac_Table[[#This Row],[Risk of Death % (Model 2)]]/100</f>
        <v>1.24E-2</v>
      </c>
      <c r="X1291" s="18">
        <f>Cardiac_Table[[#This Row],[Procedure Start Date and Time]]-Cardiac_Table[[#This Row],[Hospital Admit Date ]]</f>
        <v>0.67569444444961846</v>
      </c>
    </row>
    <row r="1292" spans="1:24" x14ac:dyDescent="0.35">
      <c r="A1292">
        <v>1303</v>
      </c>
      <c r="B1292" s="9">
        <v>44178.588194444441</v>
      </c>
      <c r="C1292" s="10">
        <f>INT(Cardiac_Table[[#This Row],[Hospital Admit Date ]])</f>
        <v>44178</v>
      </c>
      <c r="D1292" s="11" t="str">
        <f t="shared" si="20"/>
        <v>14:07</v>
      </c>
      <c r="E1292" s="9">
        <v>44179.344444444447</v>
      </c>
      <c r="F1292" s="10">
        <f>INT(Cardiac_Table[[#This Row],[Procedure Start Date and Time]])</f>
        <v>44179</v>
      </c>
      <c r="G1292" s="12">
        <f>MOD(Cardiac_Table[[#This Row],[Procedure Start Date and Time]],1)</f>
        <v>0.34444444444670808</v>
      </c>
      <c r="H1292">
        <v>1</v>
      </c>
      <c r="I1292" t="s">
        <v>4</v>
      </c>
      <c r="J1292" t="s">
        <v>10</v>
      </c>
      <c r="K1292" t="s">
        <v>26</v>
      </c>
      <c r="L1292">
        <v>65</v>
      </c>
      <c r="M1292">
        <v>1.31</v>
      </c>
      <c r="N1292">
        <v>0.64</v>
      </c>
      <c r="O1292" t="s">
        <v>15</v>
      </c>
      <c r="P1292">
        <v>77</v>
      </c>
      <c r="Q1292">
        <v>169</v>
      </c>
      <c r="R1292">
        <v>97</v>
      </c>
      <c r="S1292">
        <v>45</v>
      </c>
      <c r="T1292" t="s">
        <v>50</v>
      </c>
      <c r="U1292">
        <f>IF(Cardiac_Table[[#This Row],[Patient Status at Discharge]]="Died", 1,0)</f>
        <v>0</v>
      </c>
      <c r="V1292">
        <f>Cardiac_Table[[#This Row],[Risk of Death % (Model 1)]]/100</f>
        <v>1.3100000000000001E-2</v>
      </c>
      <c r="W1292">
        <f>Cardiac_Table[[#This Row],[Risk of Death % (Model 2)]]/100</f>
        <v>6.4000000000000003E-3</v>
      </c>
      <c r="X1292" s="18">
        <f>Cardiac_Table[[#This Row],[Procedure Start Date and Time]]-Cardiac_Table[[#This Row],[Hospital Admit Date ]]</f>
        <v>0.75625000000582077</v>
      </c>
    </row>
    <row r="1293" spans="1:24" x14ac:dyDescent="0.35">
      <c r="A1293">
        <v>1304</v>
      </c>
      <c r="B1293" s="9">
        <v>44178.666666666664</v>
      </c>
      <c r="C1293" s="10">
        <f>INT(Cardiac_Table[[#This Row],[Hospital Admit Date ]])</f>
        <v>44178</v>
      </c>
      <c r="D1293" s="11" t="str">
        <f t="shared" si="20"/>
        <v>16:00</v>
      </c>
      <c r="E1293" s="9">
        <v>44179.357638888891</v>
      </c>
      <c r="F1293" s="10">
        <f>INT(Cardiac_Table[[#This Row],[Procedure Start Date and Time]])</f>
        <v>44179</v>
      </c>
      <c r="G1293" s="12">
        <f>MOD(Cardiac_Table[[#This Row],[Procedure Start Date and Time]],1)</f>
        <v>0.35763888889050577</v>
      </c>
      <c r="H1293">
        <v>4</v>
      </c>
      <c r="I1293" t="s">
        <v>4</v>
      </c>
      <c r="J1293" t="s">
        <v>1</v>
      </c>
      <c r="K1293" t="s">
        <v>23</v>
      </c>
      <c r="L1293">
        <v>79</v>
      </c>
      <c r="M1293">
        <v>15.6</v>
      </c>
      <c r="N1293">
        <v>1.64</v>
      </c>
      <c r="O1293" t="s">
        <v>15</v>
      </c>
      <c r="P1293">
        <v>84</v>
      </c>
      <c r="Q1293">
        <v>159</v>
      </c>
      <c r="R1293">
        <v>80</v>
      </c>
      <c r="S1293">
        <v>60</v>
      </c>
      <c r="T1293" t="s">
        <v>48</v>
      </c>
      <c r="U1293">
        <f>IF(Cardiac_Table[[#This Row],[Patient Status at Discharge]]="Died", 1,0)</f>
        <v>0</v>
      </c>
      <c r="V1293">
        <f>Cardiac_Table[[#This Row],[Risk of Death % (Model 1)]]/100</f>
        <v>0.156</v>
      </c>
      <c r="W1293">
        <f>Cardiac_Table[[#This Row],[Risk of Death % (Model 2)]]/100</f>
        <v>1.6399999999999998E-2</v>
      </c>
      <c r="X1293" s="18">
        <f>Cardiac_Table[[#This Row],[Procedure Start Date and Time]]-Cardiac_Table[[#This Row],[Hospital Admit Date ]]</f>
        <v>0.69097222222626442</v>
      </c>
    </row>
    <row r="1294" spans="1:24" x14ac:dyDescent="0.35">
      <c r="A1294">
        <v>1305</v>
      </c>
      <c r="B1294" s="9">
        <v>44174.462500000001</v>
      </c>
      <c r="C1294" s="10">
        <f>INT(Cardiac_Table[[#This Row],[Hospital Admit Date ]])</f>
        <v>44174</v>
      </c>
      <c r="D1294" s="11" t="str">
        <f t="shared" si="20"/>
        <v>11:06</v>
      </c>
      <c r="E1294" s="9">
        <v>44179.430555555555</v>
      </c>
      <c r="F1294" s="10">
        <f>INT(Cardiac_Table[[#This Row],[Procedure Start Date and Time]])</f>
        <v>44179</v>
      </c>
      <c r="G1294" s="12">
        <f>MOD(Cardiac_Table[[#This Row],[Procedure Start Date and Time]],1)</f>
        <v>0.43055555555474712</v>
      </c>
      <c r="H1294">
        <v>5</v>
      </c>
      <c r="I1294" t="s">
        <v>6</v>
      </c>
      <c r="J1294" t="s">
        <v>10</v>
      </c>
      <c r="K1294" t="s">
        <v>31</v>
      </c>
      <c r="L1294">
        <v>51</v>
      </c>
      <c r="M1294">
        <v>6.32</v>
      </c>
      <c r="N1294">
        <v>1.76</v>
      </c>
      <c r="O1294" t="s">
        <v>15</v>
      </c>
      <c r="P1294">
        <v>95</v>
      </c>
      <c r="Q1294">
        <v>162</v>
      </c>
      <c r="R1294">
        <v>76</v>
      </c>
      <c r="S1294">
        <v>45</v>
      </c>
      <c r="T1294" t="s">
        <v>50</v>
      </c>
      <c r="U1294">
        <f>IF(Cardiac_Table[[#This Row],[Patient Status at Discharge]]="Died", 1,0)</f>
        <v>0</v>
      </c>
      <c r="V1294">
        <f>Cardiac_Table[[#This Row],[Risk of Death % (Model 1)]]/100</f>
        <v>6.3200000000000006E-2</v>
      </c>
      <c r="W1294">
        <f>Cardiac_Table[[#This Row],[Risk of Death % (Model 2)]]/100</f>
        <v>1.7600000000000001E-2</v>
      </c>
      <c r="X1294" s="18">
        <f>Cardiac_Table[[#This Row],[Procedure Start Date and Time]]-Cardiac_Table[[#This Row],[Hospital Admit Date ]]</f>
        <v>4.9680555555532919</v>
      </c>
    </row>
    <row r="1295" spans="1:24" x14ac:dyDescent="0.35">
      <c r="A1295">
        <v>1306</v>
      </c>
      <c r="B1295" s="9">
        <v>44168.861805555556</v>
      </c>
      <c r="C1295" s="10">
        <f>INT(Cardiac_Table[[#This Row],[Hospital Admit Date ]])</f>
        <v>44168</v>
      </c>
      <c r="D1295" s="11" t="str">
        <f t="shared" si="20"/>
        <v>20:41</v>
      </c>
      <c r="E1295" s="9">
        <v>44179.470138888886</v>
      </c>
      <c r="F1295" s="10">
        <f>INT(Cardiac_Table[[#This Row],[Procedure Start Date and Time]])</f>
        <v>44179</v>
      </c>
      <c r="G1295" s="12">
        <f>MOD(Cardiac_Table[[#This Row],[Procedure Start Date and Time]],1)</f>
        <v>0.47013888888614019</v>
      </c>
      <c r="H1295">
        <v>3</v>
      </c>
      <c r="I1295" t="s">
        <v>4</v>
      </c>
      <c r="J1295" t="s">
        <v>10</v>
      </c>
      <c r="K1295" t="s">
        <v>30</v>
      </c>
      <c r="L1295">
        <v>65</v>
      </c>
      <c r="M1295">
        <v>3.36</v>
      </c>
      <c r="N1295">
        <v>0.92</v>
      </c>
      <c r="O1295" t="s">
        <v>15</v>
      </c>
      <c r="P1295">
        <v>90</v>
      </c>
      <c r="Q1295">
        <v>152</v>
      </c>
      <c r="R1295">
        <v>65</v>
      </c>
      <c r="S1295">
        <v>55</v>
      </c>
      <c r="T1295" t="s">
        <v>48</v>
      </c>
      <c r="U1295">
        <f>IF(Cardiac_Table[[#This Row],[Patient Status at Discharge]]="Died", 1,0)</f>
        <v>0</v>
      </c>
      <c r="V1295">
        <f>Cardiac_Table[[#This Row],[Risk of Death % (Model 1)]]/100</f>
        <v>3.3599999999999998E-2</v>
      </c>
      <c r="W1295">
        <f>Cardiac_Table[[#This Row],[Risk of Death % (Model 2)]]/100</f>
        <v>9.1999999999999998E-3</v>
      </c>
      <c r="X1295" s="18">
        <f>Cardiac_Table[[#This Row],[Procedure Start Date and Time]]-Cardiac_Table[[#This Row],[Hospital Admit Date ]]</f>
        <v>10.608333333329938</v>
      </c>
    </row>
    <row r="1296" spans="1:24" x14ac:dyDescent="0.35">
      <c r="A1296">
        <v>1307</v>
      </c>
      <c r="B1296" s="9">
        <v>44168.417361111111</v>
      </c>
      <c r="C1296" s="10">
        <f>INT(Cardiac_Table[[#This Row],[Hospital Admit Date ]])</f>
        <v>44168</v>
      </c>
      <c r="D1296" s="11" t="str">
        <f t="shared" si="20"/>
        <v>10:01</v>
      </c>
      <c r="E1296" s="9">
        <v>44179.558333333334</v>
      </c>
      <c r="F1296" s="10">
        <f>INT(Cardiac_Table[[#This Row],[Procedure Start Date and Time]])</f>
        <v>44179</v>
      </c>
      <c r="G1296" s="12">
        <f>MOD(Cardiac_Table[[#This Row],[Procedure Start Date and Time]],1)</f>
        <v>0.55833333333430346</v>
      </c>
      <c r="H1296">
        <v>1</v>
      </c>
      <c r="I1296" t="s">
        <v>6</v>
      </c>
      <c r="J1296" t="s">
        <v>10</v>
      </c>
      <c r="K1296" t="s">
        <v>26</v>
      </c>
      <c r="L1296">
        <v>74</v>
      </c>
      <c r="M1296">
        <v>5.96</v>
      </c>
      <c r="N1296">
        <v>1.8</v>
      </c>
      <c r="O1296" t="s">
        <v>15</v>
      </c>
      <c r="P1296">
        <v>95</v>
      </c>
      <c r="Q1296">
        <v>166</v>
      </c>
      <c r="R1296">
        <v>78</v>
      </c>
      <c r="S1296">
        <v>20</v>
      </c>
      <c r="T1296" t="s">
        <v>51</v>
      </c>
      <c r="U1296">
        <f>IF(Cardiac_Table[[#This Row],[Patient Status at Discharge]]="Died", 1,0)</f>
        <v>0</v>
      </c>
      <c r="V1296">
        <f>Cardiac_Table[[#This Row],[Risk of Death % (Model 1)]]/100</f>
        <v>5.96E-2</v>
      </c>
      <c r="W1296">
        <f>Cardiac_Table[[#This Row],[Risk of Death % (Model 2)]]/100</f>
        <v>1.8000000000000002E-2</v>
      </c>
      <c r="X1296" s="18">
        <f>Cardiac_Table[[#This Row],[Procedure Start Date and Time]]-Cardiac_Table[[#This Row],[Hospital Admit Date ]]</f>
        <v>11.140972222223354</v>
      </c>
    </row>
    <row r="1297" spans="1:24" x14ac:dyDescent="0.35">
      <c r="A1297">
        <v>1308</v>
      </c>
      <c r="B1297" s="9">
        <v>44179.666666666664</v>
      </c>
      <c r="C1297" s="10">
        <f>INT(Cardiac_Table[[#This Row],[Hospital Admit Date ]])</f>
        <v>44179</v>
      </c>
      <c r="D1297" s="11" t="str">
        <f t="shared" si="20"/>
        <v>16:00</v>
      </c>
      <c r="E1297" s="9">
        <v>44180.333333333336</v>
      </c>
      <c r="F1297" s="10">
        <f>INT(Cardiac_Table[[#This Row],[Procedure Start Date and Time]])</f>
        <v>44180</v>
      </c>
      <c r="G1297" s="12">
        <f>MOD(Cardiac_Table[[#This Row],[Procedure Start Date and Time]],1)</f>
        <v>0.33333333333575865</v>
      </c>
      <c r="H1297">
        <v>5</v>
      </c>
      <c r="I1297" t="s">
        <v>4</v>
      </c>
      <c r="J1297" t="s">
        <v>3</v>
      </c>
      <c r="K1297" t="s">
        <v>28</v>
      </c>
      <c r="L1297">
        <v>45</v>
      </c>
      <c r="M1297">
        <v>1.51</v>
      </c>
      <c r="N1297">
        <v>0.67</v>
      </c>
      <c r="O1297" t="s">
        <v>15</v>
      </c>
      <c r="P1297">
        <v>109</v>
      </c>
      <c r="Q1297">
        <v>156</v>
      </c>
      <c r="R1297">
        <v>71</v>
      </c>
      <c r="S1297">
        <v>40</v>
      </c>
      <c r="T1297" t="s">
        <v>50</v>
      </c>
      <c r="U1297">
        <f>IF(Cardiac_Table[[#This Row],[Patient Status at Discharge]]="Died", 1,0)</f>
        <v>0</v>
      </c>
      <c r="V1297">
        <f>Cardiac_Table[[#This Row],[Risk of Death % (Model 1)]]/100</f>
        <v>1.5100000000000001E-2</v>
      </c>
      <c r="W1297">
        <f>Cardiac_Table[[#This Row],[Risk of Death % (Model 2)]]/100</f>
        <v>6.7000000000000002E-3</v>
      </c>
      <c r="X1297" s="18">
        <f>Cardiac_Table[[#This Row],[Procedure Start Date and Time]]-Cardiac_Table[[#This Row],[Hospital Admit Date ]]</f>
        <v>0.66666666667151731</v>
      </c>
    </row>
    <row r="1298" spans="1:24" x14ac:dyDescent="0.35">
      <c r="A1298">
        <v>1309</v>
      </c>
      <c r="B1298" s="9">
        <v>44179.661805555559</v>
      </c>
      <c r="C1298" s="10">
        <f>INT(Cardiac_Table[[#This Row],[Hospital Admit Date ]])</f>
        <v>44179</v>
      </c>
      <c r="D1298" s="11" t="str">
        <f t="shared" si="20"/>
        <v>15:53</v>
      </c>
      <c r="E1298" s="9">
        <v>44180.339583333334</v>
      </c>
      <c r="F1298" s="10">
        <f>INT(Cardiac_Table[[#This Row],[Procedure Start Date and Time]])</f>
        <v>44180</v>
      </c>
      <c r="G1298" s="12">
        <f>MOD(Cardiac_Table[[#This Row],[Procedure Start Date and Time]],1)</f>
        <v>0.33958333333430346</v>
      </c>
      <c r="H1298">
        <v>4</v>
      </c>
      <c r="I1298" t="s">
        <v>4</v>
      </c>
      <c r="J1298" t="s">
        <v>11</v>
      </c>
      <c r="K1298" t="s">
        <v>33</v>
      </c>
      <c r="L1298">
        <v>73</v>
      </c>
      <c r="M1298">
        <v>5.13</v>
      </c>
      <c r="N1298">
        <v>4.17</v>
      </c>
      <c r="O1298" t="s">
        <v>15</v>
      </c>
      <c r="P1298">
        <v>86</v>
      </c>
      <c r="Q1298">
        <v>178</v>
      </c>
      <c r="R1298">
        <v>64</v>
      </c>
      <c r="S1298">
        <v>20</v>
      </c>
      <c r="T1298" t="s">
        <v>51</v>
      </c>
      <c r="U1298">
        <f>IF(Cardiac_Table[[#This Row],[Patient Status at Discharge]]="Died", 1,0)</f>
        <v>0</v>
      </c>
      <c r="V1298">
        <f>Cardiac_Table[[#This Row],[Risk of Death % (Model 1)]]/100</f>
        <v>5.1299999999999998E-2</v>
      </c>
      <c r="W1298">
        <f>Cardiac_Table[[#This Row],[Risk of Death % (Model 2)]]/100</f>
        <v>4.1700000000000001E-2</v>
      </c>
      <c r="X1298" s="18">
        <f>Cardiac_Table[[#This Row],[Procedure Start Date and Time]]-Cardiac_Table[[#This Row],[Hospital Admit Date ]]</f>
        <v>0.67777777777519077</v>
      </c>
    </row>
    <row r="1299" spans="1:24" x14ac:dyDescent="0.35">
      <c r="A1299">
        <v>1310</v>
      </c>
      <c r="B1299" s="9">
        <v>44179.666666666664</v>
      </c>
      <c r="C1299" s="10">
        <f>INT(Cardiac_Table[[#This Row],[Hospital Admit Date ]])</f>
        <v>44179</v>
      </c>
      <c r="D1299" s="11" t="str">
        <f t="shared" si="20"/>
        <v>16:00</v>
      </c>
      <c r="E1299" s="9">
        <v>44180.344444444447</v>
      </c>
      <c r="F1299" s="10">
        <f>INT(Cardiac_Table[[#This Row],[Procedure Start Date and Time]])</f>
        <v>44180</v>
      </c>
      <c r="G1299" s="12">
        <f>MOD(Cardiac_Table[[#This Row],[Procedure Start Date and Time]],1)</f>
        <v>0.34444444444670808</v>
      </c>
      <c r="H1299">
        <v>1</v>
      </c>
      <c r="I1299" t="s">
        <v>6</v>
      </c>
      <c r="J1299" t="s">
        <v>11</v>
      </c>
      <c r="K1299" t="s">
        <v>35</v>
      </c>
      <c r="L1299">
        <v>78</v>
      </c>
      <c r="M1299">
        <v>5.14</v>
      </c>
      <c r="N1299">
        <v>2.78</v>
      </c>
      <c r="O1299" t="s">
        <v>15</v>
      </c>
      <c r="P1299">
        <v>75</v>
      </c>
      <c r="Q1299">
        <v>182</v>
      </c>
      <c r="R1299">
        <v>56</v>
      </c>
      <c r="S1299">
        <v>55</v>
      </c>
      <c r="T1299" t="s">
        <v>48</v>
      </c>
      <c r="U1299">
        <f>IF(Cardiac_Table[[#This Row],[Patient Status at Discharge]]="Died", 1,0)</f>
        <v>0</v>
      </c>
      <c r="V1299">
        <f>Cardiac_Table[[#This Row],[Risk of Death % (Model 1)]]/100</f>
        <v>5.1399999999999994E-2</v>
      </c>
      <c r="W1299">
        <f>Cardiac_Table[[#This Row],[Risk of Death % (Model 2)]]/100</f>
        <v>2.7799999999999998E-2</v>
      </c>
      <c r="X1299" s="18">
        <f>Cardiac_Table[[#This Row],[Procedure Start Date and Time]]-Cardiac_Table[[#This Row],[Hospital Admit Date ]]</f>
        <v>0.67777777778246673</v>
      </c>
    </row>
    <row r="1300" spans="1:24" x14ac:dyDescent="0.35">
      <c r="A1300">
        <v>1311</v>
      </c>
      <c r="B1300" s="9">
        <v>44180.29791666667</v>
      </c>
      <c r="C1300" s="10">
        <f>INT(Cardiac_Table[[#This Row],[Hospital Admit Date ]])</f>
        <v>44180</v>
      </c>
      <c r="D1300" s="11" t="str">
        <f t="shared" si="20"/>
        <v>07:09</v>
      </c>
      <c r="E1300" s="9">
        <v>44180.552083333336</v>
      </c>
      <c r="F1300" s="10">
        <f>INT(Cardiac_Table[[#This Row],[Procedure Start Date and Time]])</f>
        <v>44180</v>
      </c>
      <c r="G1300" s="12">
        <f>MOD(Cardiac_Table[[#This Row],[Procedure Start Date and Time]],1)</f>
        <v>0.55208333333575865</v>
      </c>
      <c r="H1300">
        <v>5</v>
      </c>
      <c r="I1300" t="s">
        <v>4</v>
      </c>
      <c r="J1300" t="s">
        <v>3</v>
      </c>
      <c r="K1300" t="s">
        <v>28</v>
      </c>
      <c r="L1300">
        <v>77</v>
      </c>
      <c r="M1300">
        <v>4.83</v>
      </c>
      <c r="N1300">
        <v>2.81</v>
      </c>
      <c r="O1300" t="s">
        <v>15</v>
      </c>
      <c r="P1300">
        <v>77</v>
      </c>
      <c r="Q1300">
        <v>168</v>
      </c>
      <c r="R1300">
        <v>81</v>
      </c>
      <c r="S1300">
        <v>51</v>
      </c>
      <c r="T1300" t="s">
        <v>48</v>
      </c>
      <c r="U1300">
        <f>IF(Cardiac_Table[[#This Row],[Patient Status at Discharge]]="Died", 1,0)</f>
        <v>0</v>
      </c>
      <c r="V1300">
        <f>Cardiac_Table[[#This Row],[Risk of Death % (Model 1)]]/100</f>
        <v>4.8300000000000003E-2</v>
      </c>
      <c r="W1300">
        <f>Cardiac_Table[[#This Row],[Risk of Death % (Model 2)]]/100</f>
        <v>2.81E-2</v>
      </c>
      <c r="X1300" s="18">
        <f>Cardiac_Table[[#This Row],[Procedure Start Date and Time]]-Cardiac_Table[[#This Row],[Hospital Admit Date ]]</f>
        <v>0.25416666666569654</v>
      </c>
    </row>
    <row r="1301" spans="1:24" x14ac:dyDescent="0.35">
      <c r="A1301">
        <v>1312</v>
      </c>
      <c r="B1301" s="9">
        <v>44179.5625</v>
      </c>
      <c r="C1301" s="10">
        <f>INT(Cardiac_Table[[#This Row],[Hospital Admit Date ]])</f>
        <v>44179</v>
      </c>
      <c r="D1301" s="11" t="str">
        <f t="shared" si="20"/>
        <v>13:30</v>
      </c>
      <c r="E1301" s="9">
        <v>44181.336805555555</v>
      </c>
      <c r="F1301" s="10">
        <f>INT(Cardiac_Table[[#This Row],[Procedure Start Date and Time]])</f>
        <v>44181</v>
      </c>
      <c r="G1301" s="12">
        <f>MOD(Cardiac_Table[[#This Row],[Procedure Start Date and Time]],1)</f>
        <v>0.33680555555474712</v>
      </c>
      <c r="H1301">
        <v>3</v>
      </c>
      <c r="I1301" t="s">
        <v>6</v>
      </c>
      <c r="J1301" t="s">
        <v>10</v>
      </c>
      <c r="K1301" t="s">
        <v>30</v>
      </c>
      <c r="L1301">
        <v>65</v>
      </c>
      <c r="M1301">
        <v>2.2400000000000002</v>
      </c>
      <c r="N1301">
        <v>1.24</v>
      </c>
      <c r="O1301" t="s">
        <v>15</v>
      </c>
      <c r="P1301">
        <v>65</v>
      </c>
      <c r="Q1301">
        <v>178</v>
      </c>
      <c r="R1301">
        <v>80</v>
      </c>
      <c r="S1301">
        <v>55</v>
      </c>
      <c r="T1301" t="s">
        <v>48</v>
      </c>
      <c r="U1301">
        <f>IF(Cardiac_Table[[#This Row],[Patient Status at Discharge]]="Died", 1,0)</f>
        <v>0</v>
      </c>
      <c r="V1301">
        <f>Cardiac_Table[[#This Row],[Risk of Death % (Model 1)]]/100</f>
        <v>2.2400000000000003E-2</v>
      </c>
      <c r="W1301">
        <f>Cardiac_Table[[#This Row],[Risk of Death % (Model 2)]]/100</f>
        <v>1.24E-2</v>
      </c>
      <c r="X1301" s="18">
        <f>Cardiac_Table[[#This Row],[Procedure Start Date and Time]]-Cardiac_Table[[#This Row],[Hospital Admit Date ]]</f>
        <v>1.7743055555547471</v>
      </c>
    </row>
    <row r="1302" spans="1:24" x14ac:dyDescent="0.35">
      <c r="A1302">
        <v>1313</v>
      </c>
      <c r="B1302" s="9">
        <v>44179.583333333336</v>
      </c>
      <c r="C1302" s="10">
        <f>INT(Cardiac_Table[[#This Row],[Hospital Admit Date ]])</f>
        <v>44179</v>
      </c>
      <c r="D1302" s="11" t="str">
        <f t="shared" si="20"/>
        <v>14:00</v>
      </c>
      <c r="E1302" s="9">
        <v>44181.336805555555</v>
      </c>
      <c r="F1302" s="10">
        <f>INT(Cardiac_Table[[#This Row],[Procedure Start Date and Time]])</f>
        <v>44181</v>
      </c>
      <c r="G1302" s="12">
        <f>MOD(Cardiac_Table[[#This Row],[Procedure Start Date and Time]],1)</f>
        <v>0.33680555555474712</v>
      </c>
      <c r="H1302">
        <v>4</v>
      </c>
      <c r="I1302" t="s">
        <v>4</v>
      </c>
      <c r="J1302" t="s">
        <v>3</v>
      </c>
      <c r="K1302" t="s">
        <v>35</v>
      </c>
      <c r="L1302">
        <v>78</v>
      </c>
      <c r="M1302">
        <v>11.89</v>
      </c>
      <c r="N1302">
        <v>9.7899999999999991</v>
      </c>
      <c r="O1302" t="s">
        <v>15</v>
      </c>
      <c r="P1302">
        <v>75</v>
      </c>
      <c r="Q1302">
        <v>171</v>
      </c>
      <c r="R1302">
        <v>75</v>
      </c>
      <c r="S1302">
        <v>25</v>
      </c>
      <c r="T1302" t="s">
        <v>49</v>
      </c>
      <c r="U1302">
        <f>IF(Cardiac_Table[[#This Row],[Patient Status at Discharge]]="Died", 1,0)</f>
        <v>0</v>
      </c>
      <c r="V1302">
        <f>Cardiac_Table[[#This Row],[Risk of Death % (Model 1)]]/100</f>
        <v>0.11890000000000001</v>
      </c>
      <c r="W1302">
        <f>Cardiac_Table[[#This Row],[Risk of Death % (Model 2)]]/100</f>
        <v>9.7899999999999987E-2</v>
      </c>
      <c r="X1302" s="18">
        <f>Cardiac_Table[[#This Row],[Procedure Start Date and Time]]-Cardiac_Table[[#This Row],[Hospital Admit Date ]]</f>
        <v>1.7534722222189885</v>
      </c>
    </row>
    <row r="1303" spans="1:24" x14ac:dyDescent="0.35">
      <c r="A1303">
        <v>1314</v>
      </c>
      <c r="B1303" s="9">
        <v>44180.666666666664</v>
      </c>
      <c r="C1303" s="10">
        <f>INT(Cardiac_Table[[#This Row],[Hospital Admit Date ]])</f>
        <v>44180</v>
      </c>
      <c r="D1303" s="11" t="str">
        <f t="shared" si="20"/>
        <v>16:00</v>
      </c>
      <c r="E1303" s="9">
        <v>44181.347222222219</v>
      </c>
      <c r="F1303" s="10">
        <f>INT(Cardiac_Table[[#This Row],[Procedure Start Date and Time]])</f>
        <v>44181</v>
      </c>
      <c r="G1303" s="12">
        <f>MOD(Cardiac_Table[[#This Row],[Procedure Start Date and Time]],1)</f>
        <v>0.34722222221898846</v>
      </c>
      <c r="H1303">
        <v>5</v>
      </c>
      <c r="I1303" t="s">
        <v>4</v>
      </c>
      <c r="J1303" t="s">
        <v>1</v>
      </c>
      <c r="K1303" t="s">
        <v>28</v>
      </c>
      <c r="L1303">
        <v>66</v>
      </c>
      <c r="M1303">
        <v>18.55</v>
      </c>
      <c r="N1303">
        <v>7.3</v>
      </c>
      <c r="O1303" t="s">
        <v>15</v>
      </c>
      <c r="P1303">
        <v>65</v>
      </c>
      <c r="Q1303">
        <v>187</v>
      </c>
      <c r="R1303">
        <v>112</v>
      </c>
      <c r="S1303">
        <v>55</v>
      </c>
      <c r="T1303" t="s">
        <v>48</v>
      </c>
      <c r="U1303">
        <f>IF(Cardiac_Table[[#This Row],[Patient Status at Discharge]]="Died", 1,0)</f>
        <v>0</v>
      </c>
      <c r="V1303">
        <f>Cardiac_Table[[#This Row],[Risk of Death % (Model 1)]]/100</f>
        <v>0.1855</v>
      </c>
      <c r="W1303">
        <f>Cardiac_Table[[#This Row],[Risk of Death % (Model 2)]]/100</f>
        <v>7.2999999999999995E-2</v>
      </c>
      <c r="X1303" s="18">
        <f>Cardiac_Table[[#This Row],[Procedure Start Date and Time]]-Cardiac_Table[[#This Row],[Hospital Admit Date ]]</f>
        <v>0.68055555555474712</v>
      </c>
    </row>
    <row r="1304" spans="1:24" x14ac:dyDescent="0.35">
      <c r="A1304">
        <v>1315</v>
      </c>
      <c r="B1304" s="9">
        <v>44181.291666666664</v>
      </c>
      <c r="C1304" s="10">
        <f>INT(Cardiac_Table[[#This Row],[Hospital Admit Date ]])</f>
        <v>44181</v>
      </c>
      <c r="D1304" s="11" t="str">
        <f t="shared" si="20"/>
        <v>07:00</v>
      </c>
      <c r="E1304" s="9">
        <v>44181.503472222219</v>
      </c>
      <c r="F1304" s="10">
        <f>INT(Cardiac_Table[[#This Row],[Procedure Start Date and Time]])</f>
        <v>44181</v>
      </c>
      <c r="G1304" s="12">
        <f>MOD(Cardiac_Table[[#This Row],[Procedure Start Date and Time]],1)</f>
        <v>0.50347222221898846</v>
      </c>
      <c r="H1304">
        <v>3</v>
      </c>
      <c r="I1304" t="s">
        <v>4</v>
      </c>
      <c r="J1304" t="s">
        <v>10</v>
      </c>
      <c r="K1304" t="s">
        <v>30</v>
      </c>
      <c r="L1304">
        <v>71</v>
      </c>
      <c r="M1304">
        <v>1.94</v>
      </c>
      <c r="N1304">
        <v>0.92</v>
      </c>
      <c r="O1304" t="s">
        <v>15</v>
      </c>
      <c r="P1304">
        <v>93</v>
      </c>
      <c r="Q1304">
        <v>160</v>
      </c>
      <c r="R1304">
        <v>94</v>
      </c>
      <c r="S1304">
        <v>60</v>
      </c>
      <c r="T1304" t="s">
        <v>48</v>
      </c>
      <c r="U1304">
        <f>IF(Cardiac_Table[[#This Row],[Patient Status at Discharge]]="Died", 1,0)</f>
        <v>0</v>
      </c>
      <c r="V1304">
        <f>Cardiac_Table[[#This Row],[Risk of Death % (Model 1)]]/100</f>
        <v>1.9400000000000001E-2</v>
      </c>
      <c r="W1304">
        <f>Cardiac_Table[[#This Row],[Risk of Death % (Model 2)]]/100</f>
        <v>9.1999999999999998E-3</v>
      </c>
      <c r="X1304" s="18">
        <f>Cardiac_Table[[#This Row],[Procedure Start Date and Time]]-Cardiac_Table[[#This Row],[Hospital Admit Date ]]</f>
        <v>0.21180555555474712</v>
      </c>
    </row>
    <row r="1305" spans="1:24" x14ac:dyDescent="0.35">
      <c r="A1305">
        <v>1316</v>
      </c>
      <c r="B1305" s="9">
        <v>44175.723611111112</v>
      </c>
      <c r="C1305" s="10">
        <f>INT(Cardiac_Table[[#This Row],[Hospital Admit Date ]])</f>
        <v>44175</v>
      </c>
      <c r="D1305" s="11" t="str">
        <f t="shared" si="20"/>
        <v>17:22</v>
      </c>
      <c r="E1305" s="9">
        <v>44182.334722222222</v>
      </c>
      <c r="F1305" s="10">
        <f>INT(Cardiac_Table[[#This Row],[Procedure Start Date and Time]])</f>
        <v>44182</v>
      </c>
      <c r="G1305" s="12">
        <f>MOD(Cardiac_Table[[#This Row],[Procedure Start Date and Time]],1)</f>
        <v>0.33472222222189885</v>
      </c>
      <c r="H1305">
        <v>5</v>
      </c>
      <c r="I1305" t="s">
        <v>6</v>
      </c>
      <c r="J1305" t="s">
        <v>10</v>
      </c>
      <c r="K1305" t="s">
        <v>31</v>
      </c>
      <c r="L1305">
        <v>65</v>
      </c>
      <c r="M1305">
        <v>3.36</v>
      </c>
      <c r="N1305">
        <v>2.71</v>
      </c>
      <c r="O1305" t="s">
        <v>15</v>
      </c>
      <c r="P1305">
        <v>62</v>
      </c>
      <c r="Q1305">
        <v>170</v>
      </c>
      <c r="R1305">
        <v>60</v>
      </c>
      <c r="S1305">
        <v>56</v>
      </c>
      <c r="T1305" t="s">
        <v>48</v>
      </c>
      <c r="U1305">
        <f>IF(Cardiac_Table[[#This Row],[Patient Status at Discharge]]="Died", 1,0)</f>
        <v>0</v>
      </c>
      <c r="V1305">
        <f>Cardiac_Table[[#This Row],[Risk of Death % (Model 1)]]/100</f>
        <v>3.3599999999999998E-2</v>
      </c>
      <c r="W1305">
        <f>Cardiac_Table[[#This Row],[Risk of Death % (Model 2)]]/100</f>
        <v>2.7099999999999999E-2</v>
      </c>
      <c r="X1305" s="18">
        <f>Cardiac_Table[[#This Row],[Procedure Start Date and Time]]-Cardiac_Table[[#This Row],[Hospital Admit Date ]]</f>
        <v>6.6111111111094942</v>
      </c>
    </row>
    <row r="1306" spans="1:24" x14ac:dyDescent="0.35">
      <c r="A1306">
        <v>1317</v>
      </c>
      <c r="B1306" s="9">
        <v>44181.666666666664</v>
      </c>
      <c r="C1306" s="10">
        <f>INT(Cardiac_Table[[#This Row],[Hospital Admit Date ]])</f>
        <v>44181</v>
      </c>
      <c r="D1306" s="11" t="str">
        <f t="shared" si="20"/>
        <v>16:00</v>
      </c>
      <c r="E1306" s="9">
        <v>44182.341666666667</v>
      </c>
      <c r="F1306" s="10">
        <f>INT(Cardiac_Table[[#This Row],[Procedure Start Date and Time]])</f>
        <v>44182</v>
      </c>
      <c r="G1306" s="12">
        <f>MOD(Cardiac_Table[[#This Row],[Procedure Start Date and Time]],1)</f>
        <v>0.34166666666715173</v>
      </c>
      <c r="H1306">
        <v>1</v>
      </c>
      <c r="I1306" t="s">
        <v>4</v>
      </c>
      <c r="J1306" t="s">
        <v>10</v>
      </c>
      <c r="K1306" t="s">
        <v>23</v>
      </c>
      <c r="L1306">
        <v>59</v>
      </c>
      <c r="M1306">
        <v>2.73</v>
      </c>
      <c r="N1306">
        <v>1.38</v>
      </c>
      <c r="O1306" t="s">
        <v>15</v>
      </c>
      <c r="P1306">
        <v>112</v>
      </c>
      <c r="Q1306">
        <v>173</v>
      </c>
      <c r="R1306">
        <v>92</v>
      </c>
      <c r="S1306">
        <v>55</v>
      </c>
      <c r="T1306" t="s">
        <v>48</v>
      </c>
      <c r="U1306">
        <f>IF(Cardiac_Table[[#This Row],[Patient Status at Discharge]]="Died", 1,0)</f>
        <v>0</v>
      </c>
      <c r="V1306">
        <f>Cardiac_Table[[#This Row],[Risk of Death % (Model 1)]]/100</f>
        <v>2.7300000000000001E-2</v>
      </c>
      <c r="W1306">
        <f>Cardiac_Table[[#This Row],[Risk of Death % (Model 2)]]/100</f>
        <v>1.38E-2</v>
      </c>
      <c r="X1306" s="18">
        <f>Cardiac_Table[[#This Row],[Procedure Start Date and Time]]-Cardiac_Table[[#This Row],[Hospital Admit Date ]]</f>
        <v>0.67500000000291038</v>
      </c>
    </row>
    <row r="1307" spans="1:24" x14ac:dyDescent="0.35">
      <c r="A1307">
        <v>1318</v>
      </c>
      <c r="B1307" s="9">
        <v>44182.2</v>
      </c>
      <c r="C1307" s="10">
        <f>INT(Cardiac_Table[[#This Row],[Hospital Admit Date ]])</f>
        <v>44182</v>
      </c>
      <c r="D1307" s="11" t="str">
        <f t="shared" si="20"/>
        <v>04:48</v>
      </c>
      <c r="E1307" s="9">
        <v>44182.513888888891</v>
      </c>
      <c r="F1307" s="10">
        <f>INT(Cardiac_Table[[#This Row],[Procedure Start Date and Time]])</f>
        <v>44182</v>
      </c>
      <c r="G1307" s="12">
        <f>MOD(Cardiac_Table[[#This Row],[Procedure Start Date and Time]],1)</f>
        <v>0.51388888889050577</v>
      </c>
      <c r="H1307">
        <v>3</v>
      </c>
      <c r="I1307" t="s">
        <v>2</v>
      </c>
      <c r="J1307" t="s">
        <v>5</v>
      </c>
      <c r="K1307" t="s">
        <v>33</v>
      </c>
      <c r="L1307">
        <v>55</v>
      </c>
      <c r="M1307">
        <v>18.79</v>
      </c>
      <c r="N1307">
        <v>19.27</v>
      </c>
      <c r="O1307" t="s">
        <v>13</v>
      </c>
      <c r="P1307">
        <v>81</v>
      </c>
      <c r="Q1307">
        <v>158</v>
      </c>
      <c r="R1307">
        <v>67</v>
      </c>
      <c r="S1307">
        <v>20</v>
      </c>
      <c r="T1307" t="s">
        <v>51</v>
      </c>
      <c r="U1307">
        <f>IF(Cardiac_Table[[#This Row],[Patient Status at Discharge]]="Died", 1,0)</f>
        <v>1</v>
      </c>
      <c r="V1307">
        <f>Cardiac_Table[[#This Row],[Risk of Death % (Model 1)]]/100</f>
        <v>0.18789999999999998</v>
      </c>
      <c r="W1307">
        <f>Cardiac_Table[[#This Row],[Risk of Death % (Model 2)]]/100</f>
        <v>0.19269999999999998</v>
      </c>
      <c r="X1307" s="18">
        <f>Cardiac_Table[[#This Row],[Procedure Start Date and Time]]-Cardiac_Table[[#This Row],[Hospital Admit Date ]]</f>
        <v>0.31388888889341615</v>
      </c>
    </row>
    <row r="1308" spans="1:24" x14ac:dyDescent="0.35">
      <c r="A1308">
        <v>1319</v>
      </c>
      <c r="B1308" s="9">
        <v>44182.293749999997</v>
      </c>
      <c r="C1308" s="10">
        <f>INT(Cardiac_Table[[#This Row],[Hospital Admit Date ]])</f>
        <v>44182</v>
      </c>
      <c r="D1308" s="11" t="str">
        <f t="shared" si="20"/>
        <v>07:03</v>
      </c>
      <c r="E1308" s="9">
        <v>44182.599305555559</v>
      </c>
      <c r="F1308" s="10">
        <f>INT(Cardiac_Table[[#This Row],[Procedure Start Date and Time]])</f>
        <v>44182</v>
      </c>
      <c r="G1308" s="12">
        <f>MOD(Cardiac_Table[[#This Row],[Procedure Start Date and Time]],1)</f>
        <v>0.59930555555911269</v>
      </c>
      <c r="H1308">
        <v>1</v>
      </c>
      <c r="I1308" t="s">
        <v>4</v>
      </c>
      <c r="J1308" t="s">
        <v>3</v>
      </c>
      <c r="K1308" t="s">
        <v>23</v>
      </c>
      <c r="L1308">
        <v>79</v>
      </c>
      <c r="M1308">
        <v>5.48</v>
      </c>
      <c r="N1308">
        <v>0.96</v>
      </c>
      <c r="O1308" t="s">
        <v>15</v>
      </c>
      <c r="P1308">
        <v>81</v>
      </c>
      <c r="Q1308">
        <v>176</v>
      </c>
      <c r="R1308">
        <v>97</v>
      </c>
      <c r="S1308">
        <v>60</v>
      </c>
      <c r="T1308" t="s">
        <v>48</v>
      </c>
      <c r="U1308">
        <f>IF(Cardiac_Table[[#This Row],[Patient Status at Discharge]]="Died", 1,0)</f>
        <v>0</v>
      </c>
      <c r="V1308">
        <f>Cardiac_Table[[#This Row],[Risk of Death % (Model 1)]]/100</f>
        <v>5.4800000000000001E-2</v>
      </c>
      <c r="W1308">
        <f>Cardiac_Table[[#This Row],[Risk of Death % (Model 2)]]/100</f>
        <v>9.5999999999999992E-3</v>
      </c>
      <c r="X1308" s="18">
        <f>Cardiac_Table[[#This Row],[Procedure Start Date and Time]]-Cardiac_Table[[#This Row],[Hospital Admit Date ]]</f>
        <v>0.30555555556202307</v>
      </c>
    </row>
    <row r="1309" spans="1:24" x14ac:dyDescent="0.35">
      <c r="A1309">
        <v>1320</v>
      </c>
      <c r="B1309" s="9">
        <v>44182.583333333336</v>
      </c>
      <c r="C1309" s="10">
        <f>INT(Cardiac_Table[[#This Row],[Hospital Admit Date ]])</f>
        <v>44182</v>
      </c>
      <c r="D1309" s="11" t="str">
        <f t="shared" si="20"/>
        <v>14:00</v>
      </c>
      <c r="E1309" s="9">
        <v>44183.338194444441</v>
      </c>
      <c r="F1309" s="10">
        <f>INT(Cardiac_Table[[#This Row],[Procedure Start Date and Time]])</f>
        <v>44183</v>
      </c>
      <c r="G1309" s="12">
        <f>MOD(Cardiac_Table[[#This Row],[Procedure Start Date and Time]],1)</f>
        <v>0.33819444444088731</v>
      </c>
      <c r="H1309">
        <v>5</v>
      </c>
      <c r="I1309" t="s">
        <v>4</v>
      </c>
      <c r="J1309" t="s">
        <v>3</v>
      </c>
      <c r="K1309" t="s">
        <v>24</v>
      </c>
      <c r="L1309">
        <v>79</v>
      </c>
      <c r="M1309">
        <v>5.48</v>
      </c>
      <c r="N1309">
        <v>1.55</v>
      </c>
      <c r="O1309" t="s">
        <v>15</v>
      </c>
      <c r="P1309">
        <v>110</v>
      </c>
      <c r="Q1309">
        <v>178</v>
      </c>
      <c r="R1309">
        <v>122</v>
      </c>
      <c r="S1309">
        <v>55</v>
      </c>
      <c r="T1309" t="s">
        <v>48</v>
      </c>
      <c r="U1309">
        <f>IF(Cardiac_Table[[#This Row],[Patient Status at Discharge]]="Died", 1,0)</f>
        <v>0</v>
      </c>
      <c r="V1309">
        <f>Cardiac_Table[[#This Row],[Risk of Death % (Model 1)]]/100</f>
        <v>5.4800000000000001E-2</v>
      </c>
      <c r="W1309">
        <f>Cardiac_Table[[#This Row],[Risk of Death % (Model 2)]]/100</f>
        <v>1.55E-2</v>
      </c>
      <c r="X1309" s="18">
        <f>Cardiac_Table[[#This Row],[Procedure Start Date and Time]]-Cardiac_Table[[#This Row],[Hospital Admit Date ]]</f>
        <v>0.75486111110512866</v>
      </c>
    </row>
    <row r="1310" spans="1:24" x14ac:dyDescent="0.35">
      <c r="A1310">
        <v>1321</v>
      </c>
      <c r="B1310" s="9">
        <v>44182.75</v>
      </c>
      <c r="C1310" s="10">
        <f>INT(Cardiac_Table[[#This Row],[Hospital Admit Date ]])</f>
        <v>44182</v>
      </c>
      <c r="D1310" s="11" t="str">
        <f t="shared" si="20"/>
        <v>18:00</v>
      </c>
      <c r="E1310" s="9">
        <v>44183.340277777781</v>
      </c>
      <c r="F1310" s="10">
        <f>INT(Cardiac_Table[[#This Row],[Procedure Start Date and Time]])</f>
        <v>44183</v>
      </c>
      <c r="G1310" s="12">
        <f>MOD(Cardiac_Table[[#This Row],[Procedure Start Date and Time]],1)</f>
        <v>0.34027777778101154</v>
      </c>
      <c r="H1310">
        <v>4</v>
      </c>
      <c r="I1310" t="s">
        <v>4</v>
      </c>
      <c r="J1310" t="s">
        <v>10</v>
      </c>
      <c r="K1310" t="s">
        <v>27</v>
      </c>
      <c r="L1310">
        <v>78</v>
      </c>
      <c r="M1310">
        <v>4.58</v>
      </c>
      <c r="N1310">
        <v>1.54</v>
      </c>
      <c r="O1310" t="s">
        <v>15</v>
      </c>
      <c r="P1310">
        <v>78</v>
      </c>
      <c r="Q1310">
        <v>150</v>
      </c>
      <c r="R1310">
        <v>87</v>
      </c>
      <c r="S1310">
        <v>59</v>
      </c>
      <c r="T1310" t="s">
        <v>48</v>
      </c>
      <c r="U1310">
        <f>IF(Cardiac_Table[[#This Row],[Patient Status at Discharge]]="Died", 1,0)</f>
        <v>0</v>
      </c>
      <c r="V1310">
        <f>Cardiac_Table[[#This Row],[Risk of Death % (Model 1)]]/100</f>
        <v>4.58E-2</v>
      </c>
      <c r="W1310">
        <f>Cardiac_Table[[#This Row],[Risk of Death % (Model 2)]]/100</f>
        <v>1.54E-2</v>
      </c>
      <c r="X1310" s="18">
        <f>Cardiac_Table[[#This Row],[Procedure Start Date and Time]]-Cardiac_Table[[#This Row],[Hospital Admit Date ]]</f>
        <v>0.59027777778101154</v>
      </c>
    </row>
    <row r="1311" spans="1:24" x14ac:dyDescent="0.35">
      <c r="A1311">
        <v>1322</v>
      </c>
      <c r="B1311" s="9">
        <v>44181.666666666664</v>
      </c>
      <c r="C1311" s="10">
        <f>INT(Cardiac_Table[[#This Row],[Hospital Admit Date ]])</f>
        <v>44181</v>
      </c>
      <c r="D1311" s="11" t="str">
        <f t="shared" si="20"/>
        <v>16:00</v>
      </c>
      <c r="E1311" s="9">
        <v>44183.746527777781</v>
      </c>
      <c r="F1311" s="10">
        <f>INT(Cardiac_Table[[#This Row],[Procedure Start Date and Time]])</f>
        <v>44183</v>
      </c>
      <c r="G1311" s="12">
        <f>MOD(Cardiac_Table[[#This Row],[Procedure Start Date and Time]],1)</f>
        <v>0.74652777778101154</v>
      </c>
      <c r="H1311">
        <v>1</v>
      </c>
      <c r="I1311" t="s">
        <v>2</v>
      </c>
      <c r="J1311" t="s">
        <v>10</v>
      </c>
      <c r="K1311" t="s">
        <v>24</v>
      </c>
      <c r="L1311">
        <v>70</v>
      </c>
      <c r="M1311">
        <v>10.31</v>
      </c>
      <c r="N1311">
        <v>2.58</v>
      </c>
      <c r="O1311" t="s">
        <v>15</v>
      </c>
      <c r="P1311">
        <v>64</v>
      </c>
      <c r="Q1311">
        <v>168</v>
      </c>
      <c r="R1311">
        <v>69</v>
      </c>
      <c r="S1311">
        <v>45</v>
      </c>
      <c r="T1311" t="s">
        <v>50</v>
      </c>
      <c r="U1311">
        <f>IF(Cardiac_Table[[#This Row],[Patient Status at Discharge]]="Died", 1,0)</f>
        <v>0</v>
      </c>
      <c r="V1311">
        <f>Cardiac_Table[[#This Row],[Risk of Death % (Model 1)]]/100</f>
        <v>0.10310000000000001</v>
      </c>
      <c r="W1311">
        <f>Cardiac_Table[[#This Row],[Risk of Death % (Model 2)]]/100</f>
        <v>2.58E-2</v>
      </c>
      <c r="X1311" s="18">
        <f>Cardiac_Table[[#This Row],[Procedure Start Date and Time]]-Cardiac_Table[[#This Row],[Hospital Admit Date ]]</f>
        <v>2.0798611111167702</v>
      </c>
    </row>
    <row r="1312" spans="1:24" x14ac:dyDescent="0.35">
      <c r="A1312">
        <v>1323</v>
      </c>
      <c r="B1312" s="9">
        <v>44183.666666666664</v>
      </c>
      <c r="C1312" s="10">
        <f>INT(Cardiac_Table[[#This Row],[Hospital Admit Date ]])</f>
        <v>44183</v>
      </c>
      <c r="D1312" s="11" t="str">
        <f t="shared" si="20"/>
        <v>16:00</v>
      </c>
      <c r="E1312" s="9">
        <v>44184.331250000003</v>
      </c>
      <c r="F1312" s="10">
        <f>INT(Cardiac_Table[[#This Row],[Procedure Start Date and Time]])</f>
        <v>44184</v>
      </c>
      <c r="G1312" s="12">
        <f>MOD(Cardiac_Table[[#This Row],[Procedure Start Date and Time]],1)</f>
        <v>0.33125000000291038</v>
      </c>
      <c r="H1312">
        <v>4</v>
      </c>
      <c r="I1312" t="s">
        <v>4</v>
      </c>
      <c r="J1312" t="s">
        <v>3</v>
      </c>
      <c r="K1312" t="s">
        <v>31</v>
      </c>
      <c r="L1312">
        <v>65</v>
      </c>
      <c r="M1312">
        <v>2.23</v>
      </c>
      <c r="N1312">
        <v>0.64</v>
      </c>
      <c r="O1312" t="s">
        <v>15</v>
      </c>
      <c r="P1312">
        <v>105</v>
      </c>
      <c r="Q1312">
        <v>168</v>
      </c>
      <c r="R1312">
        <v>73</v>
      </c>
      <c r="S1312">
        <v>45</v>
      </c>
      <c r="T1312" t="s">
        <v>50</v>
      </c>
      <c r="U1312">
        <f>IF(Cardiac_Table[[#This Row],[Patient Status at Discharge]]="Died", 1,0)</f>
        <v>0</v>
      </c>
      <c r="V1312">
        <f>Cardiac_Table[[#This Row],[Risk of Death % (Model 1)]]/100</f>
        <v>2.23E-2</v>
      </c>
      <c r="W1312">
        <f>Cardiac_Table[[#This Row],[Risk of Death % (Model 2)]]/100</f>
        <v>6.4000000000000003E-3</v>
      </c>
      <c r="X1312" s="18">
        <f>Cardiac_Table[[#This Row],[Procedure Start Date and Time]]-Cardiac_Table[[#This Row],[Hospital Admit Date ]]</f>
        <v>0.66458333333866904</v>
      </c>
    </row>
    <row r="1313" spans="1:24" x14ac:dyDescent="0.35">
      <c r="A1313">
        <v>1324</v>
      </c>
      <c r="B1313" s="9">
        <v>44183.666666666664</v>
      </c>
      <c r="C1313" s="10">
        <f>INT(Cardiac_Table[[#This Row],[Hospital Admit Date ]])</f>
        <v>44183</v>
      </c>
      <c r="D1313" s="11" t="str">
        <f t="shared" si="20"/>
        <v>16:00</v>
      </c>
      <c r="E1313" s="9">
        <v>44184.336805555555</v>
      </c>
      <c r="F1313" s="10">
        <f>INT(Cardiac_Table[[#This Row],[Procedure Start Date and Time]])</f>
        <v>44184</v>
      </c>
      <c r="G1313" s="12">
        <f>MOD(Cardiac_Table[[#This Row],[Procedure Start Date and Time]],1)</f>
        <v>0.33680555555474712</v>
      </c>
      <c r="H1313">
        <v>5</v>
      </c>
      <c r="I1313" t="s">
        <v>4</v>
      </c>
      <c r="J1313" t="s">
        <v>10</v>
      </c>
      <c r="K1313" t="s">
        <v>33</v>
      </c>
      <c r="L1313">
        <v>74</v>
      </c>
      <c r="M1313">
        <v>5.96</v>
      </c>
      <c r="N1313">
        <v>1.78</v>
      </c>
      <c r="O1313" t="s">
        <v>15</v>
      </c>
      <c r="P1313">
        <v>109</v>
      </c>
      <c r="Q1313">
        <v>162</v>
      </c>
      <c r="R1313">
        <v>51</v>
      </c>
      <c r="S1313">
        <v>60</v>
      </c>
      <c r="T1313" t="s">
        <v>48</v>
      </c>
      <c r="U1313">
        <f>IF(Cardiac_Table[[#This Row],[Patient Status at Discharge]]="Died", 1,0)</f>
        <v>0</v>
      </c>
      <c r="V1313">
        <f>Cardiac_Table[[#This Row],[Risk of Death % (Model 1)]]/100</f>
        <v>5.96E-2</v>
      </c>
      <c r="W1313">
        <f>Cardiac_Table[[#This Row],[Risk of Death % (Model 2)]]/100</f>
        <v>1.78E-2</v>
      </c>
      <c r="X1313" s="18">
        <f>Cardiac_Table[[#This Row],[Procedure Start Date and Time]]-Cardiac_Table[[#This Row],[Hospital Admit Date ]]</f>
        <v>0.67013888889050577</v>
      </c>
    </row>
    <row r="1314" spans="1:24" x14ac:dyDescent="0.35">
      <c r="A1314">
        <v>1325</v>
      </c>
      <c r="B1314" s="9">
        <v>44181.666666666664</v>
      </c>
      <c r="C1314" s="10">
        <f>INT(Cardiac_Table[[#This Row],[Hospital Admit Date ]])</f>
        <v>44181</v>
      </c>
      <c r="D1314" s="11" t="str">
        <f t="shared" si="20"/>
        <v>16:00</v>
      </c>
      <c r="E1314" s="9">
        <v>44184.520833333336</v>
      </c>
      <c r="F1314" s="10">
        <f>INT(Cardiac_Table[[#This Row],[Procedure Start Date and Time]])</f>
        <v>44184</v>
      </c>
      <c r="G1314" s="12">
        <f>MOD(Cardiac_Table[[#This Row],[Procedure Start Date and Time]],1)</f>
        <v>0.52083333333575865</v>
      </c>
      <c r="H1314">
        <v>4</v>
      </c>
      <c r="I1314" t="s">
        <v>4</v>
      </c>
      <c r="J1314" t="s">
        <v>11</v>
      </c>
      <c r="K1314" t="s">
        <v>33</v>
      </c>
      <c r="L1314">
        <v>83</v>
      </c>
      <c r="M1314">
        <v>7.03</v>
      </c>
      <c r="N1314">
        <v>4.4400000000000004</v>
      </c>
      <c r="O1314" t="s">
        <v>15</v>
      </c>
      <c r="P1314">
        <v>83</v>
      </c>
      <c r="Q1314">
        <v>171</v>
      </c>
      <c r="R1314">
        <v>75</v>
      </c>
      <c r="S1314">
        <v>55</v>
      </c>
      <c r="T1314" t="s">
        <v>48</v>
      </c>
      <c r="U1314">
        <f>IF(Cardiac_Table[[#This Row],[Patient Status at Discharge]]="Died", 1,0)</f>
        <v>0</v>
      </c>
      <c r="V1314">
        <f>Cardiac_Table[[#This Row],[Risk of Death % (Model 1)]]/100</f>
        <v>7.0300000000000001E-2</v>
      </c>
      <c r="W1314">
        <f>Cardiac_Table[[#This Row],[Risk of Death % (Model 2)]]/100</f>
        <v>4.4400000000000002E-2</v>
      </c>
      <c r="X1314" s="18">
        <f>Cardiac_Table[[#This Row],[Procedure Start Date and Time]]-Cardiac_Table[[#This Row],[Hospital Admit Date ]]</f>
        <v>2.8541666666715173</v>
      </c>
    </row>
    <row r="1315" spans="1:24" x14ac:dyDescent="0.35">
      <c r="A1315">
        <v>1326</v>
      </c>
      <c r="B1315" s="9">
        <v>44185.51458333333</v>
      </c>
      <c r="C1315" s="10">
        <f>INT(Cardiac_Table[[#This Row],[Hospital Admit Date ]])</f>
        <v>44185</v>
      </c>
      <c r="D1315" s="11" t="str">
        <f t="shared" si="20"/>
        <v>12:21</v>
      </c>
      <c r="E1315" s="9">
        <v>44186.333333333336</v>
      </c>
      <c r="F1315" s="10">
        <f>INT(Cardiac_Table[[#This Row],[Procedure Start Date and Time]])</f>
        <v>44186</v>
      </c>
      <c r="G1315" s="12">
        <f>MOD(Cardiac_Table[[#This Row],[Procedure Start Date and Time]],1)</f>
        <v>0.33333333333575865</v>
      </c>
      <c r="H1315">
        <v>3</v>
      </c>
      <c r="I1315" t="s">
        <v>4</v>
      </c>
      <c r="J1315" t="s">
        <v>10</v>
      </c>
      <c r="K1315" t="s">
        <v>24</v>
      </c>
      <c r="L1315">
        <v>69</v>
      </c>
      <c r="M1315">
        <v>2.56</v>
      </c>
      <c r="N1315">
        <v>1.48</v>
      </c>
      <c r="O1315" t="s">
        <v>15</v>
      </c>
      <c r="P1315">
        <v>74</v>
      </c>
      <c r="Q1315">
        <v>166</v>
      </c>
      <c r="R1315">
        <v>88</v>
      </c>
      <c r="S1315">
        <v>65</v>
      </c>
      <c r="T1315" t="s">
        <v>48</v>
      </c>
      <c r="U1315">
        <f>IF(Cardiac_Table[[#This Row],[Patient Status at Discharge]]="Died", 1,0)</f>
        <v>0</v>
      </c>
      <c r="V1315">
        <f>Cardiac_Table[[#This Row],[Risk of Death % (Model 1)]]/100</f>
        <v>2.5600000000000001E-2</v>
      </c>
      <c r="W1315">
        <f>Cardiac_Table[[#This Row],[Risk of Death % (Model 2)]]/100</f>
        <v>1.4800000000000001E-2</v>
      </c>
      <c r="X1315" s="18">
        <f>Cardiac_Table[[#This Row],[Procedure Start Date and Time]]-Cardiac_Table[[#This Row],[Hospital Admit Date ]]</f>
        <v>0.81875000000582077</v>
      </c>
    </row>
    <row r="1316" spans="1:24" x14ac:dyDescent="0.35">
      <c r="A1316">
        <v>1327</v>
      </c>
      <c r="B1316" s="9">
        <v>44185.541666666664</v>
      </c>
      <c r="C1316" s="10">
        <f>INT(Cardiac_Table[[#This Row],[Hospital Admit Date ]])</f>
        <v>44185</v>
      </c>
      <c r="D1316" s="11" t="str">
        <f t="shared" si="20"/>
        <v>13:00</v>
      </c>
      <c r="E1316" s="9">
        <v>44186.336805555555</v>
      </c>
      <c r="F1316" s="10">
        <f>INT(Cardiac_Table[[#This Row],[Procedure Start Date and Time]])</f>
        <v>44186</v>
      </c>
      <c r="G1316" s="12">
        <f>MOD(Cardiac_Table[[#This Row],[Procedure Start Date and Time]],1)</f>
        <v>0.33680555555474712</v>
      </c>
      <c r="H1316">
        <v>1</v>
      </c>
      <c r="I1316" t="s">
        <v>4</v>
      </c>
      <c r="J1316" t="s">
        <v>10</v>
      </c>
      <c r="K1316" t="s">
        <v>33</v>
      </c>
      <c r="L1316">
        <v>75</v>
      </c>
      <c r="M1316">
        <v>3.78</v>
      </c>
      <c r="N1316">
        <v>1.42</v>
      </c>
      <c r="O1316" t="s">
        <v>15</v>
      </c>
      <c r="P1316">
        <v>70</v>
      </c>
      <c r="Q1316">
        <v>167</v>
      </c>
      <c r="R1316">
        <v>75</v>
      </c>
      <c r="S1316">
        <v>55</v>
      </c>
      <c r="T1316" t="s">
        <v>48</v>
      </c>
      <c r="U1316">
        <f>IF(Cardiac_Table[[#This Row],[Patient Status at Discharge]]="Died", 1,0)</f>
        <v>0</v>
      </c>
      <c r="V1316">
        <f>Cardiac_Table[[#This Row],[Risk of Death % (Model 1)]]/100</f>
        <v>3.78E-2</v>
      </c>
      <c r="W1316">
        <f>Cardiac_Table[[#This Row],[Risk of Death % (Model 2)]]/100</f>
        <v>1.4199999999999999E-2</v>
      </c>
      <c r="X1316" s="18">
        <f>Cardiac_Table[[#This Row],[Procedure Start Date and Time]]-Cardiac_Table[[#This Row],[Hospital Admit Date ]]</f>
        <v>0.79513888889050577</v>
      </c>
    </row>
    <row r="1317" spans="1:24" x14ac:dyDescent="0.35">
      <c r="A1317">
        <v>1328</v>
      </c>
      <c r="B1317" s="9">
        <v>44185.670138888891</v>
      </c>
      <c r="C1317" s="10">
        <f>INT(Cardiac_Table[[#This Row],[Hospital Admit Date ]])</f>
        <v>44185</v>
      </c>
      <c r="D1317" s="11" t="str">
        <f t="shared" si="20"/>
        <v>16:05</v>
      </c>
      <c r="E1317" s="9">
        <v>44186.338888888888</v>
      </c>
      <c r="F1317" s="10">
        <f>INT(Cardiac_Table[[#This Row],[Procedure Start Date and Time]])</f>
        <v>44186</v>
      </c>
      <c r="G1317" s="12">
        <f>MOD(Cardiac_Table[[#This Row],[Procedure Start Date and Time]],1)</f>
        <v>0.33888888888759539</v>
      </c>
      <c r="H1317">
        <v>4</v>
      </c>
      <c r="I1317" t="s">
        <v>4</v>
      </c>
      <c r="J1317" t="s">
        <v>1</v>
      </c>
      <c r="K1317" t="s">
        <v>23</v>
      </c>
      <c r="L1317">
        <v>59</v>
      </c>
      <c r="M1317">
        <v>4.6500000000000004</v>
      </c>
      <c r="N1317">
        <v>3.31</v>
      </c>
      <c r="O1317" t="s">
        <v>15</v>
      </c>
      <c r="P1317">
        <v>74</v>
      </c>
      <c r="Q1317">
        <v>157</v>
      </c>
      <c r="R1317">
        <v>87</v>
      </c>
      <c r="S1317">
        <v>40</v>
      </c>
      <c r="T1317" t="s">
        <v>50</v>
      </c>
      <c r="U1317">
        <f>IF(Cardiac_Table[[#This Row],[Patient Status at Discharge]]="Died", 1,0)</f>
        <v>0</v>
      </c>
      <c r="V1317">
        <f>Cardiac_Table[[#This Row],[Risk of Death % (Model 1)]]/100</f>
        <v>4.6500000000000007E-2</v>
      </c>
      <c r="W1317">
        <f>Cardiac_Table[[#This Row],[Risk of Death % (Model 2)]]/100</f>
        <v>3.3099999999999997E-2</v>
      </c>
      <c r="X1317" s="18">
        <f>Cardiac_Table[[#This Row],[Procedure Start Date and Time]]-Cardiac_Table[[#This Row],[Hospital Admit Date ]]</f>
        <v>0.66874999999708962</v>
      </c>
    </row>
    <row r="1318" spans="1:24" x14ac:dyDescent="0.35">
      <c r="A1318">
        <v>1329</v>
      </c>
      <c r="B1318" s="9">
        <v>44186.291666666664</v>
      </c>
      <c r="C1318" s="10">
        <f>INT(Cardiac_Table[[#This Row],[Hospital Admit Date ]])</f>
        <v>44186</v>
      </c>
      <c r="D1318" s="11" t="str">
        <f t="shared" si="20"/>
        <v>07:00</v>
      </c>
      <c r="E1318" s="9">
        <v>44186.488194444442</v>
      </c>
      <c r="F1318" s="10">
        <f>INT(Cardiac_Table[[#This Row],[Procedure Start Date and Time]])</f>
        <v>44186</v>
      </c>
      <c r="G1318" s="12">
        <f>MOD(Cardiac_Table[[#This Row],[Procedure Start Date and Time]],1)</f>
        <v>0.4881944444423425</v>
      </c>
      <c r="H1318">
        <v>1</v>
      </c>
      <c r="I1318" t="s">
        <v>4</v>
      </c>
      <c r="J1318" t="s">
        <v>11</v>
      </c>
      <c r="K1318" t="s">
        <v>33</v>
      </c>
      <c r="L1318">
        <v>80</v>
      </c>
      <c r="M1318">
        <v>10.66</v>
      </c>
      <c r="N1318">
        <v>5.85</v>
      </c>
      <c r="O1318" t="s">
        <v>15</v>
      </c>
      <c r="P1318">
        <v>79</v>
      </c>
      <c r="Q1318">
        <v>179</v>
      </c>
      <c r="R1318">
        <v>85</v>
      </c>
      <c r="S1318">
        <v>20</v>
      </c>
      <c r="T1318" t="s">
        <v>51</v>
      </c>
      <c r="U1318">
        <f>IF(Cardiac_Table[[#This Row],[Patient Status at Discharge]]="Died", 1,0)</f>
        <v>0</v>
      </c>
      <c r="V1318">
        <f>Cardiac_Table[[#This Row],[Risk of Death % (Model 1)]]/100</f>
        <v>0.1066</v>
      </c>
      <c r="W1318">
        <f>Cardiac_Table[[#This Row],[Risk of Death % (Model 2)]]/100</f>
        <v>5.8499999999999996E-2</v>
      </c>
      <c r="X1318" s="18">
        <f>Cardiac_Table[[#This Row],[Procedure Start Date and Time]]-Cardiac_Table[[#This Row],[Hospital Admit Date ]]</f>
        <v>0.19652777777810115</v>
      </c>
    </row>
    <row r="1319" spans="1:24" x14ac:dyDescent="0.35">
      <c r="A1319">
        <v>1330</v>
      </c>
      <c r="B1319" s="9">
        <v>44181.541666666664</v>
      </c>
      <c r="C1319" s="10">
        <f>INT(Cardiac_Table[[#This Row],[Hospital Admit Date ]])</f>
        <v>44181</v>
      </c>
      <c r="D1319" s="11" t="str">
        <f t="shared" si="20"/>
        <v>13:00</v>
      </c>
      <c r="E1319" s="9">
        <v>44186.614583333336</v>
      </c>
      <c r="F1319" s="10">
        <f>INT(Cardiac_Table[[#This Row],[Procedure Start Date and Time]])</f>
        <v>44186</v>
      </c>
      <c r="G1319" s="12">
        <f>MOD(Cardiac_Table[[#This Row],[Procedure Start Date and Time]],1)</f>
        <v>0.61458333333575865</v>
      </c>
      <c r="H1319">
        <v>4</v>
      </c>
      <c r="I1319" t="s">
        <v>6</v>
      </c>
      <c r="J1319" t="s">
        <v>11</v>
      </c>
      <c r="K1319" t="s">
        <v>31</v>
      </c>
      <c r="L1319">
        <v>69</v>
      </c>
      <c r="M1319">
        <v>3.98</v>
      </c>
      <c r="N1319">
        <v>3.39</v>
      </c>
      <c r="O1319" t="s">
        <v>15</v>
      </c>
      <c r="P1319">
        <v>85</v>
      </c>
      <c r="Q1319">
        <v>169</v>
      </c>
      <c r="R1319">
        <v>124</v>
      </c>
      <c r="S1319">
        <v>58</v>
      </c>
      <c r="T1319" t="s">
        <v>48</v>
      </c>
      <c r="U1319">
        <f>IF(Cardiac_Table[[#This Row],[Patient Status at Discharge]]="Died", 1,0)</f>
        <v>0</v>
      </c>
      <c r="V1319">
        <f>Cardiac_Table[[#This Row],[Risk of Death % (Model 1)]]/100</f>
        <v>3.9800000000000002E-2</v>
      </c>
      <c r="W1319">
        <f>Cardiac_Table[[#This Row],[Risk of Death % (Model 2)]]/100</f>
        <v>3.39E-2</v>
      </c>
      <c r="X1319" s="18">
        <f>Cardiac_Table[[#This Row],[Procedure Start Date and Time]]-Cardiac_Table[[#This Row],[Hospital Admit Date ]]</f>
        <v>5.0729166666715173</v>
      </c>
    </row>
    <row r="1320" spans="1:24" x14ac:dyDescent="0.35">
      <c r="A1320">
        <v>1331</v>
      </c>
      <c r="B1320" s="9">
        <v>44176.75</v>
      </c>
      <c r="C1320" s="10">
        <f>INT(Cardiac_Table[[#This Row],[Hospital Admit Date ]])</f>
        <v>44176</v>
      </c>
      <c r="D1320" s="11" t="str">
        <f t="shared" si="20"/>
        <v>18:00</v>
      </c>
      <c r="E1320" s="9">
        <v>44187.322916666664</v>
      </c>
      <c r="F1320" s="10">
        <f>INT(Cardiac_Table[[#This Row],[Procedure Start Date and Time]])</f>
        <v>44187</v>
      </c>
      <c r="G1320" s="12">
        <f>MOD(Cardiac_Table[[#This Row],[Procedure Start Date and Time]],1)</f>
        <v>0.32291666666424135</v>
      </c>
      <c r="H1320">
        <v>1</v>
      </c>
      <c r="I1320" t="s">
        <v>4</v>
      </c>
      <c r="J1320" t="s">
        <v>3</v>
      </c>
      <c r="K1320" t="s">
        <v>35</v>
      </c>
      <c r="L1320">
        <v>76</v>
      </c>
      <c r="M1320">
        <v>55.3</v>
      </c>
      <c r="N1320">
        <v>16.48</v>
      </c>
      <c r="O1320" t="s">
        <v>15</v>
      </c>
      <c r="P1320">
        <v>75</v>
      </c>
      <c r="Q1320">
        <v>168</v>
      </c>
      <c r="R1320">
        <v>62</v>
      </c>
      <c r="S1320">
        <v>55</v>
      </c>
      <c r="T1320" t="s">
        <v>48</v>
      </c>
      <c r="U1320">
        <f>IF(Cardiac_Table[[#This Row],[Patient Status at Discharge]]="Died", 1,0)</f>
        <v>0</v>
      </c>
      <c r="V1320">
        <f>Cardiac_Table[[#This Row],[Risk of Death % (Model 1)]]/100</f>
        <v>0.55299999999999994</v>
      </c>
      <c r="W1320">
        <f>Cardiac_Table[[#This Row],[Risk of Death % (Model 2)]]/100</f>
        <v>0.1648</v>
      </c>
      <c r="X1320" s="18">
        <f>Cardiac_Table[[#This Row],[Procedure Start Date and Time]]-Cardiac_Table[[#This Row],[Hospital Admit Date ]]</f>
        <v>10.572916666664241</v>
      </c>
    </row>
    <row r="1321" spans="1:24" x14ac:dyDescent="0.35">
      <c r="A1321">
        <v>1332</v>
      </c>
      <c r="B1321" s="9">
        <v>44186.666666666664</v>
      </c>
      <c r="C1321" s="10">
        <f>INT(Cardiac_Table[[#This Row],[Hospital Admit Date ]])</f>
        <v>44186</v>
      </c>
      <c r="D1321" s="11" t="str">
        <f t="shared" si="20"/>
        <v>16:00</v>
      </c>
      <c r="E1321" s="9">
        <v>44187.340277777781</v>
      </c>
      <c r="F1321" s="10">
        <f>INT(Cardiac_Table[[#This Row],[Procedure Start Date and Time]])</f>
        <v>44187</v>
      </c>
      <c r="G1321" s="12">
        <f>MOD(Cardiac_Table[[#This Row],[Procedure Start Date and Time]],1)</f>
        <v>0.34027777778101154</v>
      </c>
      <c r="H1321">
        <v>4</v>
      </c>
      <c r="I1321" t="s">
        <v>4</v>
      </c>
      <c r="J1321" t="s">
        <v>10</v>
      </c>
      <c r="K1321" t="s">
        <v>26</v>
      </c>
      <c r="L1321">
        <v>53</v>
      </c>
      <c r="M1321">
        <v>1.85</v>
      </c>
      <c r="N1321">
        <v>1.62</v>
      </c>
      <c r="O1321" t="s">
        <v>15</v>
      </c>
      <c r="P1321">
        <v>138</v>
      </c>
      <c r="Q1321">
        <v>161</v>
      </c>
      <c r="R1321">
        <v>73</v>
      </c>
      <c r="S1321">
        <v>49</v>
      </c>
      <c r="T1321" t="s">
        <v>50</v>
      </c>
      <c r="U1321">
        <f>IF(Cardiac_Table[[#This Row],[Patient Status at Discharge]]="Died", 1,0)</f>
        <v>0</v>
      </c>
      <c r="V1321">
        <f>Cardiac_Table[[#This Row],[Risk of Death % (Model 1)]]/100</f>
        <v>1.8500000000000003E-2</v>
      </c>
      <c r="W1321">
        <f>Cardiac_Table[[#This Row],[Risk of Death % (Model 2)]]/100</f>
        <v>1.6200000000000003E-2</v>
      </c>
      <c r="X1321" s="18">
        <f>Cardiac_Table[[#This Row],[Procedure Start Date and Time]]-Cardiac_Table[[#This Row],[Hospital Admit Date ]]</f>
        <v>0.67361111111677019</v>
      </c>
    </row>
    <row r="1322" spans="1:24" x14ac:dyDescent="0.35">
      <c r="A1322">
        <v>1333</v>
      </c>
      <c r="B1322" s="9">
        <v>44187.291666666664</v>
      </c>
      <c r="C1322" s="10">
        <f>INT(Cardiac_Table[[#This Row],[Hospital Admit Date ]])</f>
        <v>44187</v>
      </c>
      <c r="D1322" s="11" t="str">
        <f t="shared" si="20"/>
        <v>07:00</v>
      </c>
      <c r="E1322" s="9">
        <v>44187.533333333333</v>
      </c>
      <c r="F1322" s="10">
        <f>INT(Cardiac_Table[[#This Row],[Procedure Start Date and Time]])</f>
        <v>44187</v>
      </c>
      <c r="G1322" s="12">
        <f>MOD(Cardiac_Table[[#This Row],[Procedure Start Date and Time]],1)</f>
        <v>0.53333333333284827</v>
      </c>
      <c r="H1322">
        <v>1</v>
      </c>
      <c r="I1322" t="s">
        <v>4</v>
      </c>
      <c r="J1322" t="s">
        <v>3</v>
      </c>
      <c r="K1322" t="s">
        <v>26</v>
      </c>
      <c r="L1322">
        <v>71</v>
      </c>
      <c r="M1322">
        <v>7.19</v>
      </c>
      <c r="N1322">
        <v>1.1399999999999999</v>
      </c>
      <c r="O1322" t="s">
        <v>15</v>
      </c>
      <c r="P1322">
        <v>76</v>
      </c>
      <c r="Q1322">
        <v>152</v>
      </c>
      <c r="R1322">
        <v>50</v>
      </c>
      <c r="S1322">
        <v>29</v>
      </c>
      <c r="T1322" t="s">
        <v>49</v>
      </c>
      <c r="U1322">
        <f>IF(Cardiac_Table[[#This Row],[Patient Status at Discharge]]="Died", 1,0)</f>
        <v>0</v>
      </c>
      <c r="V1322">
        <f>Cardiac_Table[[#This Row],[Risk of Death % (Model 1)]]/100</f>
        <v>7.1900000000000006E-2</v>
      </c>
      <c r="W1322">
        <f>Cardiac_Table[[#This Row],[Risk of Death % (Model 2)]]/100</f>
        <v>1.1399999999999999E-2</v>
      </c>
      <c r="X1322" s="18">
        <f>Cardiac_Table[[#This Row],[Procedure Start Date and Time]]-Cardiac_Table[[#This Row],[Hospital Admit Date ]]</f>
        <v>0.24166666666860692</v>
      </c>
    </row>
    <row r="1323" spans="1:24" x14ac:dyDescent="0.35">
      <c r="A1323">
        <v>1334</v>
      </c>
      <c r="B1323" s="9">
        <v>44181.51458333333</v>
      </c>
      <c r="C1323" s="10">
        <f>INT(Cardiac_Table[[#This Row],[Hospital Admit Date ]])</f>
        <v>44181</v>
      </c>
      <c r="D1323" s="11" t="str">
        <f t="shared" si="20"/>
        <v>12:21</v>
      </c>
      <c r="E1323" s="9">
        <v>44188.34375</v>
      </c>
      <c r="F1323" s="10">
        <f>INT(Cardiac_Table[[#This Row],[Procedure Start Date and Time]])</f>
        <v>44188</v>
      </c>
      <c r="G1323" s="12">
        <f>MOD(Cardiac_Table[[#This Row],[Procedure Start Date and Time]],1)</f>
        <v>0.34375</v>
      </c>
      <c r="H1323">
        <v>4</v>
      </c>
      <c r="I1323" t="s">
        <v>6</v>
      </c>
      <c r="J1323" t="s">
        <v>10</v>
      </c>
      <c r="K1323" t="s">
        <v>21</v>
      </c>
      <c r="L1323">
        <v>61</v>
      </c>
      <c r="M1323">
        <v>2.79</v>
      </c>
      <c r="N1323">
        <v>2.39</v>
      </c>
      <c r="O1323" t="s">
        <v>15</v>
      </c>
      <c r="P1323">
        <v>66</v>
      </c>
      <c r="Q1323">
        <v>176</v>
      </c>
      <c r="R1323">
        <v>93</v>
      </c>
      <c r="S1323">
        <v>25</v>
      </c>
      <c r="T1323" t="s">
        <v>49</v>
      </c>
      <c r="U1323">
        <f>IF(Cardiac_Table[[#This Row],[Patient Status at Discharge]]="Died", 1,0)</f>
        <v>0</v>
      </c>
      <c r="V1323">
        <f>Cardiac_Table[[#This Row],[Risk of Death % (Model 1)]]/100</f>
        <v>2.7900000000000001E-2</v>
      </c>
      <c r="W1323">
        <f>Cardiac_Table[[#This Row],[Risk of Death % (Model 2)]]/100</f>
        <v>2.3900000000000001E-2</v>
      </c>
      <c r="X1323" s="18">
        <f>Cardiac_Table[[#This Row],[Procedure Start Date and Time]]-Cardiac_Table[[#This Row],[Hospital Admit Date ]]</f>
        <v>6.8291666666700621</v>
      </c>
    </row>
    <row r="1324" spans="1:24" x14ac:dyDescent="0.35">
      <c r="A1324">
        <v>1335</v>
      </c>
      <c r="B1324" s="9">
        <v>44186.43472222222</v>
      </c>
      <c r="C1324" s="10">
        <f>INT(Cardiac_Table[[#This Row],[Hospital Admit Date ]])</f>
        <v>44186</v>
      </c>
      <c r="D1324" s="11" t="str">
        <f t="shared" si="20"/>
        <v>10:26</v>
      </c>
      <c r="E1324" s="9">
        <v>44188.34375</v>
      </c>
      <c r="F1324" s="10">
        <f>INT(Cardiac_Table[[#This Row],[Procedure Start Date and Time]])</f>
        <v>44188</v>
      </c>
      <c r="G1324" s="12">
        <f>MOD(Cardiac_Table[[#This Row],[Procedure Start Date and Time]],1)</f>
        <v>0.34375</v>
      </c>
      <c r="H1324">
        <v>1</v>
      </c>
      <c r="I1324" t="s">
        <v>6</v>
      </c>
      <c r="J1324" t="s">
        <v>3</v>
      </c>
      <c r="K1324" t="s">
        <v>35</v>
      </c>
      <c r="L1324">
        <v>65</v>
      </c>
      <c r="M1324">
        <v>2.93</v>
      </c>
      <c r="N1324">
        <v>1.31</v>
      </c>
      <c r="O1324" t="s">
        <v>15</v>
      </c>
      <c r="P1324">
        <v>92</v>
      </c>
      <c r="Q1324">
        <v>177</v>
      </c>
      <c r="R1324">
        <v>91</v>
      </c>
      <c r="S1324">
        <v>25</v>
      </c>
      <c r="T1324" t="s">
        <v>49</v>
      </c>
      <c r="U1324">
        <f>IF(Cardiac_Table[[#This Row],[Patient Status at Discharge]]="Died", 1,0)</f>
        <v>0</v>
      </c>
      <c r="V1324">
        <f>Cardiac_Table[[#This Row],[Risk of Death % (Model 1)]]/100</f>
        <v>2.9300000000000003E-2</v>
      </c>
      <c r="W1324">
        <f>Cardiac_Table[[#This Row],[Risk of Death % (Model 2)]]/100</f>
        <v>1.3100000000000001E-2</v>
      </c>
      <c r="X1324" s="18">
        <f>Cardiac_Table[[#This Row],[Procedure Start Date and Time]]-Cardiac_Table[[#This Row],[Hospital Admit Date ]]</f>
        <v>1.9090277777795563</v>
      </c>
    </row>
    <row r="1325" spans="1:24" x14ac:dyDescent="0.35">
      <c r="A1325">
        <v>1336</v>
      </c>
      <c r="B1325" s="9">
        <v>44188.291666666664</v>
      </c>
      <c r="C1325" s="10">
        <f>INT(Cardiac_Table[[#This Row],[Hospital Admit Date ]])</f>
        <v>44188</v>
      </c>
      <c r="D1325" s="11" t="str">
        <f t="shared" si="20"/>
        <v>07:00</v>
      </c>
      <c r="E1325" s="9">
        <v>44188.532638888886</v>
      </c>
      <c r="F1325" s="10">
        <f>INT(Cardiac_Table[[#This Row],[Procedure Start Date and Time]])</f>
        <v>44188</v>
      </c>
      <c r="G1325" s="12">
        <f>MOD(Cardiac_Table[[#This Row],[Procedure Start Date and Time]],1)</f>
        <v>0.53263888888614019</v>
      </c>
      <c r="H1325">
        <v>1</v>
      </c>
      <c r="I1325" t="s">
        <v>4</v>
      </c>
      <c r="J1325" t="s">
        <v>3</v>
      </c>
      <c r="K1325" t="s">
        <v>35</v>
      </c>
      <c r="L1325">
        <v>84</v>
      </c>
      <c r="M1325">
        <v>10.11</v>
      </c>
      <c r="N1325">
        <v>3.77</v>
      </c>
      <c r="O1325" t="s">
        <v>15</v>
      </c>
      <c r="P1325">
        <v>74</v>
      </c>
      <c r="Q1325">
        <v>161</v>
      </c>
      <c r="R1325">
        <v>68</v>
      </c>
      <c r="S1325">
        <v>25</v>
      </c>
      <c r="T1325" t="s">
        <v>49</v>
      </c>
      <c r="U1325">
        <f>IF(Cardiac_Table[[#This Row],[Patient Status at Discharge]]="Died", 1,0)</f>
        <v>0</v>
      </c>
      <c r="V1325">
        <f>Cardiac_Table[[#This Row],[Risk of Death % (Model 1)]]/100</f>
        <v>0.1011</v>
      </c>
      <c r="W1325">
        <f>Cardiac_Table[[#This Row],[Risk of Death % (Model 2)]]/100</f>
        <v>3.7699999999999997E-2</v>
      </c>
      <c r="X1325" s="18">
        <f>Cardiac_Table[[#This Row],[Procedure Start Date and Time]]-Cardiac_Table[[#This Row],[Hospital Admit Date ]]</f>
        <v>0.24097222222189885</v>
      </c>
    </row>
    <row r="1326" spans="1:24" x14ac:dyDescent="0.35">
      <c r="A1326">
        <v>1337</v>
      </c>
      <c r="B1326" s="9">
        <v>44188.291666666664</v>
      </c>
      <c r="C1326" s="10">
        <f>INT(Cardiac_Table[[#This Row],[Hospital Admit Date ]])</f>
        <v>44188</v>
      </c>
      <c r="D1326" s="11" t="str">
        <f t="shared" si="20"/>
        <v>07:00</v>
      </c>
      <c r="E1326" s="9">
        <v>44188.618055555555</v>
      </c>
      <c r="F1326" s="10">
        <f>INT(Cardiac_Table[[#This Row],[Procedure Start Date and Time]])</f>
        <v>44188</v>
      </c>
      <c r="G1326" s="12">
        <f>MOD(Cardiac_Table[[#This Row],[Procedure Start Date and Time]],1)</f>
        <v>0.61805555555474712</v>
      </c>
      <c r="H1326">
        <v>5</v>
      </c>
      <c r="I1326" t="s">
        <v>4</v>
      </c>
      <c r="J1326" t="s">
        <v>11</v>
      </c>
      <c r="K1326" t="s">
        <v>24</v>
      </c>
      <c r="L1326">
        <v>61</v>
      </c>
      <c r="M1326">
        <v>2.78</v>
      </c>
      <c r="N1326">
        <v>1.43</v>
      </c>
      <c r="O1326" t="s">
        <v>15</v>
      </c>
      <c r="P1326">
        <v>67</v>
      </c>
      <c r="Q1326">
        <v>184</v>
      </c>
      <c r="R1326">
        <v>92</v>
      </c>
      <c r="S1326">
        <v>55</v>
      </c>
      <c r="T1326" t="s">
        <v>48</v>
      </c>
      <c r="U1326">
        <f>IF(Cardiac_Table[[#This Row],[Patient Status at Discharge]]="Died", 1,0)</f>
        <v>0</v>
      </c>
      <c r="V1326">
        <f>Cardiac_Table[[#This Row],[Risk of Death % (Model 1)]]/100</f>
        <v>2.7799999999999998E-2</v>
      </c>
      <c r="W1326">
        <f>Cardiac_Table[[#This Row],[Risk of Death % (Model 2)]]/100</f>
        <v>1.43E-2</v>
      </c>
      <c r="X1326" s="18">
        <f>Cardiac_Table[[#This Row],[Procedure Start Date and Time]]-Cardiac_Table[[#This Row],[Hospital Admit Date ]]</f>
        <v>0.32638888889050577</v>
      </c>
    </row>
    <row r="1327" spans="1:24" x14ac:dyDescent="0.35">
      <c r="A1327">
        <v>1338</v>
      </c>
      <c r="B1327" s="9">
        <v>44188.452777777777</v>
      </c>
      <c r="C1327" s="10">
        <f>INT(Cardiac_Table[[#This Row],[Hospital Admit Date ]])</f>
        <v>44188</v>
      </c>
      <c r="D1327" s="11" t="str">
        <f t="shared" si="20"/>
        <v>10:52</v>
      </c>
      <c r="E1327" s="9">
        <v>44189.345138888886</v>
      </c>
      <c r="F1327" s="10">
        <f>INT(Cardiac_Table[[#This Row],[Procedure Start Date and Time]])</f>
        <v>44189</v>
      </c>
      <c r="G1327" s="12">
        <f>MOD(Cardiac_Table[[#This Row],[Procedure Start Date and Time]],1)</f>
        <v>0.34513888888614019</v>
      </c>
      <c r="H1327">
        <v>4</v>
      </c>
      <c r="I1327" t="s">
        <v>6</v>
      </c>
      <c r="J1327" t="s">
        <v>11</v>
      </c>
      <c r="K1327" t="s">
        <v>21</v>
      </c>
      <c r="L1327">
        <v>70</v>
      </c>
      <c r="M1327">
        <v>16.5</v>
      </c>
      <c r="N1327">
        <v>12.3</v>
      </c>
      <c r="O1327" t="s">
        <v>15</v>
      </c>
      <c r="P1327">
        <v>62</v>
      </c>
      <c r="Q1327">
        <v>177</v>
      </c>
      <c r="R1327">
        <v>99</v>
      </c>
      <c r="S1327">
        <v>75</v>
      </c>
      <c r="T1327" t="s">
        <v>48</v>
      </c>
      <c r="U1327">
        <f>IF(Cardiac_Table[[#This Row],[Patient Status at Discharge]]="Died", 1,0)</f>
        <v>0</v>
      </c>
      <c r="V1327">
        <f>Cardiac_Table[[#This Row],[Risk of Death % (Model 1)]]/100</f>
        <v>0.16500000000000001</v>
      </c>
      <c r="W1327">
        <f>Cardiac_Table[[#This Row],[Risk of Death % (Model 2)]]/100</f>
        <v>0.12300000000000001</v>
      </c>
      <c r="X1327" s="18">
        <f>Cardiac_Table[[#This Row],[Procedure Start Date and Time]]-Cardiac_Table[[#This Row],[Hospital Admit Date ]]</f>
        <v>0.89236111110949423</v>
      </c>
    </row>
    <row r="1328" spans="1:24" x14ac:dyDescent="0.35">
      <c r="A1328">
        <v>1339</v>
      </c>
      <c r="B1328" s="9">
        <v>44187.728472222225</v>
      </c>
      <c r="C1328" s="10">
        <f>INT(Cardiac_Table[[#This Row],[Hospital Admit Date ]])</f>
        <v>44187</v>
      </c>
      <c r="D1328" s="11" t="str">
        <f t="shared" si="20"/>
        <v>17:29</v>
      </c>
      <c r="E1328" s="9">
        <v>44189.37222222222</v>
      </c>
      <c r="F1328" s="10">
        <f>INT(Cardiac_Table[[#This Row],[Procedure Start Date and Time]])</f>
        <v>44189</v>
      </c>
      <c r="G1328" s="12">
        <f>MOD(Cardiac_Table[[#This Row],[Procedure Start Date and Time]],1)</f>
        <v>0.37222222222044365</v>
      </c>
      <c r="H1328">
        <v>3</v>
      </c>
      <c r="I1328" t="s">
        <v>4</v>
      </c>
      <c r="J1328" t="s">
        <v>10</v>
      </c>
      <c r="K1328" t="s">
        <v>23</v>
      </c>
      <c r="L1328">
        <v>61</v>
      </c>
      <c r="M1328">
        <v>1.01</v>
      </c>
      <c r="N1328">
        <v>0.56999999999999995</v>
      </c>
      <c r="O1328" t="s">
        <v>15</v>
      </c>
      <c r="P1328">
        <v>78</v>
      </c>
      <c r="Q1328">
        <v>169</v>
      </c>
      <c r="R1328">
        <v>97</v>
      </c>
      <c r="S1328">
        <v>60</v>
      </c>
      <c r="T1328" t="s">
        <v>48</v>
      </c>
      <c r="U1328">
        <f>IF(Cardiac_Table[[#This Row],[Patient Status at Discharge]]="Died", 1,0)</f>
        <v>0</v>
      </c>
      <c r="V1328">
        <f>Cardiac_Table[[#This Row],[Risk of Death % (Model 1)]]/100</f>
        <v>1.01E-2</v>
      </c>
      <c r="W1328">
        <f>Cardiac_Table[[#This Row],[Risk of Death % (Model 2)]]/100</f>
        <v>5.6999999999999993E-3</v>
      </c>
      <c r="X1328" s="18">
        <f>Cardiac_Table[[#This Row],[Procedure Start Date and Time]]-Cardiac_Table[[#This Row],[Hospital Admit Date ]]</f>
        <v>1.6437499999956344</v>
      </c>
    </row>
    <row r="1329" spans="1:24" x14ac:dyDescent="0.35">
      <c r="A1329">
        <v>1340</v>
      </c>
      <c r="B1329" s="9">
        <v>44191.015277777777</v>
      </c>
      <c r="C1329" s="10">
        <f>INT(Cardiac_Table[[#This Row],[Hospital Admit Date ]])</f>
        <v>44191</v>
      </c>
      <c r="D1329" s="11" t="str">
        <f t="shared" si="20"/>
        <v>00:22</v>
      </c>
      <c r="E1329" s="9">
        <v>44191.4375</v>
      </c>
      <c r="F1329" s="10">
        <f>INT(Cardiac_Table[[#This Row],[Procedure Start Date and Time]])</f>
        <v>44191</v>
      </c>
      <c r="G1329" s="12">
        <f>MOD(Cardiac_Table[[#This Row],[Procedure Start Date and Time]],1)</f>
        <v>0.4375</v>
      </c>
      <c r="H1329">
        <v>1</v>
      </c>
      <c r="I1329" t="s">
        <v>2</v>
      </c>
      <c r="J1329" t="s">
        <v>5</v>
      </c>
      <c r="K1329" t="s">
        <v>23</v>
      </c>
      <c r="L1329">
        <v>57</v>
      </c>
      <c r="M1329">
        <v>38.89</v>
      </c>
      <c r="N1329">
        <v>20.91</v>
      </c>
      <c r="O1329" t="s">
        <v>13</v>
      </c>
      <c r="P1329">
        <v>76</v>
      </c>
      <c r="Q1329">
        <v>178</v>
      </c>
      <c r="R1329">
        <v>90</v>
      </c>
      <c r="S1329">
        <v>60</v>
      </c>
      <c r="T1329" t="s">
        <v>48</v>
      </c>
      <c r="U1329">
        <f>IF(Cardiac_Table[[#This Row],[Patient Status at Discharge]]="Died", 1,0)</f>
        <v>1</v>
      </c>
      <c r="V1329">
        <f>Cardiac_Table[[#This Row],[Risk of Death % (Model 1)]]/100</f>
        <v>0.38890000000000002</v>
      </c>
      <c r="W1329">
        <f>Cardiac_Table[[#This Row],[Risk of Death % (Model 2)]]/100</f>
        <v>0.20910000000000001</v>
      </c>
      <c r="X1329" s="18">
        <f>Cardiac_Table[[#This Row],[Procedure Start Date and Time]]-Cardiac_Table[[#This Row],[Hospital Admit Date ]]</f>
        <v>0.42222222222335404</v>
      </c>
    </row>
    <row r="1330" spans="1:24" x14ac:dyDescent="0.35">
      <c r="A1330">
        <v>1341</v>
      </c>
      <c r="B1330" s="9">
        <v>44191.794444444444</v>
      </c>
      <c r="C1330" s="10">
        <f>INT(Cardiac_Table[[#This Row],[Hospital Admit Date ]])</f>
        <v>44191</v>
      </c>
      <c r="D1330" s="11" t="str">
        <f t="shared" si="20"/>
        <v>19:04</v>
      </c>
      <c r="E1330" s="9">
        <v>44191.8125</v>
      </c>
      <c r="F1330" s="10">
        <f>INT(Cardiac_Table[[#This Row],[Procedure Start Date and Time]])</f>
        <v>44191</v>
      </c>
      <c r="G1330" s="12">
        <f>MOD(Cardiac_Table[[#This Row],[Procedure Start Date and Time]],1)</f>
        <v>0.8125</v>
      </c>
      <c r="H1330">
        <v>1</v>
      </c>
      <c r="I1330" t="s">
        <v>2</v>
      </c>
      <c r="J1330" t="s">
        <v>1</v>
      </c>
      <c r="K1330" t="s">
        <v>23</v>
      </c>
      <c r="L1330">
        <v>60</v>
      </c>
      <c r="M1330">
        <v>9.61</v>
      </c>
      <c r="N1330">
        <v>3.27</v>
      </c>
      <c r="O1330" t="s">
        <v>15</v>
      </c>
      <c r="P1330">
        <v>72</v>
      </c>
      <c r="Q1330">
        <v>162</v>
      </c>
      <c r="R1330">
        <v>79</v>
      </c>
      <c r="S1330">
        <v>60</v>
      </c>
      <c r="T1330" t="s">
        <v>48</v>
      </c>
      <c r="U1330">
        <f>IF(Cardiac_Table[[#This Row],[Patient Status at Discharge]]="Died", 1,0)</f>
        <v>0</v>
      </c>
      <c r="V1330">
        <f>Cardiac_Table[[#This Row],[Risk of Death % (Model 1)]]/100</f>
        <v>9.6099999999999991E-2</v>
      </c>
      <c r="W1330">
        <f>Cardiac_Table[[#This Row],[Risk of Death % (Model 2)]]/100</f>
        <v>3.27E-2</v>
      </c>
      <c r="X1330" s="18">
        <f>Cardiac_Table[[#This Row],[Procedure Start Date and Time]]-Cardiac_Table[[#This Row],[Hospital Admit Date ]]</f>
        <v>1.8055555556202307E-2</v>
      </c>
    </row>
    <row r="1331" spans="1:24" x14ac:dyDescent="0.35">
      <c r="A1331">
        <v>1342</v>
      </c>
      <c r="B1331" s="9">
        <v>44193.571527777778</v>
      </c>
      <c r="C1331" s="10">
        <f>INT(Cardiac_Table[[#This Row],[Hospital Admit Date ]])</f>
        <v>44193</v>
      </c>
      <c r="D1331" s="11" t="str">
        <f t="shared" si="20"/>
        <v>13:43</v>
      </c>
      <c r="E1331" s="9">
        <v>44193.6875</v>
      </c>
      <c r="F1331" s="10">
        <f>INT(Cardiac_Table[[#This Row],[Procedure Start Date and Time]])</f>
        <v>44193</v>
      </c>
      <c r="G1331" s="12">
        <f>MOD(Cardiac_Table[[#This Row],[Procedure Start Date and Time]],1)</f>
        <v>0.6875</v>
      </c>
      <c r="H1331">
        <v>2</v>
      </c>
      <c r="I1331" t="s">
        <v>2</v>
      </c>
      <c r="J1331" t="s">
        <v>1</v>
      </c>
      <c r="K1331" t="s">
        <v>30</v>
      </c>
      <c r="L1331">
        <v>78</v>
      </c>
      <c r="M1331">
        <v>62.7</v>
      </c>
      <c r="N1331">
        <v>14.22</v>
      </c>
      <c r="O1331" t="s">
        <v>13</v>
      </c>
      <c r="P1331">
        <v>92</v>
      </c>
      <c r="Q1331">
        <v>146</v>
      </c>
      <c r="R1331">
        <v>56</v>
      </c>
      <c r="S1331">
        <v>62</v>
      </c>
      <c r="T1331" t="s">
        <v>48</v>
      </c>
      <c r="U1331">
        <f>IF(Cardiac_Table[[#This Row],[Patient Status at Discharge]]="Died", 1,0)</f>
        <v>1</v>
      </c>
      <c r="V1331">
        <f>Cardiac_Table[[#This Row],[Risk of Death % (Model 1)]]/100</f>
        <v>0.627</v>
      </c>
      <c r="W1331">
        <f>Cardiac_Table[[#This Row],[Risk of Death % (Model 2)]]/100</f>
        <v>0.14219999999999999</v>
      </c>
      <c r="X1331" s="18">
        <f>Cardiac_Table[[#This Row],[Procedure Start Date and Time]]-Cardiac_Table[[#This Row],[Hospital Admit Date ]]</f>
        <v>0.11597222222189885</v>
      </c>
    </row>
    <row r="1332" spans="1:24" x14ac:dyDescent="0.35">
      <c r="A1332">
        <v>1343</v>
      </c>
      <c r="B1332" s="9">
        <v>44193.666666666664</v>
      </c>
      <c r="C1332" s="10">
        <f>INT(Cardiac_Table[[#This Row],[Hospital Admit Date ]])</f>
        <v>44193</v>
      </c>
      <c r="D1332" s="11" t="str">
        <f t="shared" si="20"/>
        <v>16:00</v>
      </c>
      <c r="E1332" s="9">
        <v>44194.330555555556</v>
      </c>
      <c r="F1332" s="10">
        <f>INT(Cardiac_Table[[#This Row],[Procedure Start Date and Time]])</f>
        <v>44194</v>
      </c>
      <c r="G1332" s="12">
        <f>MOD(Cardiac_Table[[#This Row],[Procedure Start Date and Time]],1)</f>
        <v>0.33055555555620231</v>
      </c>
      <c r="H1332">
        <v>1</v>
      </c>
      <c r="I1332" t="s">
        <v>4</v>
      </c>
      <c r="J1332" t="s">
        <v>3</v>
      </c>
      <c r="K1332" t="s">
        <v>35</v>
      </c>
      <c r="L1332">
        <v>58</v>
      </c>
      <c r="M1332">
        <v>3.13</v>
      </c>
      <c r="N1332">
        <v>2.27</v>
      </c>
      <c r="O1332" t="s">
        <v>15</v>
      </c>
      <c r="P1332">
        <v>102</v>
      </c>
      <c r="Q1332">
        <v>175</v>
      </c>
      <c r="R1332">
        <v>86</v>
      </c>
      <c r="S1332">
        <v>46</v>
      </c>
      <c r="T1332" t="s">
        <v>50</v>
      </c>
      <c r="U1332">
        <f>IF(Cardiac_Table[[#This Row],[Patient Status at Discharge]]="Died", 1,0)</f>
        <v>0</v>
      </c>
      <c r="V1332">
        <f>Cardiac_Table[[#This Row],[Risk of Death % (Model 1)]]/100</f>
        <v>3.1300000000000001E-2</v>
      </c>
      <c r="W1332">
        <f>Cardiac_Table[[#This Row],[Risk of Death % (Model 2)]]/100</f>
        <v>2.2700000000000001E-2</v>
      </c>
      <c r="X1332" s="18">
        <f>Cardiac_Table[[#This Row],[Procedure Start Date and Time]]-Cardiac_Table[[#This Row],[Hospital Admit Date ]]</f>
        <v>0.66388888889196096</v>
      </c>
    </row>
    <row r="1333" spans="1:24" x14ac:dyDescent="0.35">
      <c r="A1333">
        <v>1344</v>
      </c>
      <c r="B1333" s="9">
        <v>44192.583333333336</v>
      </c>
      <c r="C1333" s="10">
        <f>INT(Cardiac_Table[[#This Row],[Hospital Admit Date ]])</f>
        <v>44192</v>
      </c>
      <c r="D1333" s="11" t="str">
        <f t="shared" si="20"/>
        <v>14:00</v>
      </c>
      <c r="E1333" s="9">
        <v>44194.34652777778</v>
      </c>
      <c r="F1333" s="10">
        <f>INT(Cardiac_Table[[#This Row],[Procedure Start Date and Time]])</f>
        <v>44194</v>
      </c>
      <c r="G1333" s="12">
        <f>MOD(Cardiac_Table[[#This Row],[Procedure Start Date and Time]],1)</f>
        <v>0.34652777777955635</v>
      </c>
      <c r="H1333">
        <v>4</v>
      </c>
      <c r="I1333" t="s">
        <v>6</v>
      </c>
      <c r="J1333" t="s">
        <v>11</v>
      </c>
      <c r="K1333" t="s">
        <v>26</v>
      </c>
      <c r="L1333">
        <v>68</v>
      </c>
      <c r="M1333">
        <v>7.68</v>
      </c>
      <c r="N1333">
        <v>8.48</v>
      </c>
      <c r="O1333" t="s">
        <v>15</v>
      </c>
      <c r="P1333">
        <v>126</v>
      </c>
      <c r="Q1333">
        <v>156</v>
      </c>
      <c r="R1333">
        <v>74</v>
      </c>
      <c r="S1333">
        <v>45</v>
      </c>
      <c r="T1333" t="s">
        <v>50</v>
      </c>
      <c r="U1333">
        <f>IF(Cardiac_Table[[#This Row],[Patient Status at Discharge]]="Died", 1,0)</f>
        <v>0</v>
      </c>
      <c r="V1333">
        <f>Cardiac_Table[[#This Row],[Risk of Death % (Model 1)]]/100</f>
        <v>7.6799999999999993E-2</v>
      </c>
      <c r="W1333">
        <f>Cardiac_Table[[#This Row],[Risk of Death % (Model 2)]]/100</f>
        <v>8.48E-2</v>
      </c>
      <c r="X1333" s="18">
        <f>Cardiac_Table[[#This Row],[Procedure Start Date and Time]]-Cardiac_Table[[#This Row],[Hospital Admit Date ]]</f>
        <v>1.7631944444437977</v>
      </c>
    </row>
    <row r="1334" spans="1:24" x14ac:dyDescent="0.35">
      <c r="A1334">
        <v>1345</v>
      </c>
      <c r="B1334" s="9">
        <v>44192.583333333336</v>
      </c>
      <c r="C1334" s="10">
        <f>INT(Cardiac_Table[[#This Row],[Hospital Admit Date ]])</f>
        <v>44192</v>
      </c>
      <c r="D1334" s="11" t="str">
        <f t="shared" si="20"/>
        <v>14:00</v>
      </c>
      <c r="E1334" s="9">
        <v>44194.527083333334</v>
      </c>
      <c r="F1334" s="10">
        <f>INT(Cardiac_Table[[#This Row],[Procedure Start Date and Time]])</f>
        <v>44194</v>
      </c>
      <c r="G1334" s="12">
        <f>MOD(Cardiac_Table[[#This Row],[Procedure Start Date and Time]],1)</f>
        <v>0.52708333333430346</v>
      </c>
      <c r="H1334">
        <v>1</v>
      </c>
      <c r="I1334" t="s">
        <v>6</v>
      </c>
      <c r="J1334" t="s">
        <v>3</v>
      </c>
      <c r="K1334" t="s">
        <v>25</v>
      </c>
      <c r="L1334">
        <v>54</v>
      </c>
      <c r="M1334">
        <v>5.97</v>
      </c>
      <c r="N1334">
        <v>2.54</v>
      </c>
      <c r="O1334" t="s">
        <v>15</v>
      </c>
      <c r="P1334">
        <v>70</v>
      </c>
      <c r="Q1334">
        <v>170</v>
      </c>
      <c r="R1334">
        <v>70</v>
      </c>
      <c r="S1334">
        <v>40</v>
      </c>
      <c r="T1334" t="s">
        <v>50</v>
      </c>
      <c r="U1334">
        <f>IF(Cardiac_Table[[#This Row],[Patient Status at Discharge]]="Died", 1,0)</f>
        <v>0</v>
      </c>
      <c r="V1334">
        <f>Cardiac_Table[[#This Row],[Risk of Death % (Model 1)]]/100</f>
        <v>5.9699999999999996E-2</v>
      </c>
      <c r="W1334">
        <f>Cardiac_Table[[#This Row],[Risk of Death % (Model 2)]]/100</f>
        <v>2.5399999999999999E-2</v>
      </c>
      <c r="X1334" s="18">
        <f>Cardiac_Table[[#This Row],[Procedure Start Date and Time]]-Cardiac_Table[[#This Row],[Hospital Admit Date ]]</f>
        <v>1.9437499999985448</v>
      </c>
    </row>
    <row r="1335" spans="1:24" x14ac:dyDescent="0.35">
      <c r="A1335">
        <v>1346</v>
      </c>
      <c r="B1335" s="9">
        <v>44195.275000000001</v>
      </c>
      <c r="C1335" s="10">
        <f>INT(Cardiac_Table[[#This Row],[Hospital Admit Date ]])</f>
        <v>44195</v>
      </c>
      <c r="D1335" s="11" t="str">
        <f t="shared" si="20"/>
        <v>06:36</v>
      </c>
      <c r="E1335" s="9">
        <v>44195.322222222225</v>
      </c>
      <c r="F1335" s="10">
        <f>INT(Cardiac_Table[[#This Row],[Procedure Start Date and Time]])</f>
        <v>44195</v>
      </c>
      <c r="G1335" s="12">
        <f>MOD(Cardiac_Table[[#This Row],[Procedure Start Date and Time]],1)</f>
        <v>0.32222222222480923</v>
      </c>
      <c r="H1335">
        <v>5</v>
      </c>
      <c r="I1335" t="s">
        <v>2</v>
      </c>
      <c r="J1335" t="s">
        <v>1</v>
      </c>
      <c r="K1335" t="s">
        <v>30</v>
      </c>
      <c r="L1335">
        <v>34</v>
      </c>
      <c r="M1335">
        <v>9.0399999999999991</v>
      </c>
      <c r="N1335">
        <v>3.27</v>
      </c>
      <c r="O1335" t="s">
        <v>15</v>
      </c>
      <c r="P1335">
        <v>80</v>
      </c>
      <c r="Q1335">
        <v>175</v>
      </c>
      <c r="R1335">
        <v>70</v>
      </c>
      <c r="S1335">
        <v>37</v>
      </c>
      <c r="T1335" t="s">
        <v>50</v>
      </c>
      <c r="U1335">
        <f>IF(Cardiac_Table[[#This Row],[Patient Status at Discharge]]="Died", 1,0)</f>
        <v>0</v>
      </c>
      <c r="V1335">
        <f>Cardiac_Table[[#This Row],[Risk of Death % (Model 1)]]/100</f>
        <v>9.0399999999999994E-2</v>
      </c>
      <c r="W1335">
        <f>Cardiac_Table[[#This Row],[Risk of Death % (Model 2)]]/100</f>
        <v>3.27E-2</v>
      </c>
      <c r="X1335" s="18">
        <f>Cardiac_Table[[#This Row],[Procedure Start Date and Time]]-Cardiac_Table[[#This Row],[Hospital Admit Date ]]</f>
        <v>4.7222222223354038E-2</v>
      </c>
    </row>
    <row r="1336" spans="1:24" x14ac:dyDescent="0.35">
      <c r="A1336">
        <v>1347</v>
      </c>
      <c r="B1336" s="9">
        <v>44194.291666666664</v>
      </c>
      <c r="C1336" s="10">
        <f>INT(Cardiac_Table[[#This Row],[Hospital Admit Date ]])</f>
        <v>44194</v>
      </c>
      <c r="D1336" s="11" t="str">
        <f t="shared" si="20"/>
        <v>07:00</v>
      </c>
      <c r="E1336" s="9">
        <v>44195.564583333333</v>
      </c>
      <c r="F1336" s="10">
        <f>INT(Cardiac_Table[[#This Row],[Procedure Start Date and Time]])</f>
        <v>44195</v>
      </c>
      <c r="G1336" s="12">
        <f>MOD(Cardiac_Table[[#This Row],[Procedure Start Date and Time]],1)</f>
        <v>0.56458333333284827</v>
      </c>
      <c r="H1336">
        <v>4</v>
      </c>
      <c r="I1336" t="s">
        <v>6</v>
      </c>
      <c r="J1336" t="s">
        <v>10</v>
      </c>
      <c r="K1336" t="s">
        <v>30</v>
      </c>
      <c r="L1336">
        <v>67</v>
      </c>
      <c r="M1336">
        <v>1.49</v>
      </c>
      <c r="N1336">
        <v>0.84</v>
      </c>
      <c r="O1336" t="s">
        <v>15</v>
      </c>
      <c r="P1336">
        <v>97</v>
      </c>
      <c r="Q1336">
        <v>159</v>
      </c>
      <c r="R1336">
        <v>82</v>
      </c>
      <c r="S1336">
        <v>20</v>
      </c>
      <c r="T1336" t="s">
        <v>51</v>
      </c>
      <c r="U1336">
        <f>IF(Cardiac_Table[[#This Row],[Patient Status at Discharge]]="Died", 1,0)</f>
        <v>0</v>
      </c>
      <c r="V1336">
        <f>Cardiac_Table[[#This Row],[Risk of Death % (Model 1)]]/100</f>
        <v>1.49E-2</v>
      </c>
      <c r="W1336">
        <f>Cardiac_Table[[#This Row],[Risk of Death % (Model 2)]]/100</f>
        <v>8.3999999999999995E-3</v>
      </c>
      <c r="X1336" s="18">
        <f>Cardiac_Table[[#This Row],[Procedure Start Date and Time]]-Cardiac_Table[[#This Row],[Hospital Admit Date ]]</f>
        <v>1.2729166666686069</v>
      </c>
    </row>
  </sheetData>
  <conditionalFormatting sqref="A2:A1336">
    <cfRule type="duplicateValues" dxfId="0" priority="21"/>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7CDA-4622-46A0-8548-B1B32CDC8983}">
  <dimension ref="A1:I30"/>
  <sheetViews>
    <sheetView topLeftCell="B15" workbookViewId="0">
      <selection activeCell="A31" sqref="A31"/>
    </sheetView>
  </sheetViews>
  <sheetFormatPr defaultRowHeight="14.5" x14ac:dyDescent="0.35"/>
  <sheetData>
    <row r="1" spans="1:9" x14ac:dyDescent="0.35">
      <c r="A1" t="s">
        <v>65</v>
      </c>
    </row>
    <row r="2" spans="1:9" x14ac:dyDescent="0.35">
      <c r="A2">
        <f>COUNTA(_xlfn.UNIQUE(Cardiac_Table[Surgeon Name]))</f>
        <v>17</v>
      </c>
    </row>
    <row r="5" spans="1:9" x14ac:dyDescent="0.35">
      <c r="A5" t="s">
        <v>72</v>
      </c>
      <c r="I5" t="s">
        <v>78</v>
      </c>
    </row>
    <row r="6" spans="1:9" x14ac:dyDescent="0.35">
      <c r="A6" t="s">
        <v>73</v>
      </c>
      <c r="I6">
        <f>COUNTIFS(Cardiac_Table[Surgeon Name],Data!K2,Cardiac_Table[Patient Status at Discharge],"Died")/COUNTIF(Cardiac_Table[Surgeon Name],Data!K2)</f>
        <v>4.5454545454545456E-2</v>
      </c>
    </row>
    <row r="7" spans="1:9" x14ac:dyDescent="0.35">
      <c r="A7" t="s">
        <v>74</v>
      </c>
    </row>
    <row r="8" spans="1:9" x14ac:dyDescent="0.35">
      <c r="A8" t="s">
        <v>77</v>
      </c>
    </row>
    <row r="10" spans="1:9" x14ac:dyDescent="0.35">
      <c r="A10" t="s">
        <v>80</v>
      </c>
    </row>
    <row r="11" spans="1:9" x14ac:dyDescent="0.35">
      <c r="B11" t="s">
        <v>66</v>
      </c>
    </row>
    <row r="12" spans="1:9" x14ac:dyDescent="0.35">
      <c r="A12" t="s">
        <v>79</v>
      </c>
    </row>
    <row r="13" spans="1:9" x14ac:dyDescent="0.35">
      <c r="A13" t="s">
        <v>83</v>
      </c>
    </row>
    <row r="14" spans="1:9" x14ac:dyDescent="0.35">
      <c r="A14" t="s">
        <v>84</v>
      </c>
    </row>
    <row r="16" spans="1:9" x14ac:dyDescent="0.35">
      <c r="A16" t="s">
        <v>85</v>
      </c>
    </row>
    <row r="17" spans="1:1" x14ac:dyDescent="0.35">
      <c r="A17" t="s">
        <v>86</v>
      </c>
    </row>
    <row r="19" spans="1:1" x14ac:dyDescent="0.35">
      <c r="A19" t="s">
        <v>89</v>
      </c>
    </row>
    <row r="20" spans="1:1" x14ac:dyDescent="0.35">
      <c r="A20" t="s">
        <v>93</v>
      </c>
    </row>
    <row r="21" spans="1:1" x14ac:dyDescent="0.35">
      <c r="A21" t="s">
        <v>90</v>
      </c>
    </row>
    <row r="22" spans="1:1" x14ac:dyDescent="0.35">
      <c r="A22" t="s">
        <v>94</v>
      </c>
    </row>
    <row r="23" spans="1:1" x14ac:dyDescent="0.35">
      <c r="A23" t="s">
        <v>91</v>
      </c>
    </row>
    <row r="26" spans="1:1" x14ac:dyDescent="0.35">
      <c r="A26" t="s">
        <v>100</v>
      </c>
    </row>
    <row r="27" spans="1:1" x14ac:dyDescent="0.35">
      <c r="A27" t="s">
        <v>101</v>
      </c>
    </row>
    <row r="28" spans="1:1" x14ac:dyDescent="0.35">
      <c r="A28" t="s">
        <v>103</v>
      </c>
    </row>
    <row r="29" spans="1:1" x14ac:dyDescent="0.35">
      <c r="A29" t="s">
        <v>104</v>
      </c>
    </row>
    <row r="30" spans="1:1" x14ac:dyDescent="0.35">
      <c r="A30"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7BC6-9DAD-4B2C-9813-EC8C529D625D}">
  <dimension ref="A3:R22"/>
  <sheetViews>
    <sheetView topLeftCell="E1" workbookViewId="0">
      <selection activeCell="A31" sqref="A31"/>
    </sheetView>
  </sheetViews>
  <sheetFormatPr defaultRowHeight="14.5" x14ac:dyDescent="0.35"/>
  <cols>
    <col min="1" max="1" width="21.81640625" bestFit="1" customWidth="1"/>
    <col min="2" max="2" width="15.26953125" bestFit="1" customWidth="1"/>
    <col min="3" max="3" width="5.453125" bestFit="1" customWidth="1"/>
    <col min="4" max="4" width="12.36328125" bestFit="1" customWidth="1"/>
    <col min="5" max="5" width="12.26953125" bestFit="1" customWidth="1"/>
    <col min="6" max="6" width="5.26953125" bestFit="1" customWidth="1"/>
    <col min="7" max="7" width="5.7265625" bestFit="1" customWidth="1"/>
    <col min="8" max="8" width="5.36328125" bestFit="1" customWidth="1"/>
    <col min="9" max="9" width="10.7265625" bestFit="1" customWidth="1"/>
  </cols>
  <sheetData>
    <row r="3" spans="1:18" x14ac:dyDescent="0.35">
      <c r="A3" s="13" t="s">
        <v>69</v>
      </c>
      <c r="B3" s="13" t="s">
        <v>70</v>
      </c>
    </row>
    <row r="4" spans="1:18" x14ac:dyDescent="0.35">
      <c r="A4" s="13" t="s">
        <v>67</v>
      </c>
      <c r="B4" t="s">
        <v>1</v>
      </c>
      <c r="C4" t="s">
        <v>10</v>
      </c>
      <c r="D4" t="s">
        <v>11</v>
      </c>
      <c r="E4" t="s">
        <v>5</v>
      </c>
      <c r="F4" t="s">
        <v>7</v>
      </c>
      <c r="G4" t="s">
        <v>8</v>
      </c>
      <c r="H4" t="s">
        <v>3</v>
      </c>
      <c r="I4" t="s">
        <v>68</v>
      </c>
    </row>
    <row r="5" spans="1:18" x14ac:dyDescent="0.35">
      <c r="A5" s="14" t="s">
        <v>29</v>
      </c>
      <c r="B5">
        <v>11</v>
      </c>
      <c r="C5">
        <v>29</v>
      </c>
      <c r="D5">
        <v>17</v>
      </c>
      <c r="E5">
        <v>1</v>
      </c>
      <c r="H5">
        <v>17</v>
      </c>
      <c r="I5">
        <v>75</v>
      </c>
    </row>
    <row r="6" spans="1:18" x14ac:dyDescent="0.35">
      <c r="A6" s="14" t="s">
        <v>30</v>
      </c>
      <c r="B6">
        <v>11</v>
      </c>
      <c r="C6">
        <v>50</v>
      </c>
      <c r="D6">
        <v>20</v>
      </c>
      <c r="E6">
        <v>5</v>
      </c>
      <c r="F6">
        <v>1</v>
      </c>
      <c r="H6">
        <v>23</v>
      </c>
      <c r="I6">
        <v>110</v>
      </c>
    </row>
    <row r="7" spans="1:18" x14ac:dyDescent="0.35">
      <c r="A7" s="14" t="s">
        <v>27</v>
      </c>
      <c r="B7">
        <v>4</v>
      </c>
      <c r="C7">
        <v>27</v>
      </c>
      <c r="D7">
        <v>9</v>
      </c>
      <c r="H7">
        <v>19</v>
      </c>
      <c r="I7">
        <v>59</v>
      </c>
    </row>
    <row r="8" spans="1:18" x14ac:dyDescent="0.35">
      <c r="A8" s="14" t="s">
        <v>36</v>
      </c>
      <c r="C8">
        <v>1</v>
      </c>
      <c r="D8">
        <v>1</v>
      </c>
      <c r="H8">
        <v>2</v>
      </c>
      <c r="I8">
        <v>4</v>
      </c>
    </row>
    <row r="9" spans="1:18" x14ac:dyDescent="0.35">
      <c r="A9" s="14" t="s">
        <v>34</v>
      </c>
      <c r="B9">
        <v>3</v>
      </c>
      <c r="C9">
        <v>6</v>
      </c>
      <c r="D9">
        <v>4</v>
      </c>
      <c r="H9">
        <v>7</v>
      </c>
      <c r="I9">
        <v>20</v>
      </c>
    </row>
    <row r="10" spans="1:18" x14ac:dyDescent="0.35">
      <c r="A10" s="14" t="s">
        <v>25</v>
      </c>
      <c r="B10">
        <v>1</v>
      </c>
      <c r="C10">
        <v>7</v>
      </c>
      <c r="D10">
        <v>1</v>
      </c>
      <c r="H10">
        <v>3</v>
      </c>
      <c r="I10">
        <v>12</v>
      </c>
      <c r="R10" t="s">
        <v>66</v>
      </c>
    </row>
    <row r="11" spans="1:18" x14ac:dyDescent="0.35">
      <c r="A11" s="14" t="s">
        <v>33</v>
      </c>
      <c r="B11">
        <v>5</v>
      </c>
      <c r="C11">
        <v>33</v>
      </c>
      <c r="D11">
        <v>18</v>
      </c>
      <c r="E11">
        <v>5</v>
      </c>
      <c r="H11">
        <v>42</v>
      </c>
      <c r="I11">
        <v>103</v>
      </c>
    </row>
    <row r="12" spans="1:18" x14ac:dyDescent="0.35">
      <c r="A12" s="14" t="s">
        <v>28</v>
      </c>
      <c r="B12">
        <v>3</v>
      </c>
      <c r="C12">
        <v>9</v>
      </c>
      <c r="D12">
        <v>16</v>
      </c>
      <c r="E12">
        <v>2</v>
      </c>
      <c r="F12">
        <v>1</v>
      </c>
      <c r="H12">
        <v>65</v>
      </c>
      <c r="I12">
        <v>96</v>
      </c>
    </row>
    <row r="13" spans="1:18" x14ac:dyDescent="0.35">
      <c r="A13" s="14" t="s">
        <v>31</v>
      </c>
      <c r="B13">
        <v>12</v>
      </c>
      <c r="C13">
        <v>89</v>
      </c>
      <c r="D13">
        <v>28</v>
      </c>
      <c r="E13">
        <v>4</v>
      </c>
      <c r="H13">
        <v>26</v>
      </c>
      <c r="I13">
        <v>159</v>
      </c>
    </row>
    <row r="14" spans="1:18" x14ac:dyDescent="0.35">
      <c r="A14" s="14" t="s">
        <v>26</v>
      </c>
      <c r="B14">
        <v>2</v>
      </c>
      <c r="C14">
        <v>37</v>
      </c>
      <c r="D14">
        <v>20</v>
      </c>
      <c r="E14">
        <v>2</v>
      </c>
      <c r="H14">
        <v>18</v>
      </c>
      <c r="I14">
        <v>79</v>
      </c>
    </row>
    <row r="15" spans="1:18" x14ac:dyDescent="0.35">
      <c r="A15" s="14" t="s">
        <v>35</v>
      </c>
      <c r="C15">
        <v>7</v>
      </c>
      <c r="D15">
        <v>16</v>
      </c>
      <c r="H15">
        <v>103</v>
      </c>
      <c r="I15">
        <v>126</v>
      </c>
    </row>
    <row r="16" spans="1:18" x14ac:dyDescent="0.35">
      <c r="A16" s="14" t="s">
        <v>23</v>
      </c>
      <c r="B16">
        <v>49</v>
      </c>
      <c r="C16">
        <v>48</v>
      </c>
      <c r="D16">
        <v>24</v>
      </c>
      <c r="E16">
        <v>2</v>
      </c>
      <c r="G16">
        <v>1</v>
      </c>
      <c r="H16">
        <v>33</v>
      </c>
      <c r="I16">
        <v>157</v>
      </c>
    </row>
    <row r="17" spans="1:9" x14ac:dyDescent="0.35">
      <c r="A17" s="14" t="s">
        <v>32</v>
      </c>
      <c r="B17">
        <v>2</v>
      </c>
      <c r="C17">
        <v>15</v>
      </c>
      <c r="D17">
        <v>31</v>
      </c>
      <c r="E17">
        <v>1</v>
      </c>
      <c r="G17">
        <v>1</v>
      </c>
      <c r="H17">
        <v>44</v>
      </c>
      <c r="I17">
        <v>94</v>
      </c>
    </row>
    <row r="18" spans="1:9" x14ac:dyDescent="0.35">
      <c r="A18" s="14" t="s">
        <v>22</v>
      </c>
      <c r="B18">
        <v>7</v>
      </c>
      <c r="C18">
        <v>6</v>
      </c>
      <c r="D18">
        <v>7</v>
      </c>
      <c r="H18">
        <v>8</v>
      </c>
      <c r="I18">
        <v>28</v>
      </c>
    </row>
    <row r="19" spans="1:9" x14ac:dyDescent="0.35">
      <c r="A19" s="14" t="s">
        <v>24</v>
      </c>
      <c r="B19">
        <v>6</v>
      </c>
      <c r="C19">
        <v>59</v>
      </c>
      <c r="D19">
        <v>20</v>
      </c>
      <c r="H19">
        <v>22</v>
      </c>
      <c r="I19">
        <v>107</v>
      </c>
    </row>
    <row r="20" spans="1:9" x14ac:dyDescent="0.35">
      <c r="A20" s="14" t="s">
        <v>21</v>
      </c>
      <c r="B20">
        <v>5</v>
      </c>
      <c r="C20">
        <v>43</v>
      </c>
      <c r="D20">
        <v>12</v>
      </c>
      <c r="F20">
        <v>1</v>
      </c>
      <c r="H20">
        <v>27</v>
      </c>
      <c r="I20">
        <v>88</v>
      </c>
    </row>
    <row r="21" spans="1:9" x14ac:dyDescent="0.35">
      <c r="A21" s="14" t="s">
        <v>20</v>
      </c>
      <c r="B21">
        <v>1</v>
      </c>
      <c r="C21">
        <v>2</v>
      </c>
      <c r="D21">
        <v>3</v>
      </c>
      <c r="E21">
        <v>1</v>
      </c>
      <c r="H21">
        <v>11</v>
      </c>
      <c r="I21">
        <v>18</v>
      </c>
    </row>
    <row r="22" spans="1:9" x14ac:dyDescent="0.35">
      <c r="A22" s="14" t="s">
        <v>68</v>
      </c>
      <c r="B22">
        <v>122</v>
      </c>
      <c r="C22">
        <v>468</v>
      </c>
      <c r="D22">
        <v>247</v>
      </c>
      <c r="E22">
        <v>23</v>
      </c>
      <c r="F22">
        <v>3</v>
      </c>
      <c r="G22">
        <v>2</v>
      </c>
      <c r="H22">
        <v>470</v>
      </c>
      <c r="I22">
        <v>1335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D871-4639-4596-9925-2C157A53F0F6}">
  <dimension ref="A3:F21"/>
  <sheetViews>
    <sheetView topLeftCell="F1" workbookViewId="0">
      <selection activeCell="A31" sqref="A31"/>
    </sheetView>
  </sheetViews>
  <sheetFormatPr defaultRowHeight="14.5" x14ac:dyDescent="0.35"/>
  <cols>
    <col min="1" max="1" width="20.26953125" bestFit="1" customWidth="1"/>
    <col min="2" max="2" width="17.36328125" bestFit="1" customWidth="1"/>
    <col min="3" max="3" width="26.81640625" bestFit="1" customWidth="1"/>
    <col min="4" max="4" width="24" bestFit="1" customWidth="1"/>
    <col min="5" max="5" width="30.81640625" bestFit="1" customWidth="1"/>
    <col min="6" max="7" width="33.54296875" bestFit="1" customWidth="1"/>
  </cols>
  <sheetData>
    <row r="3" spans="1:6" x14ac:dyDescent="0.35">
      <c r="A3" s="13" t="s">
        <v>95</v>
      </c>
      <c r="B3" t="s">
        <v>96</v>
      </c>
      <c r="C3" t="s">
        <v>99</v>
      </c>
      <c r="D3" t="s">
        <v>97</v>
      </c>
      <c r="E3" t="s">
        <v>81</v>
      </c>
      <c r="F3" t="s">
        <v>82</v>
      </c>
    </row>
    <row r="4" spans="1:6" x14ac:dyDescent="0.35">
      <c r="A4" s="14" t="s">
        <v>29</v>
      </c>
      <c r="B4">
        <v>75</v>
      </c>
      <c r="C4" s="17">
        <v>5.8569000000000004</v>
      </c>
      <c r="D4">
        <v>2</v>
      </c>
      <c r="E4" s="15">
        <v>3.9643211100099106E-4</v>
      </c>
      <c r="F4" s="15">
        <v>1.1609316154608525E-3</v>
      </c>
    </row>
    <row r="5" spans="1:6" x14ac:dyDescent="0.35">
      <c r="A5" s="14" t="s">
        <v>30</v>
      </c>
      <c r="B5">
        <v>110</v>
      </c>
      <c r="C5" s="17">
        <v>11.293400000000004</v>
      </c>
      <c r="D5">
        <v>5</v>
      </c>
      <c r="E5" s="15">
        <v>6.8624759813340648E-4</v>
      </c>
      <c r="F5" s="15">
        <v>1.5500137249519631E-3</v>
      </c>
    </row>
    <row r="6" spans="1:6" x14ac:dyDescent="0.35">
      <c r="A6" s="14" t="s">
        <v>27</v>
      </c>
      <c r="B6">
        <v>59</v>
      </c>
      <c r="C6" s="17">
        <v>3.6081999999999996</v>
      </c>
      <c r="D6">
        <v>1</v>
      </c>
      <c r="E6" s="15">
        <v>2.4679170779861795E-4</v>
      </c>
      <c r="F6" s="15">
        <v>8.9047384007897321E-4</v>
      </c>
    </row>
    <row r="7" spans="1:6" x14ac:dyDescent="0.35">
      <c r="A7" s="14" t="s">
        <v>36</v>
      </c>
      <c r="B7">
        <v>4</v>
      </c>
      <c r="C7" s="17">
        <v>0.90040000000000009</v>
      </c>
      <c r="D7">
        <v>3</v>
      </c>
      <c r="E7" s="15">
        <v>1.1235955056179775E-2</v>
      </c>
      <c r="F7" s="15">
        <v>3.3722846441947567E-3</v>
      </c>
    </row>
    <row r="8" spans="1:6" x14ac:dyDescent="0.35">
      <c r="A8" s="14" t="s">
        <v>34</v>
      </c>
      <c r="B8">
        <v>20</v>
      </c>
      <c r="C8" s="17">
        <v>1.1674999999999998</v>
      </c>
      <c r="D8">
        <v>0</v>
      </c>
      <c r="E8" s="15">
        <v>0</v>
      </c>
      <c r="F8" s="15">
        <v>8.6035372144436237E-4</v>
      </c>
    </row>
    <row r="9" spans="1:6" x14ac:dyDescent="0.35">
      <c r="A9" s="14" t="s">
        <v>25</v>
      </c>
      <c r="B9">
        <v>12</v>
      </c>
      <c r="C9" s="17">
        <v>0.89780000000000004</v>
      </c>
      <c r="D9">
        <v>0</v>
      </c>
      <c r="E9" s="15">
        <v>0</v>
      </c>
      <c r="F9" s="15">
        <v>1.1828722002635047E-3</v>
      </c>
    </row>
    <row r="10" spans="1:6" x14ac:dyDescent="0.35">
      <c r="A10" s="14" t="s">
        <v>33</v>
      </c>
      <c r="B10">
        <v>103</v>
      </c>
      <c r="C10" s="17">
        <v>8.5550000000000033</v>
      </c>
      <c r="D10">
        <v>4</v>
      </c>
      <c r="E10" s="15">
        <v>5.6171885971071484E-4</v>
      </c>
      <c r="F10" s="15">
        <v>1.2013762112062917E-3</v>
      </c>
    </row>
    <row r="11" spans="1:6" x14ac:dyDescent="0.35">
      <c r="A11" s="14" t="s">
        <v>28</v>
      </c>
      <c r="B11">
        <v>96</v>
      </c>
      <c r="C11" s="17">
        <v>9.2028000000000034</v>
      </c>
      <c r="D11">
        <v>4</v>
      </c>
      <c r="E11" s="15">
        <v>6.0984906235706665E-4</v>
      </c>
      <c r="F11" s="15">
        <v>1.4030797377649036E-3</v>
      </c>
    </row>
    <row r="12" spans="1:6" x14ac:dyDescent="0.35">
      <c r="A12" s="14" t="s">
        <v>31</v>
      </c>
      <c r="B12">
        <v>159</v>
      </c>
      <c r="C12" s="17">
        <v>13.140299999999998</v>
      </c>
      <c r="D12">
        <v>4</v>
      </c>
      <c r="E12" s="15">
        <v>3.673769287288758E-4</v>
      </c>
      <c r="F12" s="15">
        <v>1.2068607641440117E-3</v>
      </c>
    </row>
    <row r="13" spans="1:6" x14ac:dyDescent="0.35">
      <c r="A13" s="14" t="s">
        <v>26</v>
      </c>
      <c r="B13">
        <v>79</v>
      </c>
      <c r="C13" s="17">
        <v>4.8592000000000022</v>
      </c>
      <c r="D13">
        <v>3</v>
      </c>
      <c r="E13" s="15">
        <v>5.5005500550055003E-4</v>
      </c>
      <c r="F13" s="15">
        <v>8.9094242757609132E-4</v>
      </c>
    </row>
    <row r="14" spans="1:6" x14ac:dyDescent="0.35">
      <c r="A14" s="14" t="s">
        <v>35</v>
      </c>
      <c r="B14">
        <v>126</v>
      </c>
      <c r="C14" s="17">
        <v>7.6852</v>
      </c>
      <c r="D14">
        <v>2</v>
      </c>
      <c r="E14" s="15">
        <v>2.3299161230195712E-4</v>
      </c>
      <c r="F14" s="15">
        <v>8.9529356943150046E-4</v>
      </c>
    </row>
    <row r="15" spans="1:6" x14ac:dyDescent="0.35">
      <c r="A15" s="14" t="s">
        <v>23</v>
      </c>
      <c r="B15">
        <v>157</v>
      </c>
      <c r="C15" s="17">
        <v>15.350899999999998</v>
      </c>
      <c r="D15">
        <v>3</v>
      </c>
      <c r="E15" s="15">
        <v>2.9058504455637351E-4</v>
      </c>
      <c r="F15" s="15">
        <v>1.4869139868268111E-3</v>
      </c>
    </row>
    <row r="16" spans="1:6" x14ac:dyDescent="0.35">
      <c r="A16" s="14" t="s">
        <v>32</v>
      </c>
      <c r="B16">
        <v>94</v>
      </c>
      <c r="C16" s="17">
        <v>10.294700000000001</v>
      </c>
      <c r="D16">
        <v>4</v>
      </c>
      <c r="E16" s="15">
        <v>5.9136605558840927E-4</v>
      </c>
      <c r="F16" s="15">
        <v>1.5219840331164992E-3</v>
      </c>
    </row>
    <row r="17" spans="1:6" x14ac:dyDescent="0.35">
      <c r="A17" s="14" t="s">
        <v>22</v>
      </c>
      <c r="B17">
        <v>28</v>
      </c>
      <c r="C17" s="17">
        <v>3.2234999999999987</v>
      </c>
      <c r="D17">
        <v>3</v>
      </c>
      <c r="E17" s="15">
        <v>1.6034206306787815E-3</v>
      </c>
      <c r="F17" s="15">
        <v>1.72287546766435E-3</v>
      </c>
    </row>
    <row r="18" spans="1:6" x14ac:dyDescent="0.35">
      <c r="A18" s="14" t="s">
        <v>24</v>
      </c>
      <c r="B18">
        <v>107</v>
      </c>
      <c r="C18" s="17">
        <v>7.5681000000000012</v>
      </c>
      <c r="D18">
        <v>2</v>
      </c>
      <c r="E18" s="15">
        <v>2.68564522626561E-4</v>
      </c>
      <c r="F18" s="15">
        <v>1.0162615818450384E-3</v>
      </c>
    </row>
    <row r="19" spans="1:6" x14ac:dyDescent="0.35">
      <c r="A19" s="14" t="s">
        <v>21</v>
      </c>
      <c r="B19">
        <v>88</v>
      </c>
      <c r="C19" s="17">
        <v>6.6099000000000014</v>
      </c>
      <c r="D19">
        <v>4</v>
      </c>
      <c r="E19" s="15">
        <v>6.5104166666666663E-4</v>
      </c>
      <c r="F19" s="15">
        <v>1.0758300781250002E-3</v>
      </c>
    </row>
    <row r="20" spans="1:6" x14ac:dyDescent="0.35">
      <c r="A20" s="14" t="s">
        <v>20</v>
      </c>
      <c r="B20">
        <v>18</v>
      </c>
      <c r="C20" s="17">
        <v>1.2444999999999999</v>
      </c>
      <c r="D20">
        <v>0</v>
      </c>
      <c r="E20" s="15">
        <v>0</v>
      </c>
      <c r="F20" s="15">
        <v>9.8457278481012657E-4</v>
      </c>
    </row>
    <row r="21" spans="1:6" x14ac:dyDescent="0.35">
      <c r="A21" s="14" t="s">
        <v>68</v>
      </c>
      <c r="B21">
        <v>1335</v>
      </c>
      <c r="C21" s="17">
        <v>111.45830000000021</v>
      </c>
      <c r="D21">
        <v>44</v>
      </c>
      <c r="E21" s="15">
        <v>4.8253021297128948E-4</v>
      </c>
      <c r="F21" s="15">
        <v>1.2223181190094993E-3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892B-5637-4B41-942E-35A13603F1CD}">
  <dimension ref="A3:G21"/>
  <sheetViews>
    <sheetView topLeftCell="A2" workbookViewId="0">
      <selection activeCell="A31" sqref="A31"/>
    </sheetView>
  </sheetViews>
  <sheetFormatPr defaultRowHeight="14.5" x14ac:dyDescent="0.35"/>
  <cols>
    <col min="1" max="1" width="20.26953125" bestFit="1" customWidth="1"/>
    <col min="2" max="2" width="17.36328125" bestFit="1" customWidth="1"/>
    <col min="3" max="3" width="27.26953125" bestFit="1" customWidth="1"/>
    <col min="4" max="4" width="24" bestFit="1" customWidth="1"/>
    <col min="5" max="5" width="30.7265625" bestFit="1" customWidth="1"/>
    <col min="6" max="6" width="33.54296875" bestFit="1" customWidth="1"/>
    <col min="7" max="7" width="8.453125" bestFit="1" customWidth="1"/>
  </cols>
  <sheetData>
    <row r="3" spans="1:7" x14ac:dyDescent="0.35">
      <c r="A3" s="13" t="s">
        <v>95</v>
      </c>
      <c r="B3" t="s">
        <v>96</v>
      </c>
      <c r="C3" t="s">
        <v>98</v>
      </c>
      <c r="D3" t="s">
        <v>97</v>
      </c>
      <c r="E3" t="s">
        <v>87</v>
      </c>
      <c r="F3" t="s">
        <v>88</v>
      </c>
      <c r="G3" t="s">
        <v>92</v>
      </c>
    </row>
    <row r="4" spans="1:7" x14ac:dyDescent="0.35">
      <c r="A4" s="14" t="s">
        <v>29</v>
      </c>
      <c r="B4">
        <v>75</v>
      </c>
      <c r="C4" s="16">
        <v>2.9039000000000001</v>
      </c>
      <c r="D4">
        <v>2</v>
      </c>
      <c r="E4" s="15">
        <v>3.9643211100099106E-4</v>
      </c>
      <c r="F4" s="15">
        <v>5.7559960356788902E-4</v>
      </c>
      <c r="G4" s="16">
        <v>6.8872895072144349E-3</v>
      </c>
    </row>
    <row r="5" spans="1:7" x14ac:dyDescent="0.35">
      <c r="A5" s="14" t="s">
        <v>30</v>
      </c>
      <c r="B5">
        <v>110</v>
      </c>
      <c r="C5" s="16">
        <v>5.2081000000000008</v>
      </c>
      <c r="D5">
        <v>5</v>
      </c>
      <c r="E5" s="15">
        <v>6.8624759813340648E-4</v>
      </c>
      <c r="F5" s="15">
        <v>7.1480922316771907E-4</v>
      </c>
      <c r="G5" s="16">
        <v>9.6004300992684442E-3</v>
      </c>
    </row>
    <row r="6" spans="1:7" x14ac:dyDescent="0.35">
      <c r="A6" s="14" t="s">
        <v>27</v>
      </c>
      <c r="B6">
        <v>59</v>
      </c>
      <c r="C6" s="16">
        <v>1.4944000000000002</v>
      </c>
      <c r="D6">
        <v>1</v>
      </c>
      <c r="E6" s="15">
        <v>2.4679170779861795E-4</v>
      </c>
      <c r="F6" s="15">
        <v>3.6880552813425474E-4</v>
      </c>
      <c r="G6" s="16">
        <v>6.6916488222698058E-3</v>
      </c>
    </row>
    <row r="7" spans="1:7" x14ac:dyDescent="0.35">
      <c r="A7" s="14" t="s">
        <v>36</v>
      </c>
      <c r="B7">
        <v>4</v>
      </c>
      <c r="C7" s="16">
        <v>0.79530000000000001</v>
      </c>
      <c r="D7">
        <v>3</v>
      </c>
      <c r="E7" s="15">
        <v>1.1235955056179775E-2</v>
      </c>
      <c r="F7" s="15">
        <v>2.9786516853932583E-3</v>
      </c>
      <c r="G7" s="16">
        <v>3.7721614485099961E-2</v>
      </c>
    </row>
    <row r="8" spans="1:7" x14ac:dyDescent="0.35">
      <c r="A8" s="14" t="s">
        <v>34</v>
      </c>
      <c r="B8">
        <v>20</v>
      </c>
      <c r="C8" s="16">
        <v>0.39759999999999995</v>
      </c>
      <c r="D8">
        <v>0</v>
      </c>
      <c r="E8" s="15">
        <v>0</v>
      </c>
      <c r="F8" s="15">
        <v>2.9299926308032419E-4</v>
      </c>
      <c r="G8" s="16">
        <v>0</v>
      </c>
    </row>
    <row r="9" spans="1:7" x14ac:dyDescent="0.35">
      <c r="A9" s="14" t="s">
        <v>25</v>
      </c>
      <c r="B9">
        <v>12</v>
      </c>
      <c r="C9" s="16">
        <v>0.23749999999999999</v>
      </c>
      <c r="D9">
        <v>0</v>
      </c>
      <c r="E9" s="15">
        <v>0</v>
      </c>
      <c r="F9" s="15">
        <v>3.1291172595520418E-4</v>
      </c>
      <c r="G9" s="16">
        <v>0</v>
      </c>
    </row>
    <row r="10" spans="1:7" x14ac:dyDescent="0.35">
      <c r="A10" s="14" t="s">
        <v>33</v>
      </c>
      <c r="B10">
        <v>103</v>
      </c>
      <c r="C10" s="16">
        <v>4.6292999999999989</v>
      </c>
      <c r="D10">
        <v>4</v>
      </c>
      <c r="E10" s="15">
        <v>5.6171885971071484E-4</v>
      </c>
      <c r="F10" s="15">
        <v>6.5009127931470287E-4</v>
      </c>
      <c r="G10" s="16">
        <v>8.6406152118030811E-3</v>
      </c>
    </row>
    <row r="11" spans="1:7" x14ac:dyDescent="0.35">
      <c r="A11" s="14" t="s">
        <v>28</v>
      </c>
      <c r="B11">
        <v>96</v>
      </c>
      <c r="C11" s="16">
        <v>4.3778000000000024</v>
      </c>
      <c r="D11">
        <v>4</v>
      </c>
      <c r="E11" s="15">
        <v>6.0984906235706665E-4</v>
      </c>
      <c r="F11" s="15">
        <v>6.6744930629669197E-4</v>
      </c>
      <c r="G11" s="16">
        <v>9.1370094568047882E-3</v>
      </c>
    </row>
    <row r="12" spans="1:7" x14ac:dyDescent="0.35">
      <c r="A12" s="14" t="s">
        <v>31</v>
      </c>
      <c r="B12">
        <v>159</v>
      </c>
      <c r="C12" s="16">
        <v>5.9794</v>
      </c>
      <c r="D12">
        <v>4</v>
      </c>
      <c r="E12" s="15">
        <v>3.673769287288758E-4</v>
      </c>
      <c r="F12" s="15">
        <v>5.4917340191036005E-4</v>
      </c>
      <c r="G12" s="16">
        <v>6.6896344114794129E-3</v>
      </c>
    </row>
    <row r="13" spans="1:7" x14ac:dyDescent="0.35">
      <c r="A13" s="14" t="s">
        <v>26</v>
      </c>
      <c r="B13">
        <v>79</v>
      </c>
      <c r="C13" s="16">
        <v>2.9807000000000006</v>
      </c>
      <c r="D13">
        <v>3</v>
      </c>
      <c r="E13" s="15">
        <v>5.5005500550055003E-4</v>
      </c>
      <c r="F13" s="15">
        <v>5.4651631829849665E-4</v>
      </c>
      <c r="G13" s="16">
        <v>1.0064749890965204E-2</v>
      </c>
    </row>
    <row r="14" spans="1:7" x14ac:dyDescent="0.35">
      <c r="A14" s="14" t="s">
        <v>35</v>
      </c>
      <c r="B14">
        <v>126</v>
      </c>
      <c r="C14" s="16">
        <v>3.3394000000000013</v>
      </c>
      <c r="D14">
        <v>2</v>
      </c>
      <c r="E14" s="15">
        <v>2.3299161230195712E-4</v>
      </c>
      <c r="F14" s="15">
        <v>3.8902609506057795E-4</v>
      </c>
      <c r="G14" s="16">
        <v>5.9890998382943058E-3</v>
      </c>
    </row>
    <row r="15" spans="1:7" x14ac:dyDescent="0.35">
      <c r="A15" s="14" t="s">
        <v>23</v>
      </c>
      <c r="B15">
        <v>157</v>
      </c>
      <c r="C15" s="16">
        <v>5.913899999999999</v>
      </c>
      <c r="D15">
        <v>3</v>
      </c>
      <c r="E15" s="15">
        <v>2.9058504455637351E-4</v>
      </c>
      <c r="F15" s="15">
        <v>5.7283029833397902E-4</v>
      </c>
      <c r="G15" s="16">
        <v>5.0727946025465442E-3</v>
      </c>
    </row>
    <row r="16" spans="1:7" x14ac:dyDescent="0.35">
      <c r="A16" s="14" t="s">
        <v>32</v>
      </c>
      <c r="B16">
        <v>94</v>
      </c>
      <c r="C16" s="16">
        <v>5.0003000000000011</v>
      </c>
      <c r="D16">
        <v>4</v>
      </c>
      <c r="E16" s="15">
        <v>5.9136605558840927E-4</v>
      </c>
      <c r="F16" s="15">
        <v>7.3925192193968086E-4</v>
      </c>
      <c r="G16" s="16">
        <v>7.9995200287982706E-3</v>
      </c>
    </row>
    <row r="17" spans="1:7" x14ac:dyDescent="0.35">
      <c r="A17" s="14" t="s">
        <v>22</v>
      </c>
      <c r="B17">
        <v>28</v>
      </c>
      <c r="C17" s="16">
        <v>1.5223</v>
      </c>
      <c r="D17">
        <v>3</v>
      </c>
      <c r="E17" s="15">
        <v>1.6034206306787815E-3</v>
      </c>
      <c r="F17" s="15">
        <v>8.1362907536076967E-4</v>
      </c>
      <c r="G17" s="16">
        <v>1.970702226893516E-2</v>
      </c>
    </row>
    <row r="18" spans="1:7" x14ac:dyDescent="0.35">
      <c r="A18" s="14" t="s">
        <v>24</v>
      </c>
      <c r="B18">
        <v>107</v>
      </c>
      <c r="C18" s="16">
        <v>3.6393000000000004</v>
      </c>
      <c r="D18">
        <v>2</v>
      </c>
      <c r="E18" s="15">
        <v>2.68564522626561E-4</v>
      </c>
      <c r="F18" s="15">
        <v>4.8869343359742186E-4</v>
      </c>
      <c r="G18" s="16">
        <v>5.4955623334157662E-3</v>
      </c>
    </row>
    <row r="19" spans="1:7" x14ac:dyDescent="0.35">
      <c r="A19" s="14" t="s">
        <v>21</v>
      </c>
      <c r="B19">
        <v>88</v>
      </c>
      <c r="C19" s="16">
        <v>2.8952</v>
      </c>
      <c r="D19">
        <v>4</v>
      </c>
      <c r="E19" s="15">
        <v>6.5104166666666663E-4</v>
      </c>
      <c r="F19" s="15">
        <v>4.7122395833333331E-4</v>
      </c>
      <c r="G19" s="16">
        <v>1.381597126277978E-2</v>
      </c>
    </row>
    <row r="20" spans="1:7" x14ac:dyDescent="0.35">
      <c r="A20" s="14" t="s">
        <v>20</v>
      </c>
      <c r="B20">
        <v>18</v>
      </c>
      <c r="C20" s="16">
        <v>0.57900000000000018</v>
      </c>
      <c r="D20">
        <v>0</v>
      </c>
      <c r="E20" s="15">
        <v>0</v>
      </c>
      <c r="F20" s="15">
        <v>4.5806962025316471E-4</v>
      </c>
      <c r="G20" s="16">
        <v>0</v>
      </c>
    </row>
    <row r="21" spans="1:7" x14ac:dyDescent="0.35">
      <c r="A21" s="14" t="s">
        <v>68</v>
      </c>
      <c r="B21">
        <v>1335</v>
      </c>
      <c r="C21" s="16">
        <v>51.8934</v>
      </c>
      <c r="D21">
        <v>44</v>
      </c>
      <c r="E21" s="15">
        <v>4.8253021297128948E-4</v>
      </c>
      <c r="F21" s="15">
        <v>5.6909393985918886E-4</v>
      </c>
      <c r="G21" s="16">
        <v>8.4789202480469554E-3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8372-5C63-4EED-86E5-58CAE61FED71}">
  <dimension ref="A3:B8"/>
  <sheetViews>
    <sheetView workbookViewId="0">
      <selection activeCell="A31" sqref="A31"/>
    </sheetView>
  </sheetViews>
  <sheetFormatPr defaultRowHeight="14.5" x14ac:dyDescent="0.35"/>
  <cols>
    <col min="1" max="1" width="12.36328125" bestFit="1" customWidth="1"/>
    <col min="2" max="2" width="51.1796875" bestFit="1" customWidth="1"/>
  </cols>
  <sheetData>
    <row r="3" spans="1:2" x14ac:dyDescent="0.35">
      <c r="A3" s="13" t="s">
        <v>67</v>
      </c>
      <c r="B3" t="s">
        <v>106</v>
      </c>
    </row>
    <row r="4" spans="1:2" x14ac:dyDescent="0.35">
      <c r="A4" s="14" t="s">
        <v>4</v>
      </c>
      <c r="B4" s="18">
        <v>0.86039614898989958</v>
      </c>
    </row>
    <row r="5" spans="1:2" x14ac:dyDescent="0.35">
      <c r="A5" s="14" t="s">
        <v>2</v>
      </c>
      <c r="B5" s="18">
        <v>1.4032398504273498</v>
      </c>
    </row>
    <row r="6" spans="1:2" x14ac:dyDescent="0.35">
      <c r="A6" s="14" t="s">
        <v>0</v>
      </c>
      <c r="B6" s="18">
        <v>1.9750000000000001</v>
      </c>
    </row>
    <row r="7" spans="1:2" x14ac:dyDescent="0.35">
      <c r="A7" s="14" t="s">
        <v>6</v>
      </c>
      <c r="B7" s="18">
        <v>5.6815204880294647</v>
      </c>
    </row>
    <row r="8" spans="1:2" x14ac:dyDescent="0.35">
      <c r="A8" s="14" t="s">
        <v>68</v>
      </c>
      <c r="B8" s="18">
        <v>2.2063699282147322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9D19-EDCE-49EF-A6D9-6B6BC1860621}">
  <dimension ref="A31"/>
  <sheetViews>
    <sheetView showGridLines="0" tabSelected="1" zoomScale="50" zoomScaleNormal="50" workbookViewId="0">
      <selection activeCell="A31" sqref="A31"/>
    </sheetView>
  </sheetViews>
  <sheetFormatPr defaultRowHeight="14.5" x14ac:dyDescent="0.35"/>
  <sheetData>
    <row r="31" spans="1:1" x14ac:dyDescent="0.35">
      <c r="A31" t="s">
        <v>66</v>
      </c>
    </row>
  </sheetData>
  <pageMargins left="0.7" right="0.7" top="0.75" bottom="0.75" header="0.3" footer="0.3"/>
  <pageSetup paperSize="122"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Data</vt:lpstr>
      <vt:lpstr>Steps</vt:lpstr>
      <vt:lpstr>Number of operations by surgeon</vt:lpstr>
      <vt:lpstr>A&amp;P mortality by surgeon (1)</vt:lpstr>
      <vt:lpstr>A&amp;P mortality by surgeon (2)</vt:lpstr>
      <vt:lpstr>Avg time btw admis and proce</vt:lpstr>
      <vt:lpstr>Dashboard</vt:lpstr>
    </vt:vector>
  </TitlesOfParts>
  <Company>Papworth Hospital NHS Foundation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Bates</dc:creator>
  <cp:lastModifiedBy>Jumoke Lucas</cp:lastModifiedBy>
  <cp:lastPrinted>2026-02-26T02:29:13Z</cp:lastPrinted>
  <dcterms:created xsi:type="dcterms:W3CDTF">2021-01-21T16:35:32Z</dcterms:created>
  <dcterms:modified xsi:type="dcterms:W3CDTF">2026-06-04T21:18:27Z</dcterms:modified>
</cp:coreProperties>
</file>